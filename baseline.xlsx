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2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4EA13C4B-B029-43AB-82CF-1F1830F6D246}" xr6:coauthVersionLast="47" xr6:coauthVersionMax="47" xr10:uidLastSave="{00000000-0000-0000-0000-000000000000}"/>
  <bookViews>
    <workbookView xWindow="-110" yWindow="-110" windowWidth="19420" windowHeight="11500" activeTab="2" xr2:uid="{71B3873D-F36B-45D2-B5AE-BCCEA13362CC}"/>
  </bookViews>
  <sheets>
    <sheet name="1" sheetId="3" r:id="rId1"/>
    <sheet name="2" sheetId="63" r:id="rId2"/>
    <sheet name="3" sheetId="85" r:id="rId3"/>
    <sheet name="4" sheetId="105" r:id="rId4"/>
    <sheet name="5" sheetId="106" r:id="rId5"/>
    <sheet name="6" sheetId="107" r:id="rId6"/>
    <sheet name="7" sheetId="108" r:id="rId7"/>
    <sheet name="8" sheetId="109" r:id="rId8"/>
    <sheet name="9" sheetId="110" r:id="rId9"/>
    <sheet name="10" sheetId="111" r:id="rId10"/>
    <sheet name="11" sheetId="112" r:id="rId11"/>
    <sheet name="12" sheetId="113" r:id="rId12"/>
    <sheet name="13" sheetId="114" r:id="rId13"/>
    <sheet name="14" sheetId="115" r:id="rId14"/>
    <sheet name="15" sheetId="116" r:id="rId15"/>
    <sheet name="16" sheetId="117" r:id="rId16"/>
    <sheet name="17" sheetId="118" r:id="rId17"/>
    <sheet name="18" sheetId="119" r:id="rId18"/>
    <sheet name="19" sheetId="120" r:id="rId19"/>
    <sheet name="20" sheetId="121" r:id="rId20"/>
    <sheet name="21" sheetId="122" r:id="rId21"/>
  </sheets>
  <definedNames>
    <definedName name="_xlnm.Print_Area" localSheetId="0">'1'!$A$1:$BO$62</definedName>
    <definedName name="_xlnm.Print_Area" localSheetId="9">'10'!$A$1:$BJ$56</definedName>
    <definedName name="_xlnm.Print_Area" localSheetId="10">'11'!$A$1:$BJ$56</definedName>
    <definedName name="_xlnm.Print_Area" localSheetId="11">'12'!$A$1:$BJ$56</definedName>
    <definedName name="_xlnm.Print_Area" localSheetId="12">'13'!$A$1:$BJ$56</definedName>
    <definedName name="_xlnm.Print_Area" localSheetId="13">'14'!$A$1:$BJ$56</definedName>
    <definedName name="_xlnm.Print_Area" localSheetId="14">'15'!$A$1:$BJ$56</definedName>
    <definedName name="_xlnm.Print_Area" localSheetId="15">'16'!$A$1:$BJ$56</definedName>
    <definedName name="_xlnm.Print_Area" localSheetId="16">'17'!$A$1:$BJ$56</definedName>
    <definedName name="_xlnm.Print_Area" localSheetId="17">'18'!$A$1:$BJ$56</definedName>
    <definedName name="_xlnm.Print_Area" localSheetId="18">'19'!$A$1:$BJ$56</definedName>
    <definedName name="_xlnm.Print_Area" localSheetId="1">'2'!$A$1:$BK$56</definedName>
    <definedName name="_xlnm.Print_Area" localSheetId="19">'20'!$A$1:$BJ$56</definedName>
    <definedName name="_xlnm.Print_Area" localSheetId="20">'21'!$A$1:$BJ$56</definedName>
    <definedName name="_xlnm.Print_Area" localSheetId="2">'3'!$A$1:$BJ$56</definedName>
    <definedName name="_xlnm.Print_Area" localSheetId="3">'4'!$A$1:$BJ$56</definedName>
    <definedName name="_xlnm.Print_Area" localSheetId="4">'5'!$A$1:$BJ$56</definedName>
    <definedName name="_xlnm.Print_Area" localSheetId="5">'6'!$A$1:$BJ$56</definedName>
    <definedName name="_xlnm.Print_Area" localSheetId="6">'7'!$A$1:$BJ$56</definedName>
    <definedName name="_xlnm.Print_Area" localSheetId="7">'8'!$A$1:$BJ$56</definedName>
    <definedName name="_xlnm.Print_Area" localSheetId="8">'9'!$A$1:$BJ$56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10" i="122" l="1"/>
  <c r="AO10" i="122"/>
  <c r="AQ10" i="122"/>
  <c r="AS10" i="122"/>
  <c r="AT10" i="122"/>
  <c r="B11" i="122"/>
  <c r="C11" i="122"/>
  <c r="F11" i="122"/>
  <c r="H11" i="122"/>
  <c r="J11" i="122"/>
  <c r="L11" i="122"/>
  <c r="N11" i="122"/>
  <c r="P11" i="122"/>
  <c r="Q11" i="122"/>
  <c r="R11" i="122"/>
  <c r="S11" i="122"/>
  <c r="U11" i="122"/>
  <c r="W11" i="122"/>
  <c r="Y11" i="122"/>
  <c r="AC11" i="122"/>
  <c r="AD11" i="122"/>
  <c r="AF11" i="122"/>
  <c r="AH11" i="122"/>
  <c r="AI11" i="122"/>
  <c r="AJ11" i="122"/>
  <c r="AK11" i="122"/>
  <c r="AN11" i="122"/>
  <c r="AO11" i="122"/>
  <c r="AQ11" i="122"/>
  <c r="AS11" i="122"/>
  <c r="AT11" i="122"/>
  <c r="AW11" i="122"/>
  <c r="AX11" i="122"/>
  <c r="AY11" i="122"/>
  <c r="BB11" i="122"/>
  <c r="BC11" i="122"/>
  <c r="BD11" i="122"/>
  <c r="BE11" i="122"/>
  <c r="BH11" i="122"/>
  <c r="BI11" i="122"/>
  <c r="B12" i="122"/>
  <c r="C12" i="122"/>
  <c r="F12" i="122"/>
  <c r="H12" i="122"/>
  <c r="J12" i="122"/>
  <c r="L12" i="122"/>
  <c r="N12" i="122"/>
  <c r="P12" i="122"/>
  <c r="Q12" i="122"/>
  <c r="R12" i="122"/>
  <c r="S12" i="122"/>
  <c r="U12" i="122"/>
  <c r="W12" i="122"/>
  <c r="Y12" i="122"/>
  <c r="AC12" i="122"/>
  <c r="AD12" i="122"/>
  <c r="AF12" i="122"/>
  <c r="AH12" i="122"/>
  <c r="AI12" i="122"/>
  <c r="AJ12" i="122"/>
  <c r="AK12" i="122"/>
  <c r="AN12" i="122"/>
  <c r="AO12" i="122"/>
  <c r="AQ12" i="122"/>
  <c r="AS12" i="122"/>
  <c r="AT12" i="122"/>
  <c r="AW12" i="122"/>
  <c r="AX12" i="122"/>
  <c r="AY12" i="122"/>
  <c r="BB12" i="122"/>
  <c r="BC12" i="122"/>
  <c r="BD12" i="122"/>
  <c r="BE12" i="122"/>
  <c r="BH12" i="122"/>
  <c r="BI12" i="122"/>
  <c r="B13" i="122"/>
  <c r="C13" i="122"/>
  <c r="F13" i="122"/>
  <c r="H13" i="122"/>
  <c r="J13" i="122"/>
  <c r="L13" i="122"/>
  <c r="N13" i="122"/>
  <c r="P13" i="122"/>
  <c r="Q13" i="122"/>
  <c r="R13" i="122"/>
  <c r="S13" i="122"/>
  <c r="U13" i="122"/>
  <c r="W13" i="122"/>
  <c r="Y13" i="122"/>
  <c r="AC13" i="122"/>
  <c r="AD13" i="122"/>
  <c r="AF13" i="122"/>
  <c r="AH13" i="122"/>
  <c r="AI13" i="122"/>
  <c r="AJ13" i="122"/>
  <c r="AK13" i="122"/>
  <c r="AO13" i="122"/>
  <c r="AP13" i="122"/>
  <c r="AQ13" i="122"/>
  <c r="AR13" i="122"/>
  <c r="AS13" i="122"/>
  <c r="AT13" i="122"/>
  <c r="AW13" i="122"/>
  <c r="AX13" i="122"/>
  <c r="AY13" i="122"/>
  <c r="BB13" i="122"/>
  <c r="BC13" i="122"/>
  <c r="BD13" i="122"/>
  <c r="BE13" i="122"/>
  <c r="BH13" i="122"/>
  <c r="BI13" i="122"/>
  <c r="B14" i="122"/>
  <c r="C14" i="122"/>
  <c r="F14" i="122"/>
  <c r="H14" i="122"/>
  <c r="J14" i="122"/>
  <c r="L14" i="122"/>
  <c r="N14" i="122"/>
  <c r="P14" i="122"/>
  <c r="Q14" i="122"/>
  <c r="R14" i="122"/>
  <c r="S14" i="122"/>
  <c r="U14" i="122"/>
  <c r="W14" i="122"/>
  <c r="Y14" i="122"/>
  <c r="AC14" i="122"/>
  <c r="AD14" i="122"/>
  <c r="AF14" i="122"/>
  <c r="AH14" i="122"/>
  <c r="AI14" i="122"/>
  <c r="AJ14" i="122"/>
  <c r="AK14" i="122"/>
  <c r="AT14" i="122"/>
  <c r="AW14" i="122"/>
  <c r="AX14" i="122"/>
  <c r="AY14" i="122"/>
  <c r="BB14" i="122"/>
  <c r="BC14" i="122"/>
  <c r="BD14" i="122"/>
  <c r="BE14" i="122"/>
  <c r="BH14" i="122"/>
  <c r="BI14" i="122"/>
  <c r="B15" i="122"/>
  <c r="C15" i="122"/>
  <c r="F15" i="122"/>
  <c r="H15" i="122"/>
  <c r="J15" i="122"/>
  <c r="L15" i="122"/>
  <c r="N15" i="122"/>
  <c r="P15" i="122"/>
  <c r="Q15" i="122"/>
  <c r="R15" i="122"/>
  <c r="S15" i="122"/>
  <c r="U15" i="122"/>
  <c r="W15" i="122"/>
  <c r="Y15" i="122"/>
  <c r="AC15" i="122"/>
  <c r="AD15" i="122"/>
  <c r="AF15" i="122"/>
  <c r="AH15" i="122"/>
  <c r="AI15" i="122"/>
  <c r="AJ15" i="122"/>
  <c r="AK15" i="122"/>
  <c r="AW15" i="122"/>
  <c r="AX15" i="122"/>
  <c r="AY15" i="122"/>
  <c r="BB15" i="122"/>
  <c r="BC15" i="122"/>
  <c r="BD15" i="122"/>
  <c r="BE15" i="122"/>
  <c r="BH15" i="122"/>
  <c r="BI15" i="122"/>
  <c r="B16" i="122"/>
  <c r="C16" i="122"/>
  <c r="F16" i="122"/>
  <c r="H16" i="122"/>
  <c r="J16" i="122"/>
  <c r="L16" i="122"/>
  <c r="N16" i="122"/>
  <c r="P16" i="122"/>
  <c r="Q16" i="122"/>
  <c r="R16" i="122"/>
  <c r="S16" i="122"/>
  <c r="U16" i="122"/>
  <c r="W16" i="122"/>
  <c r="Y16" i="122"/>
  <c r="AC16" i="122"/>
  <c r="AD16" i="122"/>
  <c r="AF16" i="122"/>
  <c r="AH16" i="122"/>
  <c r="AI16" i="122"/>
  <c r="AJ16" i="122"/>
  <c r="AK16" i="122"/>
  <c r="AW16" i="122"/>
  <c r="AX16" i="122"/>
  <c r="AY16" i="122"/>
  <c r="BB16" i="122"/>
  <c r="BC16" i="122"/>
  <c r="BD16" i="122"/>
  <c r="BE16" i="122"/>
  <c r="BH16" i="122"/>
  <c r="BI16" i="122"/>
  <c r="B17" i="122"/>
  <c r="C17" i="122"/>
  <c r="F17" i="122"/>
  <c r="H17" i="122"/>
  <c r="J17" i="122"/>
  <c r="L17" i="122"/>
  <c r="N17" i="122"/>
  <c r="P17" i="122"/>
  <c r="Q17" i="122"/>
  <c r="R17" i="122"/>
  <c r="S17" i="122"/>
  <c r="U17" i="122"/>
  <c r="W17" i="122"/>
  <c r="Y17" i="122"/>
  <c r="AC17" i="122"/>
  <c r="AD17" i="122"/>
  <c r="AF17" i="122"/>
  <c r="AH17" i="122"/>
  <c r="AI17" i="122"/>
  <c r="AJ17" i="122"/>
  <c r="AK17" i="122"/>
  <c r="AW17" i="122"/>
  <c r="AX17" i="122"/>
  <c r="AY17" i="122"/>
  <c r="BB17" i="122"/>
  <c r="BC17" i="122"/>
  <c r="BD17" i="122"/>
  <c r="BE17" i="122"/>
  <c r="BH17" i="122"/>
  <c r="BI17" i="122"/>
  <c r="B18" i="122"/>
  <c r="C18" i="122"/>
  <c r="F18" i="122"/>
  <c r="H18" i="122"/>
  <c r="J18" i="122"/>
  <c r="L18" i="122"/>
  <c r="N18" i="122"/>
  <c r="P18" i="122"/>
  <c r="Q18" i="122"/>
  <c r="R18" i="122"/>
  <c r="S18" i="122"/>
  <c r="U18" i="122"/>
  <c r="W18" i="122"/>
  <c r="Y18" i="122"/>
  <c r="AC18" i="122"/>
  <c r="AD18" i="122"/>
  <c r="AF18" i="122"/>
  <c r="AH18" i="122"/>
  <c r="AI18" i="122"/>
  <c r="AJ18" i="122"/>
  <c r="AK18" i="122"/>
  <c r="AW18" i="122"/>
  <c r="AX18" i="122"/>
  <c r="AY18" i="122"/>
  <c r="BB18" i="122"/>
  <c r="BC18" i="122"/>
  <c r="BD18" i="122"/>
  <c r="BE18" i="122"/>
  <c r="BH18" i="122"/>
  <c r="BI18" i="122"/>
  <c r="B19" i="122"/>
  <c r="C19" i="122"/>
  <c r="F19" i="122"/>
  <c r="H19" i="122"/>
  <c r="J19" i="122"/>
  <c r="L19" i="122"/>
  <c r="N19" i="122"/>
  <c r="P19" i="122"/>
  <c r="Q19" i="122"/>
  <c r="R19" i="122"/>
  <c r="S19" i="122"/>
  <c r="U19" i="122"/>
  <c r="W19" i="122"/>
  <c r="Y19" i="122"/>
  <c r="AC19" i="122"/>
  <c r="AD19" i="122"/>
  <c r="AF19" i="122"/>
  <c r="AH19" i="122"/>
  <c r="AI19" i="122"/>
  <c r="AJ19" i="122"/>
  <c r="AK19" i="122"/>
  <c r="AW19" i="122"/>
  <c r="AX19" i="122"/>
  <c r="AY19" i="122"/>
  <c r="BB19" i="122"/>
  <c r="BC19" i="122"/>
  <c r="BD19" i="122"/>
  <c r="BE19" i="122"/>
  <c r="BH19" i="122"/>
  <c r="BI19" i="122"/>
  <c r="B20" i="122"/>
  <c r="C20" i="122"/>
  <c r="F20" i="122"/>
  <c r="H20" i="122"/>
  <c r="J20" i="122"/>
  <c r="L20" i="122"/>
  <c r="N20" i="122"/>
  <c r="P20" i="122"/>
  <c r="Q20" i="122"/>
  <c r="R20" i="122"/>
  <c r="S20" i="122"/>
  <c r="U20" i="122"/>
  <c r="W20" i="122"/>
  <c r="Y20" i="122"/>
  <c r="AC20" i="122"/>
  <c r="AD20" i="122"/>
  <c r="AF20" i="122"/>
  <c r="AH20" i="122"/>
  <c r="AI20" i="122"/>
  <c r="AJ20" i="122"/>
  <c r="AK20" i="122"/>
  <c r="AW20" i="122"/>
  <c r="AX20" i="122"/>
  <c r="AY20" i="122"/>
  <c r="BB20" i="122"/>
  <c r="BC20" i="122"/>
  <c r="BD20" i="122"/>
  <c r="BE20" i="122"/>
  <c r="BH20" i="122"/>
  <c r="BI20" i="122"/>
  <c r="B21" i="122"/>
  <c r="C21" i="122"/>
  <c r="F21" i="122"/>
  <c r="H21" i="122"/>
  <c r="J21" i="122"/>
  <c r="L21" i="122"/>
  <c r="N21" i="122"/>
  <c r="P21" i="122"/>
  <c r="Q21" i="122"/>
  <c r="R21" i="122"/>
  <c r="S21" i="122"/>
  <c r="U21" i="122"/>
  <c r="W21" i="122"/>
  <c r="Y21" i="122"/>
  <c r="AC21" i="122"/>
  <c r="AD21" i="122"/>
  <c r="AF21" i="122"/>
  <c r="AH21" i="122"/>
  <c r="AI21" i="122"/>
  <c r="AJ21" i="122"/>
  <c r="AK21" i="122"/>
  <c r="AW21" i="122"/>
  <c r="AX21" i="122"/>
  <c r="AY21" i="122"/>
  <c r="BB21" i="122"/>
  <c r="BC21" i="122"/>
  <c r="BD21" i="122"/>
  <c r="BE21" i="122"/>
  <c r="BH21" i="122"/>
  <c r="BI21" i="122"/>
  <c r="B22" i="122"/>
  <c r="C22" i="122"/>
  <c r="F22" i="122"/>
  <c r="H22" i="122"/>
  <c r="J22" i="122"/>
  <c r="L22" i="122"/>
  <c r="N22" i="122"/>
  <c r="P22" i="122"/>
  <c r="Q22" i="122"/>
  <c r="R22" i="122"/>
  <c r="S22" i="122"/>
  <c r="U22" i="122"/>
  <c r="W22" i="122"/>
  <c r="Y22" i="122"/>
  <c r="AC22" i="122"/>
  <c r="AD22" i="122"/>
  <c r="AF22" i="122"/>
  <c r="AH22" i="122"/>
  <c r="AI22" i="122"/>
  <c r="AJ22" i="122"/>
  <c r="AK22" i="122"/>
  <c r="AW22" i="122"/>
  <c r="AX22" i="122"/>
  <c r="AY22" i="122"/>
  <c r="BB22" i="122"/>
  <c r="BC22" i="122"/>
  <c r="BD22" i="122"/>
  <c r="BE22" i="122"/>
  <c r="BH22" i="122"/>
  <c r="BI22" i="122"/>
  <c r="B23" i="122"/>
  <c r="C23" i="122"/>
  <c r="F23" i="122"/>
  <c r="H23" i="122"/>
  <c r="J23" i="122"/>
  <c r="L23" i="122"/>
  <c r="N23" i="122"/>
  <c r="P23" i="122"/>
  <c r="Q23" i="122"/>
  <c r="R23" i="122"/>
  <c r="S23" i="122"/>
  <c r="U23" i="122"/>
  <c r="W23" i="122"/>
  <c r="Y23" i="122"/>
  <c r="AC23" i="122"/>
  <c r="AD23" i="122"/>
  <c r="AF23" i="122"/>
  <c r="AH23" i="122"/>
  <c r="AI23" i="122"/>
  <c r="AJ23" i="122"/>
  <c r="AK23" i="122"/>
  <c r="AW23" i="122"/>
  <c r="AX23" i="122"/>
  <c r="AY23" i="122"/>
  <c r="BB23" i="122"/>
  <c r="BC23" i="122"/>
  <c r="BD23" i="122"/>
  <c r="BE23" i="122"/>
  <c r="BH23" i="122"/>
  <c r="BI23" i="122"/>
  <c r="B24" i="122"/>
  <c r="C24" i="122"/>
  <c r="F24" i="122"/>
  <c r="H24" i="122"/>
  <c r="J24" i="122"/>
  <c r="L24" i="122"/>
  <c r="N24" i="122"/>
  <c r="P24" i="122"/>
  <c r="Q24" i="122"/>
  <c r="R24" i="122"/>
  <c r="S24" i="122"/>
  <c r="U24" i="122"/>
  <c r="W24" i="122"/>
  <c r="Y24" i="122"/>
  <c r="AC24" i="122"/>
  <c r="AD24" i="122"/>
  <c r="AF24" i="122"/>
  <c r="AH24" i="122"/>
  <c r="AI24" i="122"/>
  <c r="AJ24" i="122"/>
  <c r="AK24" i="122"/>
  <c r="AW24" i="122"/>
  <c r="AX24" i="122"/>
  <c r="AY24" i="122"/>
  <c r="BB24" i="122"/>
  <c r="BC24" i="122"/>
  <c r="BD24" i="122"/>
  <c r="BE24" i="122"/>
  <c r="BH24" i="122"/>
  <c r="BI24" i="122"/>
  <c r="B25" i="122"/>
  <c r="C25" i="122"/>
  <c r="F25" i="122"/>
  <c r="H25" i="122"/>
  <c r="J25" i="122"/>
  <c r="L25" i="122"/>
  <c r="N25" i="122"/>
  <c r="P25" i="122"/>
  <c r="Q25" i="122"/>
  <c r="R25" i="122"/>
  <c r="S25" i="122"/>
  <c r="U25" i="122"/>
  <c r="W25" i="122"/>
  <c r="Y25" i="122"/>
  <c r="AC25" i="122"/>
  <c r="AD25" i="122"/>
  <c r="AF25" i="122"/>
  <c r="AH25" i="122"/>
  <c r="AI25" i="122"/>
  <c r="AJ25" i="122"/>
  <c r="AK25" i="122"/>
  <c r="AW25" i="122"/>
  <c r="AX25" i="122"/>
  <c r="AY25" i="122"/>
  <c r="BB25" i="122"/>
  <c r="BC25" i="122"/>
  <c r="BD25" i="122"/>
  <c r="BE25" i="122"/>
  <c r="BH25" i="122"/>
  <c r="BI25" i="122"/>
  <c r="B26" i="122"/>
  <c r="C26" i="122"/>
  <c r="F26" i="122"/>
  <c r="H26" i="122"/>
  <c r="J26" i="122"/>
  <c r="L26" i="122"/>
  <c r="N26" i="122"/>
  <c r="P26" i="122"/>
  <c r="Q26" i="122"/>
  <c r="R26" i="122"/>
  <c r="S26" i="122"/>
  <c r="U26" i="122"/>
  <c r="W26" i="122"/>
  <c r="Y26" i="122"/>
  <c r="AC26" i="122"/>
  <c r="AD26" i="122"/>
  <c r="AF26" i="122"/>
  <c r="AH26" i="122"/>
  <c r="AI26" i="122"/>
  <c r="AJ26" i="122"/>
  <c r="AK26" i="122"/>
  <c r="AW26" i="122"/>
  <c r="AX26" i="122"/>
  <c r="AY26" i="122"/>
  <c r="BB26" i="122"/>
  <c r="BC26" i="122"/>
  <c r="BD26" i="122"/>
  <c r="BE26" i="122"/>
  <c r="BH26" i="122"/>
  <c r="BI26" i="122"/>
  <c r="B27" i="122"/>
  <c r="C27" i="122"/>
  <c r="F27" i="122"/>
  <c r="H27" i="122"/>
  <c r="J27" i="122"/>
  <c r="L27" i="122"/>
  <c r="N27" i="122"/>
  <c r="P27" i="122"/>
  <c r="Q27" i="122"/>
  <c r="R27" i="122"/>
  <c r="S27" i="122"/>
  <c r="U27" i="122"/>
  <c r="W27" i="122"/>
  <c r="Y27" i="122"/>
  <c r="AC27" i="122"/>
  <c r="AD27" i="122"/>
  <c r="AF27" i="122"/>
  <c r="AH27" i="122"/>
  <c r="AI27" i="122"/>
  <c r="AJ27" i="122"/>
  <c r="AK27" i="122"/>
  <c r="AW27" i="122"/>
  <c r="AX27" i="122"/>
  <c r="AY27" i="122"/>
  <c r="BB27" i="122"/>
  <c r="BC27" i="122"/>
  <c r="BD27" i="122"/>
  <c r="BE27" i="122"/>
  <c r="BH27" i="122"/>
  <c r="BI27" i="122"/>
  <c r="B28" i="122"/>
  <c r="C28" i="122"/>
  <c r="F28" i="122"/>
  <c r="H28" i="122"/>
  <c r="J28" i="122"/>
  <c r="L28" i="122"/>
  <c r="N28" i="122"/>
  <c r="P28" i="122"/>
  <c r="Q28" i="122"/>
  <c r="R28" i="122"/>
  <c r="S28" i="122"/>
  <c r="U28" i="122"/>
  <c r="W28" i="122"/>
  <c r="Y28" i="122"/>
  <c r="AC28" i="122"/>
  <c r="AD28" i="122"/>
  <c r="AF28" i="122"/>
  <c r="AH28" i="122"/>
  <c r="AI28" i="122"/>
  <c r="AJ28" i="122"/>
  <c r="AK28" i="122"/>
  <c r="AW28" i="122"/>
  <c r="AX28" i="122"/>
  <c r="AY28" i="122"/>
  <c r="BB28" i="122"/>
  <c r="BC28" i="122"/>
  <c r="BD28" i="122"/>
  <c r="BE28" i="122"/>
  <c r="BH28" i="122"/>
  <c r="BI28" i="122"/>
  <c r="B29" i="122"/>
  <c r="C29" i="122"/>
  <c r="F29" i="122"/>
  <c r="H29" i="122"/>
  <c r="J29" i="122"/>
  <c r="L29" i="122"/>
  <c r="N29" i="122"/>
  <c r="P29" i="122"/>
  <c r="Q29" i="122"/>
  <c r="R29" i="122"/>
  <c r="S29" i="122"/>
  <c r="U29" i="122"/>
  <c r="W29" i="122"/>
  <c r="Y29" i="122"/>
  <c r="AC29" i="122"/>
  <c r="AD29" i="122"/>
  <c r="AF29" i="122"/>
  <c r="AH29" i="122"/>
  <c r="AI29" i="122"/>
  <c r="AJ29" i="122"/>
  <c r="AK29" i="122"/>
  <c r="AW29" i="122"/>
  <c r="AX29" i="122"/>
  <c r="AY29" i="122"/>
  <c r="BB29" i="122"/>
  <c r="BC29" i="122"/>
  <c r="BD29" i="122"/>
  <c r="BE29" i="122"/>
  <c r="BH29" i="122"/>
  <c r="BI29" i="122"/>
  <c r="B30" i="122"/>
  <c r="C30" i="122"/>
  <c r="F30" i="122"/>
  <c r="H30" i="122"/>
  <c r="J30" i="122"/>
  <c r="L30" i="122"/>
  <c r="N30" i="122"/>
  <c r="P30" i="122"/>
  <c r="Q30" i="122"/>
  <c r="R30" i="122"/>
  <c r="S30" i="122"/>
  <c r="U30" i="122"/>
  <c r="W30" i="122"/>
  <c r="Y30" i="122"/>
  <c r="AC30" i="122"/>
  <c r="AD30" i="122"/>
  <c r="AF30" i="122"/>
  <c r="AH30" i="122"/>
  <c r="AI30" i="122"/>
  <c r="AJ30" i="122"/>
  <c r="AK30" i="122"/>
  <c r="AW30" i="122"/>
  <c r="AX30" i="122"/>
  <c r="AY30" i="122"/>
  <c r="BB30" i="122"/>
  <c r="BC30" i="122"/>
  <c r="BD30" i="122"/>
  <c r="BE30" i="122"/>
  <c r="BH30" i="122"/>
  <c r="BI30" i="122"/>
  <c r="B31" i="122"/>
  <c r="C31" i="122"/>
  <c r="F31" i="122"/>
  <c r="H31" i="122"/>
  <c r="J31" i="122"/>
  <c r="L31" i="122"/>
  <c r="N31" i="122"/>
  <c r="P31" i="122"/>
  <c r="Q31" i="122"/>
  <c r="R31" i="122"/>
  <c r="S31" i="122"/>
  <c r="U31" i="122"/>
  <c r="W31" i="122"/>
  <c r="Y31" i="122"/>
  <c r="AC31" i="122"/>
  <c r="AD31" i="122"/>
  <c r="AF31" i="122"/>
  <c r="AH31" i="122"/>
  <c r="AI31" i="122"/>
  <c r="AJ31" i="122"/>
  <c r="AK31" i="122"/>
  <c r="AW31" i="122"/>
  <c r="AX31" i="122"/>
  <c r="AY31" i="122"/>
  <c r="BB31" i="122"/>
  <c r="BC31" i="122"/>
  <c r="BD31" i="122"/>
  <c r="BE31" i="122"/>
  <c r="BH31" i="122"/>
  <c r="BI31" i="122"/>
  <c r="B32" i="122"/>
  <c r="C32" i="122"/>
  <c r="F32" i="122"/>
  <c r="H32" i="122"/>
  <c r="J32" i="122"/>
  <c r="L32" i="122"/>
  <c r="N32" i="122"/>
  <c r="P32" i="122"/>
  <c r="Q32" i="122"/>
  <c r="R32" i="122"/>
  <c r="S32" i="122"/>
  <c r="U32" i="122"/>
  <c r="W32" i="122"/>
  <c r="Y32" i="122"/>
  <c r="AC32" i="122"/>
  <c r="AD32" i="122"/>
  <c r="AF32" i="122"/>
  <c r="AH32" i="122"/>
  <c r="AI32" i="122"/>
  <c r="AJ32" i="122"/>
  <c r="AK32" i="122"/>
  <c r="AW32" i="122"/>
  <c r="AX32" i="122"/>
  <c r="AY32" i="122"/>
  <c r="BB32" i="122"/>
  <c r="BC32" i="122"/>
  <c r="BD32" i="122"/>
  <c r="BE32" i="122"/>
  <c r="BH32" i="122"/>
  <c r="BI32" i="122"/>
  <c r="B33" i="122"/>
  <c r="C33" i="122"/>
  <c r="F33" i="122"/>
  <c r="H33" i="122"/>
  <c r="J33" i="122"/>
  <c r="L33" i="122"/>
  <c r="N33" i="122"/>
  <c r="P33" i="122"/>
  <c r="Q33" i="122"/>
  <c r="R33" i="122"/>
  <c r="S33" i="122"/>
  <c r="U33" i="122"/>
  <c r="W33" i="122"/>
  <c r="Y33" i="122"/>
  <c r="AC33" i="122"/>
  <c r="AD33" i="122"/>
  <c r="AF33" i="122"/>
  <c r="AH33" i="122"/>
  <c r="AI33" i="122"/>
  <c r="AJ33" i="122"/>
  <c r="AK33" i="122"/>
  <c r="AW33" i="122"/>
  <c r="AX33" i="122"/>
  <c r="AY33" i="122"/>
  <c r="BB33" i="122"/>
  <c r="BC33" i="122"/>
  <c r="BD33" i="122"/>
  <c r="BE33" i="122"/>
  <c r="BH33" i="122"/>
  <c r="BI33" i="122"/>
  <c r="B34" i="122"/>
  <c r="C34" i="122"/>
  <c r="F34" i="122"/>
  <c r="H34" i="122"/>
  <c r="J34" i="122"/>
  <c r="L34" i="122"/>
  <c r="N34" i="122"/>
  <c r="P34" i="122"/>
  <c r="Q34" i="122"/>
  <c r="R34" i="122"/>
  <c r="S34" i="122"/>
  <c r="U34" i="122"/>
  <c r="W34" i="122"/>
  <c r="Y34" i="122"/>
  <c r="AC34" i="122"/>
  <c r="AD34" i="122"/>
  <c r="AF34" i="122"/>
  <c r="AH34" i="122"/>
  <c r="AI34" i="122"/>
  <c r="AJ34" i="122"/>
  <c r="AK34" i="122"/>
  <c r="AW34" i="122"/>
  <c r="AX34" i="122"/>
  <c r="AY34" i="122"/>
  <c r="BB34" i="122"/>
  <c r="BC34" i="122"/>
  <c r="BD34" i="122"/>
  <c r="BE34" i="122"/>
  <c r="BH34" i="122"/>
  <c r="BI34" i="122"/>
  <c r="B35" i="122"/>
  <c r="C35" i="122"/>
  <c r="F35" i="122"/>
  <c r="H35" i="122"/>
  <c r="J35" i="122"/>
  <c r="L35" i="122"/>
  <c r="N35" i="122"/>
  <c r="P35" i="122"/>
  <c r="Q35" i="122"/>
  <c r="R35" i="122"/>
  <c r="S35" i="122"/>
  <c r="U35" i="122"/>
  <c r="W35" i="122"/>
  <c r="Y35" i="122"/>
  <c r="AC35" i="122"/>
  <c r="AD35" i="122"/>
  <c r="AF35" i="122"/>
  <c r="AH35" i="122"/>
  <c r="AI35" i="122"/>
  <c r="AJ35" i="122"/>
  <c r="AK35" i="122"/>
  <c r="AW35" i="122"/>
  <c r="AX35" i="122"/>
  <c r="AY35" i="122"/>
  <c r="BB35" i="122"/>
  <c r="BC35" i="122"/>
  <c r="BD35" i="122"/>
  <c r="BE35" i="122"/>
  <c r="BH35" i="122"/>
  <c r="BI35" i="122"/>
  <c r="B36" i="122"/>
  <c r="C36" i="122"/>
  <c r="F36" i="122"/>
  <c r="H36" i="122"/>
  <c r="J36" i="122"/>
  <c r="L36" i="122"/>
  <c r="N36" i="122"/>
  <c r="P36" i="122"/>
  <c r="Q36" i="122"/>
  <c r="R36" i="122"/>
  <c r="S36" i="122"/>
  <c r="U36" i="122"/>
  <c r="W36" i="122"/>
  <c r="Y36" i="122"/>
  <c r="AC36" i="122"/>
  <c r="AD36" i="122"/>
  <c r="AF36" i="122"/>
  <c r="AH36" i="122"/>
  <c r="AI36" i="122"/>
  <c r="AJ36" i="122"/>
  <c r="AK36" i="122"/>
  <c r="AW36" i="122"/>
  <c r="AX36" i="122"/>
  <c r="AY36" i="122"/>
  <c r="BB36" i="122"/>
  <c r="BC36" i="122"/>
  <c r="BD36" i="122"/>
  <c r="BE36" i="122"/>
  <c r="BH36" i="122"/>
  <c r="BI36" i="122"/>
  <c r="B37" i="122"/>
  <c r="C37" i="122"/>
  <c r="F37" i="122"/>
  <c r="H37" i="122"/>
  <c r="J37" i="122"/>
  <c r="L37" i="122"/>
  <c r="N37" i="122"/>
  <c r="P37" i="122"/>
  <c r="Q37" i="122"/>
  <c r="R37" i="122"/>
  <c r="S37" i="122"/>
  <c r="U37" i="122"/>
  <c r="W37" i="122"/>
  <c r="Y37" i="122"/>
  <c r="AC37" i="122"/>
  <c r="AD37" i="122"/>
  <c r="AF37" i="122"/>
  <c r="AH37" i="122"/>
  <c r="AI37" i="122"/>
  <c r="AJ37" i="122"/>
  <c r="AK37" i="122"/>
  <c r="AW37" i="122"/>
  <c r="AX37" i="122"/>
  <c r="AY37" i="122"/>
  <c r="BB37" i="122"/>
  <c r="BC37" i="122"/>
  <c r="BD37" i="122"/>
  <c r="BE37" i="122"/>
  <c r="BH37" i="122"/>
  <c r="BI37" i="122"/>
  <c r="B38" i="122"/>
  <c r="C38" i="122"/>
  <c r="F38" i="122"/>
  <c r="H38" i="122"/>
  <c r="J38" i="122"/>
  <c r="L38" i="122"/>
  <c r="N38" i="122"/>
  <c r="P38" i="122"/>
  <c r="Q38" i="122"/>
  <c r="R38" i="122"/>
  <c r="S38" i="122"/>
  <c r="U38" i="122"/>
  <c r="W38" i="122"/>
  <c r="Y38" i="122"/>
  <c r="AC38" i="122"/>
  <c r="AD38" i="122"/>
  <c r="AF38" i="122"/>
  <c r="AH38" i="122"/>
  <c r="AI38" i="122"/>
  <c r="AJ38" i="122"/>
  <c r="AK38" i="122"/>
  <c r="AW38" i="122"/>
  <c r="AX38" i="122"/>
  <c r="AY38" i="122"/>
  <c r="BB38" i="122"/>
  <c r="BC38" i="122"/>
  <c r="BD38" i="122"/>
  <c r="BE38" i="122"/>
  <c r="BH38" i="122"/>
  <c r="BI38" i="122"/>
  <c r="B39" i="122"/>
  <c r="C39" i="122"/>
  <c r="F39" i="122"/>
  <c r="H39" i="122"/>
  <c r="J39" i="122"/>
  <c r="L39" i="122"/>
  <c r="N39" i="122"/>
  <c r="P39" i="122"/>
  <c r="Q39" i="122"/>
  <c r="R39" i="122"/>
  <c r="S39" i="122"/>
  <c r="U39" i="122"/>
  <c r="W39" i="122"/>
  <c r="Y39" i="122"/>
  <c r="AC39" i="122"/>
  <c r="AD39" i="122"/>
  <c r="AF39" i="122"/>
  <c r="AH39" i="122"/>
  <c r="AI39" i="122"/>
  <c r="AJ39" i="122"/>
  <c r="AK39" i="122"/>
  <c r="AW39" i="122"/>
  <c r="AX39" i="122"/>
  <c r="AY39" i="122"/>
  <c r="BB39" i="122"/>
  <c r="BC39" i="122"/>
  <c r="BD39" i="122"/>
  <c r="BE39" i="122"/>
  <c r="BH39" i="122"/>
  <c r="BI39" i="122"/>
  <c r="B40" i="122"/>
  <c r="C40" i="122"/>
  <c r="F40" i="122"/>
  <c r="H40" i="122"/>
  <c r="J40" i="122"/>
  <c r="L40" i="122"/>
  <c r="N40" i="122"/>
  <c r="P40" i="122"/>
  <c r="Q40" i="122"/>
  <c r="R40" i="122"/>
  <c r="S40" i="122"/>
  <c r="U40" i="122"/>
  <c r="W40" i="122"/>
  <c r="Y40" i="122"/>
  <c r="AC40" i="122"/>
  <c r="AD40" i="122"/>
  <c r="AF40" i="122"/>
  <c r="AH40" i="122"/>
  <c r="AI40" i="122"/>
  <c r="AJ40" i="122"/>
  <c r="AK40" i="122"/>
  <c r="AW40" i="122"/>
  <c r="AX40" i="122"/>
  <c r="AY40" i="122"/>
  <c r="BB40" i="122"/>
  <c r="BC40" i="122"/>
  <c r="BD40" i="122"/>
  <c r="BE40" i="122"/>
  <c r="BH40" i="122"/>
  <c r="BI40" i="122"/>
  <c r="B41" i="122"/>
  <c r="C41" i="122"/>
  <c r="F41" i="122"/>
  <c r="H41" i="122"/>
  <c r="J41" i="122"/>
  <c r="L41" i="122"/>
  <c r="N41" i="122"/>
  <c r="P41" i="122"/>
  <c r="Q41" i="122"/>
  <c r="R41" i="122"/>
  <c r="S41" i="122"/>
  <c r="U41" i="122"/>
  <c r="W41" i="122"/>
  <c r="Y41" i="122"/>
  <c r="AC41" i="122"/>
  <c r="AD41" i="122"/>
  <c r="AF41" i="122"/>
  <c r="AH41" i="122"/>
  <c r="AI41" i="122"/>
  <c r="AJ41" i="122"/>
  <c r="AK41" i="122"/>
  <c r="AW41" i="122"/>
  <c r="AX41" i="122"/>
  <c r="AY41" i="122"/>
  <c r="BB41" i="122"/>
  <c r="BC41" i="122"/>
  <c r="BD41" i="122"/>
  <c r="BE41" i="122"/>
  <c r="BH41" i="122"/>
  <c r="BI41" i="122"/>
  <c r="B42" i="122"/>
  <c r="C42" i="122"/>
  <c r="F42" i="122"/>
  <c r="H42" i="122"/>
  <c r="J42" i="122"/>
  <c r="L42" i="122"/>
  <c r="N42" i="122"/>
  <c r="P42" i="122"/>
  <c r="Q42" i="122"/>
  <c r="R42" i="122"/>
  <c r="S42" i="122"/>
  <c r="U42" i="122"/>
  <c r="W42" i="122"/>
  <c r="Y42" i="122"/>
  <c r="AC42" i="122"/>
  <c r="AD42" i="122"/>
  <c r="AF42" i="122"/>
  <c r="AH42" i="122"/>
  <c r="AI42" i="122"/>
  <c r="AJ42" i="122"/>
  <c r="AK42" i="122"/>
  <c r="AW42" i="122"/>
  <c r="AX42" i="122"/>
  <c r="AY42" i="122"/>
  <c r="BB42" i="122"/>
  <c r="BC42" i="122"/>
  <c r="BD42" i="122"/>
  <c r="BE42" i="122"/>
  <c r="BH42" i="122"/>
  <c r="BI42" i="122"/>
  <c r="B43" i="122"/>
  <c r="C43" i="122"/>
  <c r="F43" i="122"/>
  <c r="H43" i="122"/>
  <c r="J43" i="122"/>
  <c r="L43" i="122"/>
  <c r="N43" i="122"/>
  <c r="P43" i="122"/>
  <c r="Q43" i="122"/>
  <c r="R43" i="122"/>
  <c r="S43" i="122"/>
  <c r="U43" i="122"/>
  <c r="W43" i="122"/>
  <c r="Y43" i="122"/>
  <c r="AC43" i="122"/>
  <c r="AD43" i="122"/>
  <c r="AF43" i="122"/>
  <c r="AH43" i="122"/>
  <c r="AI43" i="122"/>
  <c r="AJ43" i="122"/>
  <c r="AK43" i="122"/>
  <c r="AW43" i="122"/>
  <c r="AX43" i="122"/>
  <c r="AY43" i="122"/>
  <c r="BB43" i="122"/>
  <c r="BC43" i="122"/>
  <c r="BD43" i="122"/>
  <c r="BE43" i="122"/>
  <c r="BH43" i="122"/>
  <c r="BI43" i="122"/>
  <c r="B44" i="122"/>
  <c r="C44" i="122"/>
  <c r="F44" i="122"/>
  <c r="H44" i="122"/>
  <c r="J44" i="122"/>
  <c r="L44" i="122"/>
  <c r="N44" i="122"/>
  <c r="P44" i="122"/>
  <c r="Q44" i="122"/>
  <c r="R44" i="122"/>
  <c r="S44" i="122"/>
  <c r="U44" i="122"/>
  <c r="W44" i="122"/>
  <c r="Y44" i="122"/>
  <c r="AC44" i="122"/>
  <c r="AD44" i="122"/>
  <c r="AF44" i="122"/>
  <c r="AH44" i="122"/>
  <c r="AI44" i="122"/>
  <c r="AJ44" i="122"/>
  <c r="AK44" i="122"/>
  <c r="AW44" i="122"/>
  <c r="AX44" i="122"/>
  <c r="AY44" i="122"/>
  <c r="BB44" i="122"/>
  <c r="BC44" i="122"/>
  <c r="BD44" i="122"/>
  <c r="BE44" i="122"/>
  <c r="BH44" i="122"/>
  <c r="BI44" i="122"/>
  <c r="B45" i="122"/>
  <c r="C45" i="122"/>
  <c r="F45" i="122"/>
  <c r="H45" i="122"/>
  <c r="J45" i="122"/>
  <c r="L45" i="122"/>
  <c r="N45" i="122"/>
  <c r="P45" i="122"/>
  <c r="Q45" i="122"/>
  <c r="R45" i="122"/>
  <c r="S45" i="122"/>
  <c r="U45" i="122"/>
  <c r="W45" i="122"/>
  <c r="Y45" i="122"/>
  <c r="AC45" i="122"/>
  <c r="AD45" i="122"/>
  <c r="AF45" i="122"/>
  <c r="AH45" i="122"/>
  <c r="AI45" i="122"/>
  <c r="AJ45" i="122"/>
  <c r="AK45" i="122"/>
  <c r="AW45" i="122"/>
  <c r="AX45" i="122"/>
  <c r="AY45" i="122"/>
  <c r="BB45" i="122"/>
  <c r="BC45" i="122"/>
  <c r="BD45" i="122"/>
  <c r="BE45" i="122"/>
  <c r="BH45" i="122"/>
  <c r="BI45" i="122"/>
  <c r="B46" i="122"/>
  <c r="C46" i="122"/>
  <c r="F46" i="122"/>
  <c r="H46" i="122"/>
  <c r="J46" i="122"/>
  <c r="L46" i="122"/>
  <c r="N46" i="122"/>
  <c r="P46" i="122"/>
  <c r="Q46" i="122"/>
  <c r="R46" i="122"/>
  <c r="S46" i="122"/>
  <c r="U46" i="122"/>
  <c r="W46" i="122"/>
  <c r="Y46" i="122"/>
  <c r="AC46" i="122"/>
  <c r="AD46" i="122"/>
  <c r="AF46" i="122"/>
  <c r="AH46" i="122"/>
  <c r="AI46" i="122"/>
  <c r="AJ46" i="122"/>
  <c r="AK46" i="122"/>
  <c r="AW46" i="122"/>
  <c r="AX46" i="122"/>
  <c r="AY46" i="122"/>
  <c r="BB46" i="122"/>
  <c r="BC46" i="122"/>
  <c r="BD46" i="122"/>
  <c r="BE46" i="122"/>
  <c r="BH46" i="122"/>
  <c r="BI46" i="122"/>
  <c r="B47" i="122"/>
  <c r="C47" i="122"/>
  <c r="F47" i="122"/>
  <c r="H47" i="122"/>
  <c r="J47" i="122"/>
  <c r="L47" i="122"/>
  <c r="N47" i="122"/>
  <c r="P47" i="122"/>
  <c r="Q47" i="122"/>
  <c r="R47" i="122"/>
  <c r="S47" i="122"/>
  <c r="U47" i="122"/>
  <c r="W47" i="122"/>
  <c r="Y47" i="122"/>
  <c r="AC47" i="122"/>
  <c r="AD47" i="122"/>
  <c r="AF47" i="122"/>
  <c r="AH47" i="122"/>
  <c r="AI47" i="122"/>
  <c r="AJ47" i="122"/>
  <c r="AK47" i="122"/>
  <c r="AW47" i="122"/>
  <c r="AX47" i="122"/>
  <c r="AY47" i="122"/>
  <c r="BB47" i="122"/>
  <c r="BC47" i="122"/>
  <c r="BD47" i="122"/>
  <c r="BE47" i="122"/>
  <c r="BH47" i="122"/>
  <c r="BI47" i="122"/>
  <c r="B48" i="122"/>
  <c r="C48" i="122"/>
  <c r="F48" i="122"/>
  <c r="H48" i="122"/>
  <c r="J48" i="122"/>
  <c r="L48" i="122"/>
  <c r="N48" i="122"/>
  <c r="P48" i="122"/>
  <c r="Q48" i="122"/>
  <c r="R48" i="122"/>
  <c r="S48" i="122"/>
  <c r="U48" i="122"/>
  <c r="W48" i="122"/>
  <c r="Y48" i="122"/>
  <c r="AC48" i="122"/>
  <c r="AD48" i="122"/>
  <c r="AF48" i="122"/>
  <c r="AH48" i="122"/>
  <c r="AI48" i="122"/>
  <c r="AJ48" i="122"/>
  <c r="AK48" i="122"/>
  <c r="AW48" i="122"/>
  <c r="AX48" i="122"/>
  <c r="AY48" i="122"/>
  <c r="BB48" i="122"/>
  <c r="BC48" i="122"/>
  <c r="BD48" i="122"/>
  <c r="BE48" i="122"/>
  <c r="BH48" i="122"/>
  <c r="BI48" i="122"/>
  <c r="B49" i="122"/>
  <c r="C49" i="122"/>
  <c r="F49" i="122"/>
  <c r="H49" i="122"/>
  <c r="J49" i="122"/>
  <c r="L49" i="122"/>
  <c r="N49" i="122"/>
  <c r="P49" i="122"/>
  <c r="Q49" i="122"/>
  <c r="R49" i="122"/>
  <c r="S49" i="122"/>
  <c r="U49" i="122"/>
  <c r="W49" i="122"/>
  <c r="Y49" i="122"/>
  <c r="AC49" i="122"/>
  <c r="AD49" i="122"/>
  <c r="AF49" i="122"/>
  <c r="AH49" i="122"/>
  <c r="AI49" i="122"/>
  <c r="AJ49" i="122"/>
  <c r="AK49" i="122"/>
  <c r="AW49" i="122"/>
  <c r="AX49" i="122"/>
  <c r="AY49" i="122"/>
  <c r="BB49" i="122"/>
  <c r="BC49" i="122"/>
  <c r="BD49" i="122"/>
  <c r="BE49" i="122"/>
  <c r="BH49" i="122"/>
  <c r="BI49" i="122"/>
  <c r="B50" i="122"/>
  <c r="C50" i="122"/>
  <c r="F50" i="122"/>
  <c r="H50" i="122"/>
  <c r="J50" i="122"/>
  <c r="L50" i="122"/>
  <c r="N50" i="122"/>
  <c r="P50" i="122"/>
  <c r="Q50" i="122"/>
  <c r="R50" i="122"/>
  <c r="S50" i="122"/>
  <c r="U50" i="122"/>
  <c r="W50" i="122"/>
  <c r="Y50" i="122"/>
  <c r="AC50" i="122"/>
  <c r="AD50" i="122"/>
  <c r="AF50" i="122"/>
  <c r="AH50" i="122"/>
  <c r="AI50" i="122"/>
  <c r="AJ50" i="122"/>
  <c r="AK50" i="122"/>
  <c r="AW50" i="122"/>
  <c r="AX50" i="122"/>
  <c r="AY50" i="122"/>
  <c r="BB50" i="122"/>
  <c r="BC50" i="122"/>
  <c r="BD50" i="122"/>
  <c r="BE50" i="122"/>
  <c r="BH50" i="122"/>
  <c r="BI50" i="122"/>
  <c r="C51" i="122"/>
  <c r="D51" i="122"/>
  <c r="E51" i="122"/>
  <c r="F51" i="122"/>
  <c r="G51" i="122"/>
  <c r="H51" i="122"/>
  <c r="I51" i="122"/>
  <c r="J51" i="122"/>
  <c r="K51" i="122"/>
  <c r="L51" i="122"/>
  <c r="M51" i="122"/>
  <c r="N51" i="122"/>
  <c r="O51" i="122"/>
  <c r="P51" i="122"/>
  <c r="Q51" i="122"/>
  <c r="R51" i="122"/>
  <c r="S51" i="122"/>
  <c r="T51" i="122"/>
  <c r="U51" i="122"/>
  <c r="V51" i="122"/>
  <c r="W51" i="122"/>
  <c r="X51" i="122"/>
  <c r="Y51" i="122"/>
  <c r="AD51" i="122"/>
  <c r="AE51" i="122"/>
  <c r="AF51" i="122"/>
  <c r="AG51" i="122"/>
  <c r="AH51" i="122"/>
  <c r="AI51" i="122"/>
  <c r="AJ51" i="122"/>
  <c r="AK51" i="122"/>
  <c r="AX51" i="122"/>
  <c r="AY51" i="122"/>
  <c r="AZ51" i="122"/>
  <c r="BA51" i="122"/>
  <c r="BB51" i="122"/>
  <c r="BC51" i="122"/>
  <c r="BD51" i="122"/>
  <c r="BE51" i="122"/>
  <c r="BF51" i="122"/>
  <c r="BG51" i="122"/>
  <c r="BH51" i="122"/>
  <c r="BI51" i="122"/>
  <c r="AN10" i="121"/>
  <c r="AO10" i="121"/>
  <c r="AQ10" i="121"/>
  <c r="AS10" i="121"/>
  <c r="AT10" i="121"/>
  <c r="B11" i="121"/>
  <c r="C11" i="121"/>
  <c r="F11" i="121"/>
  <c r="H11" i="121"/>
  <c r="J11" i="121"/>
  <c r="L11" i="121"/>
  <c r="N11" i="121"/>
  <c r="P11" i="121"/>
  <c r="Q11" i="121"/>
  <c r="R11" i="121"/>
  <c r="S11" i="121"/>
  <c r="U11" i="121"/>
  <c r="W11" i="121"/>
  <c r="Y11" i="121"/>
  <c r="AC11" i="121"/>
  <c r="AD11" i="121"/>
  <c r="AF11" i="121"/>
  <c r="AH11" i="121"/>
  <c r="AI11" i="121"/>
  <c r="AJ11" i="121"/>
  <c r="AK11" i="121"/>
  <c r="AN11" i="121"/>
  <c r="AO11" i="121"/>
  <c r="AQ11" i="121"/>
  <c r="AS11" i="121"/>
  <c r="AT11" i="121"/>
  <c r="AW11" i="121"/>
  <c r="AX11" i="121"/>
  <c r="AY11" i="121"/>
  <c r="BB11" i="121"/>
  <c r="BC11" i="121"/>
  <c r="BD11" i="121"/>
  <c r="BE11" i="121"/>
  <c r="BH11" i="121"/>
  <c r="BI11" i="121"/>
  <c r="B12" i="121"/>
  <c r="C12" i="121"/>
  <c r="F12" i="121"/>
  <c r="H12" i="121"/>
  <c r="J12" i="121"/>
  <c r="L12" i="121"/>
  <c r="N12" i="121"/>
  <c r="P12" i="121"/>
  <c r="Q12" i="121"/>
  <c r="R12" i="121"/>
  <c r="S12" i="121"/>
  <c r="U12" i="121"/>
  <c r="W12" i="121"/>
  <c r="Y12" i="121"/>
  <c r="AC12" i="121"/>
  <c r="AD12" i="121"/>
  <c r="AF12" i="121"/>
  <c r="AH12" i="121"/>
  <c r="AI12" i="121"/>
  <c r="AJ12" i="121"/>
  <c r="AK12" i="121"/>
  <c r="AN12" i="121"/>
  <c r="AO12" i="121"/>
  <c r="AQ12" i="121"/>
  <c r="AS12" i="121"/>
  <c r="AT12" i="121"/>
  <c r="AW12" i="121"/>
  <c r="AX12" i="121"/>
  <c r="AY12" i="121"/>
  <c r="BB12" i="121"/>
  <c r="BC12" i="121"/>
  <c r="BD12" i="121"/>
  <c r="BE12" i="121"/>
  <c r="BH12" i="121"/>
  <c r="BI12" i="121"/>
  <c r="B13" i="121"/>
  <c r="C13" i="121"/>
  <c r="F13" i="121"/>
  <c r="H13" i="121"/>
  <c r="J13" i="121"/>
  <c r="L13" i="121"/>
  <c r="N13" i="121"/>
  <c r="P13" i="121"/>
  <c r="Q13" i="121"/>
  <c r="R13" i="121"/>
  <c r="S13" i="121"/>
  <c r="U13" i="121"/>
  <c r="W13" i="121"/>
  <c r="Y13" i="121"/>
  <c r="AC13" i="121"/>
  <c r="AD13" i="121"/>
  <c r="AF13" i="121"/>
  <c r="AH13" i="121"/>
  <c r="AI13" i="121"/>
  <c r="AJ13" i="121"/>
  <c r="AK13" i="121"/>
  <c r="AO13" i="121"/>
  <c r="AP13" i="121"/>
  <c r="AQ13" i="121"/>
  <c r="AR13" i="121"/>
  <c r="AS13" i="121"/>
  <c r="AT13" i="121"/>
  <c r="AW13" i="121"/>
  <c r="AX13" i="121"/>
  <c r="AY13" i="121"/>
  <c r="BB13" i="121"/>
  <c r="BC13" i="121"/>
  <c r="BD13" i="121"/>
  <c r="BE13" i="121"/>
  <c r="BH13" i="121"/>
  <c r="BI13" i="121"/>
  <c r="B14" i="121"/>
  <c r="C14" i="121"/>
  <c r="F14" i="121"/>
  <c r="H14" i="121"/>
  <c r="J14" i="121"/>
  <c r="L14" i="121"/>
  <c r="N14" i="121"/>
  <c r="P14" i="121"/>
  <c r="Q14" i="121"/>
  <c r="R14" i="121"/>
  <c r="S14" i="121"/>
  <c r="U14" i="121"/>
  <c r="W14" i="121"/>
  <c r="Y14" i="121"/>
  <c r="AC14" i="121"/>
  <c r="AD14" i="121"/>
  <c r="AF14" i="121"/>
  <c r="AH14" i="121"/>
  <c r="AI14" i="121"/>
  <c r="AJ14" i="121"/>
  <c r="AK14" i="121"/>
  <c r="AT14" i="121"/>
  <c r="AW14" i="121"/>
  <c r="AX14" i="121"/>
  <c r="AY14" i="121"/>
  <c r="BB14" i="121"/>
  <c r="BC14" i="121"/>
  <c r="BD14" i="121"/>
  <c r="BE14" i="121"/>
  <c r="BH14" i="121"/>
  <c r="BI14" i="121"/>
  <c r="B15" i="121"/>
  <c r="C15" i="121"/>
  <c r="F15" i="121"/>
  <c r="H15" i="121"/>
  <c r="J15" i="121"/>
  <c r="L15" i="121"/>
  <c r="N15" i="121"/>
  <c r="P15" i="121"/>
  <c r="Q15" i="121"/>
  <c r="R15" i="121"/>
  <c r="S15" i="121"/>
  <c r="U15" i="121"/>
  <c r="W15" i="121"/>
  <c r="Y15" i="121"/>
  <c r="AC15" i="121"/>
  <c r="AD15" i="121"/>
  <c r="AF15" i="121"/>
  <c r="AH15" i="121"/>
  <c r="AI15" i="121"/>
  <c r="AJ15" i="121"/>
  <c r="AK15" i="121"/>
  <c r="AW15" i="121"/>
  <c r="AX15" i="121"/>
  <c r="AY15" i="121"/>
  <c r="BB15" i="121"/>
  <c r="BC15" i="121"/>
  <c r="BD15" i="121"/>
  <c r="BE15" i="121"/>
  <c r="BH15" i="121"/>
  <c r="BI15" i="121"/>
  <c r="B16" i="121"/>
  <c r="C16" i="121"/>
  <c r="F16" i="121"/>
  <c r="H16" i="121"/>
  <c r="J16" i="121"/>
  <c r="L16" i="121"/>
  <c r="N16" i="121"/>
  <c r="P16" i="121"/>
  <c r="Q16" i="121"/>
  <c r="R16" i="121"/>
  <c r="S16" i="121"/>
  <c r="U16" i="121"/>
  <c r="W16" i="121"/>
  <c r="Y16" i="121"/>
  <c r="AC16" i="121"/>
  <c r="AD16" i="121"/>
  <c r="AF16" i="121"/>
  <c r="AH16" i="121"/>
  <c r="AI16" i="121"/>
  <c r="AJ16" i="121"/>
  <c r="AK16" i="121"/>
  <c r="AW16" i="121"/>
  <c r="AX16" i="121"/>
  <c r="AY16" i="121"/>
  <c r="BB16" i="121"/>
  <c r="BC16" i="121"/>
  <c r="BD16" i="121"/>
  <c r="BE16" i="121"/>
  <c r="BH16" i="121"/>
  <c r="BI16" i="121"/>
  <c r="B17" i="121"/>
  <c r="C17" i="121"/>
  <c r="F17" i="121"/>
  <c r="H17" i="121"/>
  <c r="J17" i="121"/>
  <c r="L17" i="121"/>
  <c r="N17" i="121"/>
  <c r="P17" i="121"/>
  <c r="Q17" i="121"/>
  <c r="R17" i="121"/>
  <c r="S17" i="121"/>
  <c r="U17" i="121"/>
  <c r="W17" i="121"/>
  <c r="Y17" i="121"/>
  <c r="AC17" i="121"/>
  <c r="AD17" i="121"/>
  <c r="AF17" i="121"/>
  <c r="AH17" i="121"/>
  <c r="AI17" i="121"/>
  <c r="AJ17" i="121"/>
  <c r="AK17" i="121"/>
  <c r="AW17" i="121"/>
  <c r="AX17" i="121"/>
  <c r="AY17" i="121"/>
  <c r="BB17" i="121"/>
  <c r="BC17" i="121"/>
  <c r="BD17" i="121"/>
  <c r="BE17" i="121"/>
  <c r="BH17" i="121"/>
  <c r="BI17" i="121"/>
  <c r="B18" i="121"/>
  <c r="C18" i="121"/>
  <c r="F18" i="121"/>
  <c r="H18" i="121"/>
  <c r="J18" i="121"/>
  <c r="L18" i="121"/>
  <c r="N18" i="121"/>
  <c r="P18" i="121"/>
  <c r="Q18" i="121"/>
  <c r="R18" i="121"/>
  <c r="S18" i="121"/>
  <c r="U18" i="121"/>
  <c r="W18" i="121"/>
  <c r="Y18" i="121"/>
  <c r="AC18" i="121"/>
  <c r="AD18" i="121"/>
  <c r="AF18" i="121"/>
  <c r="AH18" i="121"/>
  <c r="AI18" i="121"/>
  <c r="AJ18" i="121"/>
  <c r="AK18" i="121"/>
  <c r="AW18" i="121"/>
  <c r="AX18" i="121"/>
  <c r="AY18" i="121"/>
  <c r="BB18" i="121"/>
  <c r="BC18" i="121"/>
  <c r="BD18" i="121"/>
  <c r="BE18" i="121"/>
  <c r="BH18" i="121"/>
  <c r="BI18" i="121"/>
  <c r="B19" i="121"/>
  <c r="C19" i="121"/>
  <c r="F19" i="121"/>
  <c r="H19" i="121"/>
  <c r="J19" i="121"/>
  <c r="L19" i="121"/>
  <c r="N19" i="121"/>
  <c r="P19" i="121"/>
  <c r="Q19" i="121"/>
  <c r="R19" i="121"/>
  <c r="S19" i="121"/>
  <c r="U19" i="121"/>
  <c r="W19" i="121"/>
  <c r="Y19" i="121"/>
  <c r="AC19" i="121"/>
  <c r="AD19" i="121"/>
  <c r="AF19" i="121"/>
  <c r="AH19" i="121"/>
  <c r="AI19" i="121"/>
  <c r="AJ19" i="121"/>
  <c r="AK19" i="121"/>
  <c r="AW19" i="121"/>
  <c r="AX19" i="121"/>
  <c r="AY19" i="121"/>
  <c r="BB19" i="121"/>
  <c r="BC19" i="121"/>
  <c r="BD19" i="121"/>
  <c r="BE19" i="121"/>
  <c r="BH19" i="121"/>
  <c r="BI19" i="121"/>
  <c r="B20" i="121"/>
  <c r="C20" i="121"/>
  <c r="F20" i="121"/>
  <c r="H20" i="121"/>
  <c r="J20" i="121"/>
  <c r="L20" i="121"/>
  <c r="N20" i="121"/>
  <c r="P20" i="121"/>
  <c r="Q20" i="121"/>
  <c r="R20" i="121"/>
  <c r="S20" i="121"/>
  <c r="U20" i="121"/>
  <c r="W20" i="121"/>
  <c r="Y20" i="121"/>
  <c r="AC20" i="121"/>
  <c r="AD20" i="121"/>
  <c r="AF20" i="121"/>
  <c r="AH20" i="121"/>
  <c r="AI20" i="121"/>
  <c r="AJ20" i="121"/>
  <c r="AK20" i="121"/>
  <c r="AW20" i="121"/>
  <c r="AX20" i="121"/>
  <c r="AY20" i="121"/>
  <c r="BB20" i="121"/>
  <c r="BC20" i="121"/>
  <c r="BD20" i="121"/>
  <c r="BE20" i="121"/>
  <c r="BH20" i="121"/>
  <c r="BI20" i="121"/>
  <c r="B21" i="121"/>
  <c r="C21" i="121"/>
  <c r="F21" i="121"/>
  <c r="H21" i="121"/>
  <c r="J21" i="121"/>
  <c r="L21" i="121"/>
  <c r="N21" i="121"/>
  <c r="P21" i="121"/>
  <c r="Q21" i="121"/>
  <c r="R21" i="121"/>
  <c r="S21" i="121"/>
  <c r="U21" i="121"/>
  <c r="W21" i="121"/>
  <c r="Y21" i="121"/>
  <c r="AC21" i="121"/>
  <c r="AD21" i="121"/>
  <c r="AF21" i="121"/>
  <c r="AH21" i="121"/>
  <c r="AI21" i="121"/>
  <c r="AJ21" i="121"/>
  <c r="AK21" i="121"/>
  <c r="AW21" i="121"/>
  <c r="AX21" i="121"/>
  <c r="AY21" i="121"/>
  <c r="BB21" i="121"/>
  <c r="BC21" i="121"/>
  <c r="BD21" i="121"/>
  <c r="BE21" i="121"/>
  <c r="BH21" i="121"/>
  <c r="BI21" i="121"/>
  <c r="B22" i="121"/>
  <c r="C22" i="121"/>
  <c r="F22" i="121"/>
  <c r="H22" i="121"/>
  <c r="J22" i="121"/>
  <c r="L22" i="121"/>
  <c r="N22" i="121"/>
  <c r="P22" i="121"/>
  <c r="Q22" i="121"/>
  <c r="R22" i="121"/>
  <c r="S22" i="121"/>
  <c r="U22" i="121"/>
  <c r="W22" i="121"/>
  <c r="Y22" i="121"/>
  <c r="AC22" i="121"/>
  <c r="AD22" i="121"/>
  <c r="AF22" i="121"/>
  <c r="AH22" i="121"/>
  <c r="AI22" i="121"/>
  <c r="AJ22" i="121"/>
  <c r="AK22" i="121"/>
  <c r="AW22" i="121"/>
  <c r="AX22" i="121"/>
  <c r="AY22" i="121"/>
  <c r="BB22" i="121"/>
  <c r="BC22" i="121"/>
  <c r="BD22" i="121"/>
  <c r="BE22" i="121"/>
  <c r="BH22" i="121"/>
  <c r="BI22" i="121"/>
  <c r="B23" i="121"/>
  <c r="C23" i="121"/>
  <c r="F23" i="121"/>
  <c r="H23" i="121"/>
  <c r="J23" i="121"/>
  <c r="L23" i="121"/>
  <c r="N23" i="121"/>
  <c r="P23" i="121"/>
  <c r="Q23" i="121"/>
  <c r="R23" i="121"/>
  <c r="S23" i="121"/>
  <c r="U23" i="121"/>
  <c r="W23" i="121"/>
  <c r="Y23" i="121"/>
  <c r="AC23" i="121"/>
  <c r="AD23" i="121"/>
  <c r="AF23" i="121"/>
  <c r="AH23" i="121"/>
  <c r="AI23" i="121"/>
  <c r="AJ23" i="121"/>
  <c r="AK23" i="121"/>
  <c r="AW23" i="121"/>
  <c r="AX23" i="121"/>
  <c r="AY23" i="121"/>
  <c r="BB23" i="121"/>
  <c r="BC23" i="121"/>
  <c r="BD23" i="121"/>
  <c r="BE23" i="121"/>
  <c r="BH23" i="121"/>
  <c r="BI23" i="121"/>
  <c r="B24" i="121"/>
  <c r="C24" i="121"/>
  <c r="F24" i="121"/>
  <c r="H24" i="121"/>
  <c r="J24" i="121"/>
  <c r="L24" i="121"/>
  <c r="N24" i="121"/>
  <c r="P24" i="121"/>
  <c r="Q24" i="121"/>
  <c r="R24" i="121"/>
  <c r="S24" i="121"/>
  <c r="U24" i="121"/>
  <c r="W24" i="121"/>
  <c r="Y24" i="121"/>
  <c r="AC24" i="121"/>
  <c r="AD24" i="121"/>
  <c r="AF24" i="121"/>
  <c r="AH24" i="121"/>
  <c r="AI24" i="121"/>
  <c r="AJ24" i="121"/>
  <c r="AK24" i="121"/>
  <c r="AW24" i="121"/>
  <c r="AX24" i="121"/>
  <c r="AY24" i="121"/>
  <c r="BB24" i="121"/>
  <c r="BC24" i="121"/>
  <c r="BD24" i="121"/>
  <c r="BE24" i="121"/>
  <c r="BH24" i="121"/>
  <c r="BI24" i="121"/>
  <c r="B25" i="121"/>
  <c r="C25" i="121"/>
  <c r="F25" i="121"/>
  <c r="H25" i="121"/>
  <c r="J25" i="121"/>
  <c r="L25" i="121"/>
  <c r="N25" i="121"/>
  <c r="P25" i="121"/>
  <c r="Q25" i="121"/>
  <c r="R25" i="121"/>
  <c r="S25" i="121"/>
  <c r="U25" i="121"/>
  <c r="W25" i="121"/>
  <c r="Y25" i="121"/>
  <c r="AC25" i="121"/>
  <c r="AD25" i="121"/>
  <c r="AF25" i="121"/>
  <c r="AH25" i="121"/>
  <c r="AI25" i="121"/>
  <c r="AJ25" i="121"/>
  <c r="AK25" i="121"/>
  <c r="AW25" i="121"/>
  <c r="AX25" i="121"/>
  <c r="AY25" i="121"/>
  <c r="BB25" i="121"/>
  <c r="BC25" i="121"/>
  <c r="BD25" i="121"/>
  <c r="BE25" i="121"/>
  <c r="BH25" i="121"/>
  <c r="BI25" i="121"/>
  <c r="B26" i="121"/>
  <c r="C26" i="121"/>
  <c r="F26" i="121"/>
  <c r="H26" i="121"/>
  <c r="J26" i="121"/>
  <c r="L26" i="121"/>
  <c r="N26" i="121"/>
  <c r="P26" i="121"/>
  <c r="Q26" i="121"/>
  <c r="R26" i="121"/>
  <c r="S26" i="121"/>
  <c r="U26" i="121"/>
  <c r="W26" i="121"/>
  <c r="Y26" i="121"/>
  <c r="AC26" i="121"/>
  <c r="AD26" i="121"/>
  <c r="AF26" i="121"/>
  <c r="AH26" i="121"/>
  <c r="AI26" i="121"/>
  <c r="AJ26" i="121"/>
  <c r="AK26" i="121"/>
  <c r="AW26" i="121"/>
  <c r="AX26" i="121"/>
  <c r="AY26" i="121"/>
  <c r="BB26" i="121"/>
  <c r="BC26" i="121"/>
  <c r="BD26" i="121"/>
  <c r="BE26" i="121"/>
  <c r="BH26" i="121"/>
  <c r="BI26" i="121"/>
  <c r="B27" i="121"/>
  <c r="C27" i="121"/>
  <c r="F27" i="121"/>
  <c r="H27" i="121"/>
  <c r="J27" i="121"/>
  <c r="L27" i="121"/>
  <c r="N27" i="121"/>
  <c r="P27" i="121"/>
  <c r="Q27" i="121"/>
  <c r="R27" i="121"/>
  <c r="S27" i="121"/>
  <c r="U27" i="121"/>
  <c r="W27" i="121"/>
  <c r="Y27" i="121"/>
  <c r="AC27" i="121"/>
  <c r="AD27" i="121"/>
  <c r="AF27" i="121"/>
  <c r="AH27" i="121"/>
  <c r="AI27" i="121"/>
  <c r="AJ27" i="121"/>
  <c r="AK27" i="121"/>
  <c r="AW27" i="121"/>
  <c r="AX27" i="121"/>
  <c r="AY27" i="121"/>
  <c r="BB27" i="121"/>
  <c r="BC27" i="121"/>
  <c r="BD27" i="121"/>
  <c r="BE27" i="121"/>
  <c r="BH27" i="121"/>
  <c r="BI27" i="121"/>
  <c r="B28" i="121"/>
  <c r="C28" i="121"/>
  <c r="F28" i="121"/>
  <c r="H28" i="121"/>
  <c r="J28" i="121"/>
  <c r="L28" i="121"/>
  <c r="N28" i="121"/>
  <c r="P28" i="121"/>
  <c r="Q28" i="121"/>
  <c r="R28" i="121"/>
  <c r="S28" i="121"/>
  <c r="U28" i="121"/>
  <c r="W28" i="121"/>
  <c r="Y28" i="121"/>
  <c r="AC28" i="121"/>
  <c r="AD28" i="121"/>
  <c r="AF28" i="121"/>
  <c r="AH28" i="121"/>
  <c r="AI28" i="121"/>
  <c r="AJ28" i="121"/>
  <c r="AK28" i="121"/>
  <c r="AW28" i="121"/>
  <c r="AX28" i="121"/>
  <c r="AY28" i="121"/>
  <c r="BB28" i="121"/>
  <c r="BC28" i="121"/>
  <c r="BD28" i="121"/>
  <c r="BE28" i="121"/>
  <c r="BH28" i="121"/>
  <c r="BI28" i="121"/>
  <c r="B29" i="121"/>
  <c r="C29" i="121"/>
  <c r="F29" i="121"/>
  <c r="H29" i="121"/>
  <c r="J29" i="121"/>
  <c r="L29" i="121"/>
  <c r="N29" i="121"/>
  <c r="P29" i="121"/>
  <c r="Q29" i="121"/>
  <c r="R29" i="121"/>
  <c r="S29" i="121"/>
  <c r="U29" i="121"/>
  <c r="W29" i="121"/>
  <c r="Y29" i="121"/>
  <c r="AC29" i="121"/>
  <c r="AD29" i="121"/>
  <c r="AF29" i="121"/>
  <c r="AH29" i="121"/>
  <c r="AI29" i="121"/>
  <c r="AJ29" i="121"/>
  <c r="AK29" i="121"/>
  <c r="AW29" i="121"/>
  <c r="AX29" i="121"/>
  <c r="AY29" i="121"/>
  <c r="BB29" i="121"/>
  <c r="BC29" i="121"/>
  <c r="BD29" i="121"/>
  <c r="BE29" i="121"/>
  <c r="BH29" i="121"/>
  <c r="BI29" i="121"/>
  <c r="B30" i="121"/>
  <c r="C30" i="121"/>
  <c r="F30" i="121"/>
  <c r="H30" i="121"/>
  <c r="J30" i="121"/>
  <c r="L30" i="121"/>
  <c r="N30" i="121"/>
  <c r="P30" i="121"/>
  <c r="Q30" i="121"/>
  <c r="R30" i="121"/>
  <c r="S30" i="121"/>
  <c r="U30" i="121"/>
  <c r="W30" i="121"/>
  <c r="Y30" i="121"/>
  <c r="AC30" i="121"/>
  <c r="AD30" i="121"/>
  <c r="AF30" i="121"/>
  <c r="AH30" i="121"/>
  <c r="AI30" i="121"/>
  <c r="AJ30" i="121"/>
  <c r="AK30" i="121"/>
  <c r="AW30" i="121"/>
  <c r="AX30" i="121"/>
  <c r="AY30" i="121"/>
  <c r="BB30" i="121"/>
  <c r="BC30" i="121"/>
  <c r="BD30" i="121"/>
  <c r="BE30" i="121"/>
  <c r="BH30" i="121"/>
  <c r="BI30" i="121"/>
  <c r="B31" i="121"/>
  <c r="C31" i="121"/>
  <c r="F31" i="121"/>
  <c r="H31" i="121"/>
  <c r="J31" i="121"/>
  <c r="L31" i="121"/>
  <c r="N31" i="121"/>
  <c r="P31" i="121"/>
  <c r="Q31" i="121"/>
  <c r="R31" i="121"/>
  <c r="S31" i="121"/>
  <c r="U31" i="121"/>
  <c r="W31" i="121"/>
  <c r="Y31" i="121"/>
  <c r="AC31" i="121"/>
  <c r="AD31" i="121"/>
  <c r="AF31" i="121"/>
  <c r="AH31" i="121"/>
  <c r="AI31" i="121"/>
  <c r="AJ31" i="121"/>
  <c r="AK31" i="121"/>
  <c r="AW31" i="121"/>
  <c r="AX31" i="121"/>
  <c r="AY31" i="121"/>
  <c r="BB31" i="121"/>
  <c r="BC31" i="121"/>
  <c r="BD31" i="121"/>
  <c r="BE31" i="121"/>
  <c r="BH31" i="121"/>
  <c r="BI31" i="121"/>
  <c r="B32" i="121"/>
  <c r="C32" i="121"/>
  <c r="F32" i="121"/>
  <c r="H32" i="121"/>
  <c r="J32" i="121"/>
  <c r="L32" i="121"/>
  <c r="N32" i="121"/>
  <c r="P32" i="121"/>
  <c r="Q32" i="121"/>
  <c r="R32" i="121"/>
  <c r="S32" i="121"/>
  <c r="U32" i="121"/>
  <c r="W32" i="121"/>
  <c r="Y32" i="121"/>
  <c r="AC32" i="121"/>
  <c r="AD32" i="121"/>
  <c r="AF32" i="121"/>
  <c r="AH32" i="121"/>
  <c r="AI32" i="121"/>
  <c r="AJ32" i="121"/>
  <c r="AK32" i="121"/>
  <c r="AW32" i="121"/>
  <c r="AX32" i="121"/>
  <c r="AY32" i="121"/>
  <c r="BB32" i="121"/>
  <c r="BC32" i="121"/>
  <c r="BD32" i="121"/>
  <c r="BE32" i="121"/>
  <c r="BH32" i="121"/>
  <c r="BI32" i="121"/>
  <c r="B33" i="121"/>
  <c r="C33" i="121"/>
  <c r="F33" i="121"/>
  <c r="H33" i="121"/>
  <c r="J33" i="121"/>
  <c r="L33" i="121"/>
  <c r="N33" i="121"/>
  <c r="P33" i="121"/>
  <c r="Q33" i="121"/>
  <c r="R33" i="121"/>
  <c r="S33" i="121"/>
  <c r="U33" i="121"/>
  <c r="W33" i="121"/>
  <c r="Y33" i="121"/>
  <c r="AC33" i="121"/>
  <c r="AD33" i="121"/>
  <c r="AF33" i="121"/>
  <c r="AH33" i="121"/>
  <c r="AI33" i="121"/>
  <c r="AJ33" i="121"/>
  <c r="AK33" i="121"/>
  <c r="AW33" i="121"/>
  <c r="AX33" i="121"/>
  <c r="AY33" i="121"/>
  <c r="BB33" i="121"/>
  <c r="BC33" i="121"/>
  <c r="BD33" i="121"/>
  <c r="BE33" i="121"/>
  <c r="BH33" i="121"/>
  <c r="BI33" i="121"/>
  <c r="B34" i="121"/>
  <c r="C34" i="121"/>
  <c r="F34" i="121"/>
  <c r="H34" i="121"/>
  <c r="J34" i="121"/>
  <c r="L34" i="121"/>
  <c r="N34" i="121"/>
  <c r="P34" i="121"/>
  <c r="Q34" i="121"/>
  <c r="R34" i="121"/>
  <c r="S34" i="121"/>
  <c r="U34" i="121"/>
  <c r="W34" i="121"/>
  <c r="Y34" i="121"/>
  <c r="AC34" i="121"/>
  <c r="AD34" i="121"/>
  <c r="AF34" i="121"/>
  <c r="AH34" i="121"/>
  <c r="AI34" i="121"/>
  <c r="AJ34" i="121"/>
  <c r="AK34" i="121"/>
  <c r="AW34" i="121"/>
  <c r="AX34" i="121"/>
  <c r="AY34" i="121"/>
  <c r="BB34" i="121"/>
  <c r="BC34" i="121"/>
  <c r="BD34" i="121"/>
  <c r="BE34" i="121"/>
  <c r="BH34" i="121"/>
  <c r="BI34" i="121"/>
  <c r="B35" i="121"/>
  <c r="C35" i="121"/>
  <c r="F35" i="121"/>
  <c r="H35" i="121"/>
  <c r="J35" i="121"/>
  <c r="L35" i="121"/>
  <c r="N35" i="121"/>
  <c r="P35" i="121"/>
  <c r="Q35" i="121"/>
  <c r="R35" i="121"/>
  <c r="S35" i="121"/>
  <c r="U35" i="121"/>
  <c r="W35" i="121"/>
  <c r="Y35" i="121"/>
  <c r="AC35" i="121"/>
  <c r="AD35" i="121"/>
  <c r="AF35" i="121"/>
  <c r="AH35" i="121"/>
  <c r="AI35" i="121"/>
  <c r="AJ35" i="121"/>
  <c r="AK35" i="121"/>
  <c r="AW35" i="121"/>
  <c r="AX35" i="121"/>
  <c r="AY35" i="121"/>
  <c r="BB35" i="121"/>
  <c r="BC35" i="121"/>
  <c r="BD35" i="121"/>
  <c r="BE35" i="121"/>
  <c r="BH35" i="121"/>
  <c r="BI35" i="121"/>
  <c r="B36" i="121"/>
  <c r="C36" i="121"/>
  <c r="F36" i="121"/>
  <c r="H36" i="121"/>
  <c r="J36" i="121"/>
  <c r="L36" i="121"/>
  <c r="N36" i="121"/>
  <c r="P36" i="121"/>
  <c r="Q36" i="121"/>
  <c r="R36" i="121"/>
  <c r="S36" i="121"/>
  <c r="U36" i="121"/>
  <c r="W36" i="121"/>
  <c r="Y36" i="121"/>
  <c r="AC36" i="121"/>
  <c r="AD36" i="121"/>
  <c r="AF36" i="121"/>
  <c r="AH36" i="121"/>
  <c r="AI36" i="121"/>
  <c r="AJ36" i="121"/>
  <c r="AK36" i="121"/>
  <c r="AW36" i="121"/>
  <c r="AX36" i="121"/>
  <c r="AY36" i="121"/>
  <c r="BB36" i="121"/>
  <c r="BC36" i="121"/>
  <c r="BD36" i="121"/>
  <c r="BE36" i="121"/>
  <c r="BH36" i="121"/>
  <c r="BI36" i="121"/>
  <c r="B37" i="121"/>
  <c r="C37" i="121"/>
  <c r="F37" i="121"/>
  <c r="H37" i="121"/>
  <c r="J37" i="121"/>
  <c r="L37" i="121"/>
  <c r="N37" i="121"/>
  <c r="P37" i="121"/>
  <c r="Q37" i="121"/>
  <c r="R37" i="121"/>
  <c r="S37" i="121"/>
  <c r="U37" i="121"/>
  <c r="W37" i="121"/>
  <c r="Y37" i="121"/>
  <c r="AC37" i="121"/>
  <c r="AD37" i="121"/>
  <c r="AF37" i="121"/>
  <c r="AH37" i="121"/>
  <c r="AI37" i="121"/>
  <c r="AJ37" i="121"/>
  <c r="AK37" i="121"/>
  <c r="AW37" i="121"/>
  <c r="AX37" i="121"/>
  <c r="AY37" i="121"/>
  <c r="BB37" i="121"/>
  <c r="BC37" i="121"/>
  <c r="BD37" i="121"/>
  <c r="BE37" i="121"/>
  <c r="BH37" i="121"/>
  <c r="BI37" i="121"/>
  <c r="B38" i="121"/>
  <c r="C38" i="121"/>
  <c r="F38" i="121"/>
  <c r="H38" i="121"/>
  <c r="J38" i="121"/>
  <c r="L38" i="121"/>
  <c r="N38" i="121"/>
  <c r="P38" i="121"/>
  <c r="Q38" i="121"/>
  <c r="R38" i="121"/>
  <c r="S38" i="121"/>
  <c r="U38" i="121"/>
  <c r="W38" i="121"/>
  <c r="Y38" i="121"/>
  <c r="AC38" i="121"/>
  <c r="AD38" i="121"/>
  <c r="AF38" i="121"/>
  <c r="AH38" i="121"/>
  <c r="AI38" i="121"/>
  <c r="AJ38" i="121"/>
  <c r="AK38" i="121"/>
  <c r="AW38" i="121"/>
  <c r="AX38" i="121"/>
  <c r="AY38" i="121"/>
  <c r="BB38" i="121"/>
  <c r="BC38" i="121"/>
  <c r="BD38" i="121"/>
  <c r="BE38" i="121"/>
  <c r="BH38" i="121"/>
  <c r="BI38" i="121"/>
  <c r="B39" i="121"/>
  <c r="C39" i="121"/>
  <c r="F39" i="121"/>
  <c r="H39" i="121"/>
  <c r="J39" i="121"/>
  <c r="L39" i="121"/>
  <c r="N39" i="121"/>
  <c r="P39" i="121"/>
  <c r="Q39" i="121"/>
  <c r="R39" i="121"/>
  <c r="S39" i="121"/>
  <c r="U39" i="121"/>
  <c r="W39" i="121"/>
  <c r="Y39" i="121"/>
  <c r="AC39" i="121"/>
  <c r="AD39" i="121"/>
  <c r="AF39" i="121"/>
  <c r="AH39" i="121"/>
  <c r="AI39" i="121"/>
  <c r="AJ39" i="121"/>
  <c r="AK39" i="121"/>
  <c r="AW39" i="121"/>
  <c r="AX39" i="121"/>
  <c r="AY39" i="121"/>
  <c r="BB39" i="121"/>
  <c r="BC39" i="121"/>
  <c r="BD39" i="121"/>
  <c r="BE39" i="121"/>
  <c r="BH39" i="121"/>
  <c r="BI39" i="121"/>
  <c r="B40" i="121"/>
  <c r="C40" i="121"/>
  <c r="F40" i="121"/>
  <c r="H40" i="121"/>
  <c r="J40" i="121"/>
  <c r="L40" i="121"/>
  <c r="N40" i="121"/>
  <c r="P40" i="121"/>
  <c r="Q40" i="121"/>
  <c r="R40" i="121"/>
  <c r="S40" i="121"/>
  <c r="U40" i="121"/>
  <c r="W40" i="121"/>
  <c r="Y40" i="121"/>
  <c r="AC40" i="121"/>
  <c r="AD40" i="121"/>
  <c r="AF40" i="121"/>
  <c r="AH40" i="121"/>
  <c r="AI40" i="121"/>
  <c r="AJ40" i="121"/>
  <c r="AK40" i="121"/>
  <c r="AW40" i="121"/>
  <c r="AX40" i="121"/>
  <c r="AY40" i="121"/>
  <c r="BB40" i="121"/>
  <c r="BC40" i="121"/>
  <c r="BD40" i="121"/>
  <c r="BE40" i="121"/>
  <c r="BH40" i="121"/>
  <c r="BI40" i="121"/>
  <c r="B41" i="121"/>
  <c r="C41" i="121"/>
  <c r="F41" i="121"/>
  <c r="H41" i="121"/>
  <c r="J41" i="121"/>
  <c r="L41" i="121"/>
  <c r="N41" i="121"/>
  <c r="P41" i="121"/>
  <c r="Q41" i="121"/>
  <c r="R41" i="121"/>
  <c r="S41" i="121"/>
  <c r="U41" i="121"/>
  <c r="W41" i="121"/>
  <c r="Y41" i="121"/>
  <c r="AC41" i="121"/>
  <c r="AD41" i="121"/>
  <c r="AF41" i="121"/>
  <c r="AH41" i="121"/>
  <c r="AI41" i="121"/>
  <c r="AJ41" i="121"/>
  <c r="AK41" i="121"/>
  <c r="AW41" i="121"/>
  <c r="AX41" i="121"/>
  <c r="AY41" i="121"/>
  <c r="BB41" i="121"/>
  <c r="BC41" i="121"/>
  <c r="BD41" i="121"/>
  <c r="BE41" i="121"/>
  <c r="BH41" i="121"/>
  <c r="BI41" i="121"/>
  <c r="B42" i="121"/>
  <c r="C42" i="121"/>
  <c r="F42" i="121"/>
  <c r="H42" i="121"/>
  <c r="J42" i="121"/>
  <c r="L42" i="121"/>
  <c r="N42" i="121"/>
  <c r="P42" i="121"/>
  <c r="Q42" i="121"/>
  <c r="R42" i="121"/>
  <c r="S42" i="121"/>
  <c r="U42" i="121"/>
  <c r="W42" i="121"/>
  <c r="Y42" i="121"/>
  <c r="AC42" i="121"/>
  <c r="AD42" i="121"/>
  <c r="AF42" i="121"/>
  <c r="AH42" i="121"/>
  <c r="AI42" i="121"/>
  <c r="AJ42" i="121"/>
  <c r="AK42" i="121"/>
  <c r="AW42" i="121"/>
  <c r="AX42" i="121"/>
  <c r="AY42" i="121"/>
  <c r="BB42" i="121"/>
  <c r="BC42" i="121"/>
  <c r="BD42" i="121"/>
  <c r="BE42" i="121"/>
  <c r="BH42" i="121"/>
  <c r="BI42" i="121"/>
  <c r="B43" i="121"/>
  <c r="C43" i="121"/>
  <c r="F43" i="121"/>
  <c r="H43" i="121"/>
  <c r="J43" i="121"/>
  <c r="L43" i="121"/>
  <c r="N43" i="121"/>
  <c r="P43" i="121"/>
  <c r="Q43" i="121"/>
  <c r="R43" i="121"/>
  <c r="S43" i="121"/>
  <c r="U43" i="121"/>
  <c r="W43" i="121"/>
  <c r="Y43" i="121"/>
  <c r="AC43" i="121"/>
  <c r="AD43" i="121"/>
  <c r="AF43" i="121"/>
  <c r="AH43" i="121"/>
  <c r="AI43" i="121"/>
  <c r="AJ43" i="121"/>
  <c r="AK43" i="121"/>
  <c r="AW43" i="121"/>
  <c r="AX43" i="121"/>
  <c r="AY43" i="121"/>
  <c r="BB43" i="121"/>
  <c r="BC43" i="121"/>
  <c r="BD43" i="121"/>
  <c r="BE43" i="121"/>
  <c r="BH43" i="121"/>
  <c r="BI43" i="121"/>
  <c r="B44" i="121"/>
  <c r="C44" i="121"/>
  <c r="F44" i="121"/>
  <c r="H44" i="121"/>
  <c r="J44" i="121"/>
  <c r="L44" i="121"/>
  <c r="N44" i="121"/>
  <c r="P44" i="121"/>
  <c r="Q44" i="121"/>
  <c r="R44" i="121"/>
  <c r="S44" i="121"/>
  <c r="U44" i="121"/>
  <c r="W44" i="121"/>
  <c r="Y44" i="121"/>
  <c r="AC44" i="121"/>
  <c r="AD44" i="121"/>
  <c r="AF44" i="121"/>
  <c r="AH44" i="121"/>
  <c r="AI44" i="121"/>
  <c r="AJ44" i="121"/>
  <c r="AK44" i="121"/>
  <c r="AW44" i="121"/>
  <c r="AX44" i="121"/>
  <c r="AY44" i="121"/>
  <c r="BB44" i="121"/>
  <c r="BC44" i="121"/>
  <c r="BD44" i="121"/>
  <c r="BE44" i="121"/>
  <c r="BH44" i="121"/>
  <c r="BI44" i="121"/>
  <c r="B45" i="121"/>
  <c r="C45" i="121"/>
  <c r="F45" i="121"/>
  <c r="H45" i="121"/>
  <c r="J45" i="121"/>
  <c r="L45" i="121"/>
  <c r="N45" i="121"/>
  <c r="P45" i="121"/>
  <c r="Q45" i="121"/>
  <c r="R45" i="121"/>
  <c r="S45" i="121"/>
  <c r="U45" i="121"/>
  <c r="W45" i="121"/>
  <c r="Y45" i="121"/>
  <c r="AC45" i="121"/>
  <c r="AD45" i="121"/>
  <c r="AF45" i="121"/>
  <c r="AH45" i="121"/>
  <c r="AI45" i="121"/>
  <c r="AJ45" i="121"/>
  <c r="AK45" i="121"/>
  <c r="AW45" i="121"/>
  <c r="AX45" i="121"/>
  <c r="AY45" i="121"/>
  <c r="BB45" i="121"/>
  <c r="BC45" i="121"/>
  <c r="BD45" i="121"/>
  <c r="BE45" i="121"/>
  <c r="BH45" i="121"/>
  <c r="BI45" i="121"/>
  <c r="B46" i="121"/>
  <c r="C46" i="121"/>
  <c r="F46" i="121"/>
  <c r="H46" i="121"/>
  <c r="J46" i="121"/>
  <c r="L46" i="121"/>
  <c r="N46" i="121"/>
  <c r="P46" i="121"/>
  <c r="Q46" i="121"/>
  <c r="R46" i="121"/>
  <c r="S46" i="121"/>
  <c r="U46" i="121"/>
  <c r="W46" i="121"/>
  <c r="Y46" i="121"/>
  <c r="AC46" i="121"/>
  <c r="AD46" i="121"/>
  <c r="AF46" i="121"/>
  <c r="AH46" i="121"/>
  <c r="AI46" i="121"/>
  <c r="AJ46" i="121"/>
  <c r="AK46" i="121"/>
  <c r="AW46" i="121"/>
  <c r="AX46" i="121"/>
  <c r="AY46" i="121"/>
  <c r="BB46" i="121"/>
  <c r="BC46" i="121"/>
  <c r="BD46" i="121"/>
  <c r="BE46" i="121"/>
  <c r="BH46" i="121"/>
  <c r="BI46" i="121"/>
  <c r="B47" i="121"/>
  <c r="C47" i="121"/>
  <c r="F47" i="121"/>
  <c r="H47" i="121"/>
  <c r="J47" i="121"/>
  <c r="L47" i="121"/>
  <c r="N47" i="121"/>
  <c r="P47" i="121"/>
  <c r="Q47" i="121"/>
  <c r="R47" i="121"/>
  <c r="S47" i="121"/>
  <c r="U47" i="121"/>
  <c r="W47" i="121"/>
  <c r="Y47" i="121"/>
  <c r="AC47" i="121"/>
  <c r="AD47" i="121"/>
  <c r="AF47" i="121"/>
  <c r="AH47" i="121"/>
  <c r="AI47" i="121"/>
  <c r="AJ47" i="121"/>
  <c r="AK47" i="121"/>
  <c r="AW47" i="121"/>
  <c r="AX47" i="121"/>
  <c r="AY47" i="121"/>
  <c r="BB47" i="121"/>
  <c r="BC47" i="121"/>
  <c r="BD47" i="121"/>
  <c r="BE47" i="121"/>
  <c r="BH47" i="121"/>
  <c r="BI47" i="121"/>
  <c r="B48" i="121"/>
  <c r="C48" i="121"/>
  <c r="F48" i="121"/>
  <c r="H48" i="121"/>
  <c r="J48" i="121"/>
  <c r="L48" i="121"/>
  <c r="N48" i="121"/>
  <c r="P48" i="121"/>
  <c r="Q48" i="121"/>
  <c r="R48" i="121"/>
  <c r="S48" i="121"/>
  <c r="U48" i="121"/>
  <c r="W48" i="121"/>
  <c r="Y48" i="121"/>
  <c r="AC48" i="121"/>
  <c r="AD48" i="121"/>
  <c r="AF48" i="121"/>
  <c r="AH48" i="121"/>
  <c r="AI48" i="121"/>
  <c r="AJ48" i="121"/>
  <c r="AK48" i="121"/>
  <c r="AW48" i="121"/>
  <c r="AX48" i="121"/>
  <c r="AY48" i="121"/>
  <c r="BB48" i="121"/>
  <c r="BC48" i="121"/>
  <c r="BD48" i="121"/>
  <c r="BE48" i="121"/>
  <c r="BH48" i="121"/>
  <c r="BI48" i="121"/>
  <c r="B49" i="121"/>
  <c r="C49" i="121"/>
  <c r="F49" i="121"/>
  <c r="H49" i="121"/>
  <c r="J49" i="121"/>
  <c r="L49" i="121"/>
  <c r="N49" i="121"/>
  <c r="P49" i="121"/>
  <c r="Q49" i="121"/>
  <c r="R49" i="121"/>
  <c r="S49" i="121"/>
  <c r="U49" i="121"/>
  <c r="W49" i="121"/>
  <c r="Y49" i="121"/>
  <c r="AC49" i="121"/>
  <c r="AD49" i="121"/>
  <c r="AF49" i="121"/>
  <c r="AH49" i="121"/>
  <c r="AI49" i="121"/>
  <c r="AJ49" i="121"/>
  <c r="AK49" i="121"/>
  <c r="AW49" i="121"/>
  <c r="AX49" i="121"/>
  <c r="AY49" i="121"/>
  <c r="BB49" i="121"/>
  <c r="BC49" i="121"/>
  <c r="BD49" i="121"/>
  <c r="BE49" i="121"/>
  <c r="BH49" i="121"/>
  <c r="BI49" i="121"/>
  <c r="B50" i="121"/>
  <c r="C50" i="121"/>
  <c r="F50" i="121"/>
  <c r="H50" i="121"/>
  <c r="J50" i="121"/>
  <c r="L50" i="121"/>
  <c r="N50" i="121"/>
  <c r="P50" i="121"/>
  <c r="Q50" i="121"/>
  <c r="R50" i="121"/>
  <c r="S50" i="121"/>
  <c r="U50" i="121"/>
  <c r="W50" i="121"/>
  <c r="Y50" i="121"/>
  <c r="AC50" i="121"/>
  <c r="AD50" i="121"/>
  <c r="AF50" i="121"/>
  <c r="AH50" i="121"/>
  <c r="AI50" i="121"/>
  <c r="AJ50" i="121"/>
  <c r="AK50" i="121"/>
  <c r="AW50" i="121"/>
  <c r="AX50" i="121"/>
  <c r="AY50" i="121"/>
  <c r="BB50" i="121"/>
  <c r="BC50" i="121"/>
  <c r="BD50" i="121"/>
  <c r="BE50" i="121"/>
  <c r="BH50" i="121"/>
  <c r="BI50" i="121"/>
  <c r="C51" i="121"/>
  <c r="D51" i="121"/>
  <c r="E51" i="121"/>
  <c r="F51" i="121"/>
  <c r="G51" i="121"/>
  <c r="H51" i="121"/>
  <c r="I51" i="121"/>
  <c r="J51" i="121"/>
  <c r="K51" i="121"/>
  <c r="L51" i="121"/>
  <c r="M51" i="121"/>
  <c r="N51" i="121"/>
  <c r="O51" i="121"/>
  <c r="P51" i="121"/>
  <c r="Q51" i="121"/>
  <c r="R51" i="121"/>
  <c r="S51" i="121"/>
  <c r="T51" i="121"/>
  <c r="U51" i="121"/>
  <c r="V51" i="121"/>
  <c r="W51" i="121"/>
  <c r="X51" i="121"/>
  <c r="Y51" i="121"/>
  <c r="AD51" i="121"/>
  <c r="AE51" i="121"/>
  <c r="AF51" i="121"/>
  <c r="AG51" i="121"/>
  <c r="AH51" i="121"/>
  <c r="AI51" i="121"/>
  <c r="AJ51" i="121"/>
  <c r="AK51" i="121"/>
  <c r="AX51" i="121"/>
  <c r="AY51" i="121"/>
  <c r="AZ51" i="121"/>
  <c r="BA51" i="121"/>
  <c r="BB51" i="121"/>
  <c r="BC51" i="121"/>
  <c r="BD51" i="121"/>
  <c r="BE51" i="121"/>
  <c r="BF51" i="121"/>
  <c r="BG51" i="121"/>
  <c r="BH51" i="121"/>
  <c r="BI51" i="121"/>
  <c r="AN10" i="120"/>
  <c r="AO10" i="120"/>
  <c r="AQ10" i="120"/>
  <c r="AS10" i="120"/>
  <c r="AT10" i="120"/>
  <c r="B11" i="120"/>
  <c r="C11" i="120"/>
  <c r="F11" i="120"/>
  <c r="H11" i="120"/>
  <c r="J11" i="120"/>
  <c r="L11" i="120"/>
  <c r="N11" i="120"/>
  <c r="P11" i="120"/>
  <c r="Q11" i="120"/>
  <c r="R11" i="120"/>
  <c r="S11" i="120"/>
  <c r="U11" i="120"/>
  <c r="W11" i="120"/>
  <c r="Y11" i="120"/>
  <c r="AC11" i="120"/>
  <c r="AD11" i="120"/>
  <c r="AF11" i="120"/>
  <c r="AH11" i="120"/>
  <c r="AI11" i="120"/>
  <c r="AJ11" i="120"/>
  <c r="AK11" i="120"/>
  <c r="AN11" i="120"/>
  <c r="AO11" i="120"/>
  <c r="AQ11" i="120"/>
  <c r="AS11" i="120"/>
  <c r="AT11" i="120"/>
  <c r="AW11" i="120"/>
  <c r="AX11" i="120"/>
  <c r="AY11" i="120"/>
  <c r="BB11" i="120"/>
  <c r="BC11" i="120"/>
  <c r="BD11" i="120"/>
  <c r="BE11" i="120"/>
  <c r="BH11" i="120"/>
  <c r="BI11" i="120"/>
  <c r="B12" i="120"/>
  <c r="C12" i="120"/>
  <c r="F12" i="120"/>
  <c r="H12" i="120"/>
  <c r="J12" i="120"/>
  <c r="L12" i="120"/>
  <c r="N12" i="120"/>
  <c r="P12" i="120"/>
  <c r="Q12" i="120"/>
  <c r="R12" i="120"/>
  <c r="S12" i="120"/>
  <c r="U12" i="120"/>
  <c r="W12" i="120"/>
  <c r="Y12" i="120"/>
  <c r="AC12" i="120"/>
  <c r="AD12" i="120"/>
  <c r="AF12" i="120"/>
  <c r="AH12" i="120"/>
  <c r="AI12" i="120"/>
  <c r="AJ12" i="120"/>
  <c r="AK12" i="120"/>
  <c r="AN12" i="120"/>
  <c r="AO12" i="120"/>
  <c r="AQ12" i="120"/>
  <c r="AS12" i="120"/>
  <c r="AT12" i="120"/>
  <c r="AW12" i="120"/>
  <c r="AX12" i="120"/>
  <c r="AY12" i="120"/>
  <c r="BB12" i="120"/>
  <c r="BC12" i="120"/>
  <c r="BD12" i="120"/>
  <c r="BE12" i="120"/>
  <c r="BH12" i="120"/>
  <c r="BI12" i="120"/>
  <c r="B13" i="120"/>
  <c r="C13" i="120"/>
  <c r="F13" i="120"/>
  <c r="H13" i="120"/>
  <c r="J13" i="120"/>
  <c r="L13" i="120"/>
  <c r="N13" i="120"/>
  <c r="P13" i="120"/>
  <c r="Q13" i="120"/>
  <c r="R13" i="120"/>
  <c r="S13" i="120"/>
  <c r="U13" i="120"/>
  <c r="W13" i="120"/>
  <c r="Y13" i="120"/>
  <c r="AC13" i="120"/>
  <c r="AD13" i="120"/>
  <c r="AF13" i="120"/>
  <c r="AH13" i="120"/>
  <c r="AI13" i="120"/>
  <c r="AJ13" i="120"/>
  <c r="AK13" i="120"/>
  <c r="AO13" i="120"/>
  <c r="AP13" i="120"/>
  <c r="AQ13" i="120"/>
  <c r="AR13" i="120"/>
  <c r="AS13" i="120"/>
  <c r="AT13" i="120"/>
  <c r="AW13" i="120"/>
  <c r="AX13" i="120"/>
  <c r="AY13" i="120"/>
  <c r="BB13" i="120"/>
  <c r="BC13" i="120"/>
  <c r="BD13" i="120"/>
  <c r="BE13" i="120"/>
  <c r="BH13" i="120"/>
  <c r="BI13" i="120"/>
  <c r="B14" i="120"/>
  <c r="C14" i="120"/>
  <c r="F14" i="120"/>
  <c r="H14" i="120"/>
  <c r="J14" i="120"/>
  <c r="L14" i="120"/>
  <c r="N14" i="120"/>
  <c r="P14" i="120"/>
  <c r="Q14" i="120"/>
  <c r="R14" i="120"/>
  <c r="S14" i="120"/>
  <c r="U14" i="120"/>
  <c r="W14" i="120"/>
  <c r="Y14" i="120"/>
  <c r="AC14" i="120"/>
  <c r="AD14" i="120"/>
  <c r="AF14" i="120"/>
  <c r="AH14" i="120"/>
  <c r="AI14" i="120"/>
  <c r="AJ14" i="120"/>
  <c r="AK14" i="120"/>
  <c r="AT14" i="120"/>
  <c r="AW14" i="120"/>
  <c r="AX14" i="120"/>
  <c r="AY14" i="120"/>
  <c r="BB14" i="120"/>
  <c r="BC14" i="120"/>
  <c r="BD14" i="120"/>
  <c r="BE14" i="120"/>
  <c r="BH14" i="120"/>
  <c r="BI14" i="120"/>
  <c r="B15" i="120"/>
  <c r="C15" i="120"/>
  <c r="F15" i="120"/>
  <c r="H15" i="120"/>
  <c r="J15" i="120"/>
  <c r="L15" i="120"/>
  <c r="N15" i="120"/>
  <c r="P15" i="120"/>
  <c r="Q15" i="120"/>
  <c r="R15" i="120"/>
  <c r="S15" i="120"/>
  <c r="U15" i="120"/>
  <c r="W15" i="120"/>
  <c r="Y15" i="120"/>
  <c r="AC15" i="120"/>
  <c r="AD15" i="120"/>
  <c r="AF15" i="120"/>
  <c r="AH15" i="120"/>
  <c r="AI15" i="120"/>
  <c r="AJ15" i="120"/>
  <c r="AK15" i="120"/>
  <c r="AW15" i="120"/>
  <c r="AX15" i="120"/>
  <c r="AY15" i="120"/>
  <c r="BB15" i="120"/>
  <c r="BC15" i="120"/>
  <c r="BD15" i="120"/>
  <c r="BE15" i="120"/>
  <c r="BH15" i="120"/>
  <c r="BI15" i="120"/>
  <c r="B16" i="120"/>
  <c r="C16" i="120"/>
  <c r="F16" i="120"/>
  <c r="H16" i="120"/>
  <c r="J16" i="120"/>
  <c r="L16" i="120"/>
  <c r="N16" i="120"/>
  <c r="P16" i="120"/>
  <c r="Q16" i="120"/>
  <c r="R16" i="120"/>
  <c r="S16" i="120"/>
  <c r="U16" i="120"/>
  <c r="W16" i="120"/>
  <c r="Y16" i="120"/>
  <c r="AC16" i="120"/>
  <c r="AD16" i="120"/>
  <c r="AF16" i="120"/>
  <c r="AH16" i="120"/>
  <c r="AI16" i="120"/>
  <c r="AJ16" i="120"/>
  <c r="AK16" i="120"/>
  <c r="AW16" i="120"/>
  <c r="AX16" i="120"/>
  <c r="AY16" i="120"/>
  <c r="BB16" i="120"/>
  <c r="BC16" i="120"/>
  <c r="BD16" i="120"/>
  <c r="BE16" i="120"/>
  <c r="BH16" i="120"/>
  <c r="BI16" i="120"/>
  <c r="B17" i="120"/>
  <c r="C17" i="120"/>
  <c r="F17" i="120"/>
  <c r="H17" i="120"/>
  <c r="J17" i="120"/>
  <c r="L17" i="120"/>
  <c r="N17" i="120"/>
  <c r="P17" i="120"/>
  <c r="Q17" i="120"/>
  <c r="R17" i="120"/>
  <c r="S17" i="120"/>
  <c r="U17" i="120"/>
  <c r="W17" i="120"/>
  <c r="Y17" i="120"/>
  <c r="AC17" i="120"/>
  <c r="AD17" i="120"/>
  <c r="AF17" i="120"/>
  <c r="AH17" i="120"/>
  <c r="AI17" i="120"/>
  <c r="AJ17" i="120"/>
  <c r="AK17" i="120"/>
  <c r="AW17" i="120"/>
  <c r="AX17" i="120"/>
  <c r="AY17" i="120"/>
  <c r="BB17" i="120"/>
  <c r="BC17" i="120"/>
  <c r="BD17" i="120"/>
  <c r="BE17" i="120"/>
  <c r="BH17" i="120"/>
  <c r="BI17" i="120"/>
  <c r="B18" i="120"/>
  <c r="C18" i="120"/>
  <c r="F18" i="120"/>
  <c r="H18" i="120"/>
  <c r="J18" i="120"/>
  <c r="L18" i="120"/>
  <c r="N18" i="120"/>
  <c r="P18" i="120"/>
  <c r="Q18" i="120"/>
  <c r="R18" i="120"/>
  <c r="S18" i="120"/>
  <c r="U18" i="120"/>
  <c r="W18" i="120"/>
  <c r="Y18" i="120"/>
  <c r="AC18" i="120"/>
  <c r="AD18" i="120"/>
  <c r="AF18" i="120"/>
  <c r="AH18" i="120"/>
  <c r="AI18" i="120"/>
  <c r="AJ18" i="120"/>
  <c r="AK18" i="120"/>
  <c r="AW18" i="120"/>
  <c r="AX18" i="120"/>
  <c r="AY18" i="120"/>
  <c r="BB18" i="120"/>
  <c r="BC18" i="120"/>
  <c r="BD18" i="120"/>
  <c r="BE18" i="120"/>
  <c r="BH18" i="120"/>
  <c r="BI18" i="120"/>
  <c r="B19" i="120"/>
  <c r="C19" i="120"/>
  <c r="F19" i="120"/>
  <c r="H19" i="120"/>
  <c r="J19" i="120"/>
  <c r="L19" i="120"/>
  <c r="N19" i="120"/>
  <c r="P19" i="120"/>
  <c r="Q19" i="120"/>
  <c r="R19" i="120"/>
  <c r="S19" i="120"/>
  <c r="U19" i="120"/>
  <c r="W19" i="120"/>
  <c r="Y19" i="120"/>
  <c r="AC19" i="120"/>
  <c r="AD19" i="120"/>
  <c r="AF19" i="120"/>
  <c r="AH19" i="120"/>
  <c r="AI19" i="120"/>
  <c r="AJ19" i="120"/>
  <c r="AK19" i="120"/>
  <c r="AW19" i="120"/>
  <c r="AX19" i="120"/>
  <c r="AY19" i="120"/>
  <c r="BB19" i="120"/>
  <c r="BC19" i="120"/>
  <c r="BD19" i="120"/>
  <c r="BE19" i="120"/>
  <c r="BH19" i="120"/>
  <c r="BI19" i="120"/>
  <c r="B20" i="120"/>
  <c r="C20" i="120"/>
  <c r="F20" i="120"/>
  <c r="H20" i="120"/>
  <c r="J20" i="120"/>
  <c r="L20" i="120"/>
  <c r="N20" i="120"/>
  <c r="P20" i="120"/>
  <c r="Q20" i="120"/>
  <c r="R20" i="120"/>
  <c r="S20" i="120"/>
  <c r="U20" i="120"/>
  <c r="W20" i="120"/>
  <c r="Y20" i="120"/>
  <c r="AC20" i="120"/>
  <c r="AD20" i="120"/>
  <c r="AF20" i="120"/>
  <c r="AH20" i="120"/>
  <c r="AI20" i="120"/>
  <c r="AJ20" i="120"/>
  <c r="AK20" i="120"/>
  <c r="AW20" i="120"/>
  <c r="AX20" i="120"/>
  <c r="AY20" i="120"/>
  <c r="BB20" i="120"/>
  <c r="BC20" i="120"/>
  <c r="BD20" i="120"/>
  <c r="BE20" i="120"/>
  <c r="BH20" i="120"/>
  <c r="BI20" i="120"/>
  <c r="B21" i="120"/>
  <c r="C21" i="120"/>
  <c r="F21" i="120"/>
  <c r="H21" i="120"/>
  <c r="J21" i="120"/>
  <c r="L21" i="120"/>
  <c r="N21" i="120"/>
  <c r="P21" i="120"/>
  <c r="Q21" i="120"/>
  <c r="R21" i="120"/>
  <c r="S21" i="120"/>
  <c r="U21" i="120"/>
  <c r="W21" i="120"/>
  <c r="Y21" i="120"/>
  <c r="AC21" i="120"/>
  <c r="AD21" i="120"/>
  <c r="AF21" i="120"/>
  <c r="AH21" i="120"/>
  <c r="AI21" i="120"/>
  <c r="AJ21" i="120"/>
  <c r="AK21" i="120"/>
  <c r="AW21" i="120"/>
  <c r="AX21" i="120"/>
  <c r="AY21" i="120"/>
  <c r="BB21" i="120"/>
  <c r="BC21" i="120"/>
  <c r="BD21" i="120"/>
  <c r="BE21" i="120"/>
  <c r="BH21" i="120"/>
  <c r="BI21" i="120"/>
  <c r="B22" i="120"/>
  <c r="C22" i="120"/>
  <c r="F22" i="120"/>
  <c r="H22" i="120"/>
  <c r="J22" i="120"/>
  <c r="L22" i="120"/>
  <c r="N22" i="120"/>
  <c r="P22" i="120"/>
  <c r="Q22" i="120"/>
  <c r="R22" i="120"/>
  <c r="S22" i="120"/>
  <c r="U22" i="120"/>
  <c r="W22" i="120"/>
  <c r="Y22" i="120"/>
  <c r="AC22" i="120"/>
  <c r="AD22" i="120"/>
  <c r="AF22" i="120"/>
  <c r="AH22" i="120"/>
  <c r="AI22" i="120"/>
  <c r="AJ22" i="120"/>
  <c r="AK22" i="120"/>
  <c r="AW22" i="120"/>
  <c r="AX22" i="120"/>
  <c r="AY22" i="120"/>
  <c r="BB22" i="120"/>
  <c r="BC22" i="120"/>
  <c r="BD22" i="120"/>
  <c r="BE22" i="120"/>
  <c r="BH22" i="120"/>
  <c r="BI22" i="120"/>
  <c r="B23" i="120"/>
  <c r="C23" i="120"/>
  <c r="F23" i="120"/>
  <c r="H23" i="120"/>
  <c r="J23" i="120"/>
  <c r="L23" i="120"/>
  <c r="N23" i="120"/>
  <c r="P23" i="120"/>
  <c r="Q23" i="120"/>
  <c r="R23" i="120"/>
  <c r="S23" i="120"/>
  <c r="U23" i="120"/>
  <c r="W23" i="120"/>
  <c r="Y23" i="120"/>
  <c r="AC23" i="120"/>
  <c r="AD23" i="120"/>
  <c r="AF23" i="120"/>
  <c r="AH23" i="120"/>
  <c r="AI23" i="120"/>
  <c r="AJ23" i="120"/>
  <c r="AK23" i="120"/>
  <c r="AW23" i="120"/>
  <c r="AX23" i="120"/>
  <c r="AY23" i="120"/>
  <c r="BB23" i="120"/>
  <c r="BC23" i="120"/>
  <c r="BD23" i="120"/>
  <c r="BE23" i="120"/>
  <c r="BH23" i="120"/>
  <c r="BI23" i="120"/>
  <c r="B24" i="120"/>
  <c r="C24" i="120"/>
  <c r="F24" i="120"/>
  <c r="H24" i="120"/>
  <c r="J24" i="120"/>
  <c r="L24" i="120"/>
  <c r="N24" i="120"/>
  <c r="P24" i="120"/>
  <c r="Q24" i="120"/>
  <c r="R24" i="120"/>
  <c r="S24" i="120"/>
  <c r="U24" i="120"/>
  <c r="W24" i="120"/>
  <c r="Y24" i="120"/>
  <c r="AC24" i="120"/>
  <c r="AD24" i="120"/>
  <c r="AF24" i="120"/>
  <c r="AH24" i="120"/>
  <c r="AI24" i="120"/>
  <c r="AJ24" i="120"/>
  <c r="AK24" i="120"/>
  <c r="AW24" i="120"/>
  <c r="AX24" i="120"/>
  <c r="AY24" i="120"/>
  <c r="BB24" i="120"/>
  <c r="BC24" i="120"/>
  <c r="BD24" i="120"/>
  <c r="BE24" i="120"/>
  <c r="BH24" i="120"/>
  <c r="BI24" i="120"/>
  <c r="B25" i="120"/>
  <c r="C25" i="120"/>
  <c r="F25" i="120"/>
  <c r="H25" i="120"/>
  <c r="J25" i="120"/>
  <c r="L25" i="120"/>
  <c r="N25" i="120"/>
  <c r="P25" i="120"/>
  <c r="Q25" i="120"/>
  <c r="R25" i="120"/>
  <c r="S25" i="120"/>
  <c r="U25" i="120"/>
  <c r="W25" i="120"/>
  <c r="Y25" i="120"/>
  <c r="AC25" i="120"/>
  <c r="AD25" i="120"/>
  <c r="AF25" i="120"/>
  <c r="AH25" i="120"/>
  <c r="AI25" i="120"/>
  <c r="AJ25" i="120"/>
  <c r="AK25" i="120"/>
  <c r="AW25" i="120"/>
  <c r="AX25" i="120"/>
  <c r="AY25" i="120"/>
  <c r="BB25" i="120"/>
  <c r="BC25" i="120"/>
  <c r="BD25" i="120"/>
  <c r="BE25" i="120"/>
  <c r="BH25" i="120"/>
  <c r="BI25" i="120"/>
  <c r="B26" i="120"/>
  <c r="C26" i="120"/>
  <c r="F26" i="120"/>
  <c r="H26" i="120"/>
  <c r="J26" i="120"/>
  <c r="L26" i="120"/>
  <c r="N26" i="120"/>
  <c r="P26" i="120"/>
  <c r="Q26" i="120"/>
  <c r="R26" i="120"/>
  <c r="S26" i="120"/>
  <c r="U26" i="120"/>
  <c r="W26" i="120"/>
  <c r="Y26" i="120"/>
  <c r="AC26" i="120"/>
  <c r="AD26" i="120"/>
  <c r="AF26" i="120"/>
  <c r="AH26" i="120"/>
  <c r="AI26" i="120"/>
  <c r="AJ26" i="120"/>
  <c r="AK26" i="120"/>
  <c r="AW26" i="120"/>
  <c r="AX26" i="120"/>
  <c r="AY26" i="120"/>
  <c r="BB26" i="120"/>
  <c r="BC26" i="120"/>
  <c r="BD26" i="120"/>
  <c r="BE26" i="120"/>
  <c r="BH26" i="120"/>
  <c r="BI26" i="120"/>
  <c r="B27" i="120"/>
  <c r="C27" i="120"/>
  <c r="F27" i="120"/>
  <c r="H27" i="120"/>
  <c r="J27" i="120"/>
  <c r="L27" i="120"/>
  <c r="N27" i="120"/>
  <c r="P27" i="120"/>
  <c r="Q27" i="120"/>
  <c r="R27" i="120"/>
  <c r="S27" i="120"/>
  <c r="U27" i="120"/>
  <c r="W27" i="120"/>
  <c r="Y27" i="120"/>
  <c r="AC27" i="120"/>
  <c r="AD27" i="120"/>
  <c r="AF27" i="120"/>
  <c r="AH27" i="120"/>
  <c r="AI27" i="120"/>
  <c r="AJ27" i="120"/>
  <c r="AK27" i="120"/>
  <c r="AW27" i="120"/>
  <c r="AX27" i="120"/>
  <c r="AY27" i="120"/>
  <c r="BB27" i="120"/>
  <c r="BC27" i="120"/>
  <c r="BD27" i="120"/>
  <c r="BE27" i="120"/>
  <c r="BH27" i="120"/>
  <c r="BI27" i="120"/>
  <c r="B28" i="120"/>
  <c r="C28" i="120"/>
  <c r="F28" i="120"/>
  <c r="H28" i="120"/>
  <c r="J28" i="120"/>
  <c r="L28" i="120"/>
  <c r="N28" i="120"/>
  <c r="P28" i="120"/>
  <c r="Q28" i="120"/>
  <c r="R28" i="120"/>
  <c r="S28" i="120"/>
  <c r="U28" i="120"/>
  <c r="W28" i="120"/>
  <c r="Y28" i="120"/>
  <c r="AC28" i="120"/>
  <c r="AD28" i="120"/>
  <c r="AF28" i="120"/>
  <c r="AH28" i="120"/>
  <c r="AI28" i="120"/>
  <c r="AJ28" i="120"/>
  <c r="AK28" i="120"/>
  <c r="AW28" i="120"/>
  <c r="AX28" i="120"/>
  <c r="AY28" i="120"/>
  <c r="BB28" i="120"/>
  <c r="BC28" i="120"/>
  <c r="BD28" i="120"/>
  <c r="BE28" i="120"/>
  <c r="BH28" i="120"/>
  <c r="BI28" i="120"/>
  <c r="B29" i="120"/>
  <c r="C29" i="120"/>
  <c r="F29" i="120"/>
  <c r="H29" i="120"/>
  <c r="J29" i="120"/>
  <c r="L29" i="120"/>
  <c r="N29" i="120"/>
  <c r="P29" i="120"/>
  <c r="Q29" i="120"/>
  <c r="R29" i="120"/>
  <c r="S29" i="120"/>
  <c r="U29" i="120"/>
  <c r="W29" i="120"/>
  <c r="Y29" i="120"/>
  <c r="AC29" i="120"/>
  <c r="AD29" i="120"/>
  <c r="AF29" i="120"/>
  <c r="AH29" i="120"/>
  <c r="AI29" i="120"/>
  <c r="AJ29" i="120"/>
  <c r="AK29" i="120"/>
  <c r="AW29" i="120"/>
  <c r="AX29" i="120"/>
  <c r="AY29" i="120"/>
  <c r="BB29" i="120"/>
  <c r="BC29" i="120"/>
  <c r="BD29" i="120"/>
  <c r="BE29" i="120"/>
  <c r="BH29" i="120"/>
  <c r="BI29" i="120"/>
  <c r="B30" i="120"/>
  <c r="C30" i="120"/>
  <c r="F30" i="120"/>
  <c r="H30" i="120"/>
  <c r="J30" i="120"/>
  <c r="L30" i="120"/>
  <c r="N30" i="120"/>
  <c r="P30" i="120"/>
  <c r="Q30" i="120"/>
  <c r="R30" i="120"/>
  <c r="S30" i="120"/>
  <c r="U30" i="120"/>
  <c r="W30" i="120"/>
  <c r="Y30" i="120"/>
  <c r="AC30" i="120"/>
  <c r="AD30" i="120"/>
  <c r="AF30" i="120"/>
  <c r="AH30" i="120"/>
  <c r="AI30" i="120"/>
  <c r="AJ30" i="120"/>
  <c r="AK30" i="120"/>
  <c r="AW30" i="120"/>
  <c r="AX30" i="120"/>
  <c r="AY30" i="120"/>
  <c r="BB30" i="120"/>
  <c r="BC30" i="120"/>
  <c r="BD30" i="120"/>
  <c r="BE30" i="120"/>
  <c r="BH30" i="120"/>
  <c r="BI30" i="120"/>
  <c r="B31" i="120"/>
  <c r="C31" i="120"/>
  <c r="F31" i="120"/>
  <c r="H31" i="120"/>
  <c r="J31" i="120"/>
  <c r="L31" i="120"/>
  <c r="N31" i="120"/>
  <c r="P31" i="120"/>
  <c r="Q31" i="120"/>
  <c r="R31" i="120"/>
  <c r="S31" i="120"/>
  <c r="U31" i="120"/>
  <c r="W31" i="120"/>
  <c r="Y31" i="120"/>
  <c r="AC31" i="120"/>
  <c r="AD31" i="120"/>
  <c r="AF31" i="120"/>
  <c r="AH31" i="120"/>
  <c r="AI31" i="120"/>
  <c r="AJ31" i="120"/>
  <c r="AK31" i="120"/>
  <c r="AW31" i="120"/>
  <c r="AX31" i="120"/>
  <c r="AY31" i="120"/>
  <c r="BB31" i="120"/>
  <c r="BC31" i="120"/>
  <c r="BD31" i="120"/>
  <c r="BE31" i="120"/>
  <c r="BH31" i="120"/>
  <c r="BI31" i="120"/>
  <c r="B32" i="120"/>
  <c r="C32" i="120"/>
  <c r="F32" i="120"/>
  <c r="H32" i="120"/>
  <c r="J32" i="120"/>
  <c r="L32" i="120"/>
  <c r="N32" i="120"/>
  <c r="P32" i="120"/>
  <c r="Q32" i="120"/>
  <c r="R32" i="120"/>
  <c r="S32" i="120"/>
  <c r="U32" i="120"/>
  <c r="W32" i="120"/>
  <c r="Y32" i="120"/>
  <c r="AC32" i="120"/>
  <c r="AD32" i="120"/>
  <c r="AF32" i="120"/>
  <c r="AH32" i="120"/>
  <c r="AI32" i="120"/>
  <c r="AJ32" i="120"/>
  <c r="AK32" i="120"/>
  <c r="AW32" i="120"/>
  <c r="AX32" i="120"/>
  <c r="AY32" i="120"/>
  <c r="BB32" i="120"/>
  <c r="BC32" i="120"/>
  <c r="BD32" i="120"/>
  <c r="BE32" i="120"/>
  <c r="BH32" i="120"/>
  <c r="BI32" i="120"/>
  <c r="B33" i="120"/>
  <c r="C33" i="120"/>
  <c r="F33" i="120"/>
  <c r="H33" i="120"/>
  <c r="J33" i="120"/>
  <c r="L33" i="120"/>
  <c r="N33" i="120"/>
  <c r="P33" i="120"/>
  <c r="Q33" i="120"/>
  <c r="R33" i="120"/>
  <c r="S33" i="120"/>
  <c r="U33" i="120"/>
  <c r="W33" i="120"/>
  <c r="Y33" i="120"/>
  <c r="AC33" i="120"/>
  <c r="AD33" i="120"/>
  <c r="AF33" i="120"/>
  <c r="AH33" i="120"/>
  <c r="AI33" i="120"/>
  <c r="AJ33" i="120"/>
  <c r="AK33" i="120"/>
  <c r="AW33" i="120"/>
  <c r="AX33" i="120"/>
  <c r="AY33" i="120"/>
  <c r="BB33" i="120"/>
  <c r="BC33" i="120"/>
  <c r="BD33" i="120"/>
  <c r="BE33" i="120"/>
  <c r="BH33" i="120"/>
  <c r="BI33" i="120"/>
  <c r="B34" i="120"/>
  <c r="C34" i="120"/>
  <c r="F34" i="120"/>
  <c r="H34" i="120"/>
  <c r="J34" i="120"/>
  <c r="L34" i="120"/>
  <c r="N34" i="120"/>
  <c r="P34" i="120"/>
  <c r="Q34" i="120"/>
  <c r="R34" i="120"/>
  <c r="S34" i="120"/>
  <c r="U34" i="120"/>
  <c r="W34" i="120"/>
  <c r="Y34" i="120"/>
  <c r="AC34" i="120"/>
  <c r="AD34" i="120"/>
  <c r="AF34" i="120"/>
  <c r="AH34" i="120"/>
  <c r="AI34" i="120"/>
  <c r="AJ34" i="120"/>
  <c r="AK34" i="120"/>
  <c r="AW34" i="120"/>
  <c r="AX34" i="120"/>
  <c r="AY34" i="120"/>
  <c r="BB34" i="120"/>
  <c r="BC34" i="120"/>
  <c r="BD34" i="120"/>
  <c r="BE34" i="120"/>
  <c r="BH34" i="120"/>
  <c r="BI34" i="120"/>
  <c r="B35" i="120"/>
  <c r="C35" i="120"/>
  <c r="F35" i="120"/>
  <c r="H35" i="120"/>
  <c r="J35" i="120"/>
  <c r="L35" i="120"/>
  <c r="N35" i="120"/>
  <c r="P35" i="120"/>
  <c r="Q35" i="120"/>
  <c r="R35" i="120"/>
  <c r="S35" i="120"/>
  <c r="U35" i="120"/>
  <c r="W35" i="120"/>
  <c r="Y35" i="120"/>
  <c r="AC35" i="120"/>
  <c r="AD35" i="120"/>
  <c r="AF35" i="120"/>
  <c r="AH35" i="120"/>
  <c r="AI35" i="120"/>
  <c r="AJ35" i="120"/>
  <c r="AK35" i="120"/>
  <c r="AW35" i="120"/>
  <c r="AX35" i="120"/>
  <c r="AY35" i="120"/>
  <c r="BB35" i="120"/>
  <c r="BC35" i="120"/>
  <c r="BD35" i="120"/>
  <c r="BE35" i="120"/>
  <c r="BH35" i="120"/>
  <c r="BI35" i="120"/>
  <c r="B36" i="120"/>
  <c r="C36" i="120"/>
  <c r="F36" i="120"/>
  <c r="H36" i="120"/>
  <c r="J36" i="120"/>
  <c r="L36" i="120"/>
  <c r="N36" i="120"/>
  <c r="P36" i="120"/>
  <c r="Q36" i="120"/>
  <c r="R36" i="120"/>
  <c r="S36" i="120"/>
  <c r="U36" i="120"/>
  <c r="W36" i="120"/>
  <c r="Y36" i="120"/>
  <c r="AC36" i="120"/>
  <c r="AD36" i="120"/>
  <c r="AF36" i="120"/>
  <c r="AH36" i="120"/>
  <c r="AI36" i="120"/>
  <c r="AJ36" i="120"/>
  <c r="AK36" i="120"/>
  <c r="AW36" i="120"/>
  <c r="AX36" i="120"/>
  <c r="AY36" i="120"/>
  <c r="BB36" i="120"/>
  <c r="BC36" i="120"/>
  <c r="BD36" i="120"/>
  <c r="BE36" i="120"/>
  <c r="BH36" i="120"/>
  <c r="BI36" i="120"/>
  <c r="B37" i="120"/>
  <c r="C37" i="120"/>
  <c r="F37" i="120"/>
  <c r="H37" i="120"/>
  <c r="J37" i="120"/>
  <c r="L37" i="120"/>
  <c r="N37" i="120"/>
  <c r="P37" i="120"/>
  <c r="Q37" i="120"/>
  <c r="R37" i="120"/>
  <c r="S37" i="120"/>
  <c r="U37" i="120"/>
  <c r="W37" i="120"/>
  <c r="Y37" i="120"/>
  <c r="AC37" i="120"/>
  <c r="AD37" i="120"/>
  <c r="AF37" i="120"/>
  <c r="AH37" i="120"/>
  <c r="AI37" i="120"/>
  <c r="AJ37" i="120"/>
  <c r="AK37" i="120"/>
  <c r="AW37" i="120"/>
  <c r="AX37" i="120"/>
  <c r="AY37" i="120"/>
  <c r="BB37" i="120"/>
  <c r="BC37" i="120"/>
  <c r="BD37" i="120"/>
  <c r="BE37" i="120"/>
  <c r="BH37" i="120"/>
  <c r="BI37" i="120"/>
  <c r="B38" i="120"/>
  <c r="C38" i="120"/>
  <c r="F38" i="120"/>
  <c r="H38" i="120"/>
  <c r="J38" i="120"/>
  <c r="L38" i="120"/>
  <c r="N38" i="120"/>
  <c r="P38" i="120"/>
  <c r="Q38" i="120"/>
  <c r="R38" i="120"/>
  <c r="S38" i="120"/>
  <c r="U38" i="120"/>
  <c r="W38" i="120"/>
  <c r="Y38" i="120"/>
  <c r="AC38" i="120"/>
  <c r="AD38" i="120"/>
  <c r="AF38" i="120"/>
  <c r="AH38" i="120"/>
  <c r="AI38" i="120"/>
  <c r="AJ38" i="120"/>
  <c r="AK38" i="120"/>
  <c r="AW38" i="120"/>
  <c r="AX38" i="120"/>
  <c r="AY38" i="120"/>
  <c r="BB38" i="120"/>
  <c r="BC38" i="120"/>
  <c r="BD38" i="120"/>
  <c r="BE38" i="120"/>
  <c r="BH38" i="120"/>
  <c r="BI38" i="120"/>
  <c r="B39" i="120"/>
  <c r="C39" i="120"/>
  <c r="F39" i="120"/>
  <c r="H39" i="120"/>
  <c r="J39" i="120"/>
  <c r="L39" i="120"/>
  <c r="N39" i="120"/>
  <c r="P39" i="120"/>
  <c r="Q39" i="120"/>
  <c r="R39" i="120"/>
  <c r="S39" i="120"/>
  <c r="U39" i="120"/>
  <c r="W39" i="120"/>
  <c r="Y39" i="120"/>
  <c r="AC39" i="120"/>
  <c r="AD39" i="120"/>
  <c r="AF39" i="120"/>
  <c r="AH39" i="120"/>
  <c r="AI39" i="120"/>
  <c r="AJ39" i="120"/>
  <c r="AK39" i="120"/>
  <c r="AW39" i="120"/>
  <c r="AX39" i="120"/>
  <c r="AY39" i="120"/>
  <c r="BB39" i="120"/>
  <c r="BC39" i="120"/>
  <c r="BD39" i="120"/>
  <c r="BE39" i="120"/>
  <c r="BH39" i="120"/>
  <c r="BI39" i="120"/>
  <c r="B40" i="120"/>
  <c r="C40" i="120"/>
  <c r="F40" i="120"/>
  <c r="H40" i="120"/>
  <c r="J40" i="120"/>
  <c r="L40" i="120"/>
  <c r="N40" i="120"/>
  <c r="P40" i="120"/>
  <c r="Q40" i="120"/>
  <c r="R40" i="120"/>
  <c r="S40" i="120"/>
  <c r="U40" i="120"/>
  <c r="W40" i="120"/>
  <c r="Y40" i="120"/>
  <c r="AC40" i="120"/>
  <c r="AD40" i="120"/>
  <c r="AF40" i="120"/>
  <c r="AH40" i="120"/>
  <c r="AI40" i="120"/>
  <c r="AJ40" i="120"/>
  <c r="AK40" i="120"/>
  <c r="AW40" i="120"/>
  <c r="AX40" i="120"/>
  <c r="AY40" i="120"/>
  <c r="BB40" i="120"/>
  <c r="BC40" i="120"/>
  <c r="BD40" i="120"/>
  <c r="BE40" i="120"/>
  <c r="BH40" i="120"/>
  <c r="BI40" i="120"/>
  <c r="B41" i="120"/>
  <c r="C41" i="120"/>
  <c r="F41" i="120"/>
  <c r="H41" i="120"/>
  <c r="J41" i="120"/>
  <c r="L41" i="120"/>
  <c r="N41" i="120"/>
  <c r="P41" i="120"/>
  <c r="Q41" i="120"/>
  <c r="R41" i="120"/>
  <c r="S41" i="120"/>
  <c r="U41" i="120"/>
  <c r="W41" i="120"/>
  <c r="Y41" i="120"/>
  <c r="AC41" i="120"/>
  <c r="AD41" i="120"/>
  <c r="AF41" i="120"/>
  <c r="AH41" i="120"/>
  <c r="AI41" i="120"/>
  <c r="AJ41" i="120"/>
  <c r="AK41" i="120"/>
  <c r="AW41" i="120"/>
  <c r="AX41" i="120"/>
  <c r="AY41" i="120"/>
  <c r="BB41" i="120"/>
  <c r="BC41" i="120"/>
  <c r="BD41" i="120"/>
  <c r="BE41" i="120"/>
  <c r="BH41" i="120"/>
  <c r="BI41" i="120"/>
  <c r="B42" i="120"/>
  <c r="C42" i="120"/>
  <c r="F42" i="120"/>
  <c r="H42" i="120"/>
  <c r="J42" i="120"/>
  <c r="L42" i="120"/>
  <c r="N42" i="120"/>
  <c r="P42" i="120"/>
  <c r="Q42" i="120"/>
  <c r="R42" i="120"/>
  <c r="S42" i="120"/>
  <c r="U42" i="120"/>
  <c r="W42" i="120"/>
  <c r="Y42" i="120"/>
  <c r="AC42" i="120"/>
  <c r="AD42" i="120"/>
  <c r="AF42" i="120"/>
  <c r="AH42" i="120"/>
  <c r="AI42" i="120"/>
  <c r="AJ42" i="120"/>
  <c r="AK42" i="120"/>
  <c r="AW42" i="120"/>
  <c r="AX42" i="120"/>
  <c r="AY42" i="120"/>
  <c r="BB42" i="120"/>
  <c r="BC42" i="120"/>
  <c r="BD42" i="120"/>
  <c r="BE42" i="120"/>
  <c r="BH42" i="120"/>
  <c r="BI42" i="120"/>
  <c r="B43" i="120"/>
  <c r="C43" i="120"/>
  <c r="F43" i="120"/>
  <c r="H43" i="120"/>
  <c r="J43" i="120"/>
  <c r="L43" i="120"/>
  <c r="N43" i="120"/>
  <c r="P43" i="120"/>
  <c r="Q43" i="120"/>
  <c r="R43" i="120"/>
  <c r="S43" i="120"/>
  <c r="U43" i="120"/>
  <c r="W43" i="120"/>
  <c r="Y43" i="120"/>
  <c r="AC43" i="120"/>
  <c r="AD43" i="120"/>
  <c r="AF43" i="120"/>
  <c r="AH43" i="120"/>
  <c r="AI43" i="120"/>
  <c r="AJ43" i="120"/>
  <c r="AK43" i="120"/>
  <c r="AW43" i="120"/>
  <c r="AX43" i="120"/>
  <c r="AY43" i="120"/>
  <c r="BB43" i="120"/>
  <c r="BC43" i="120"/>
  <c r="BD43" i="120"/>
  <c r="BE43" i="120"/>
  <c r="BH43" i="120"/>
  <c r="BI43" i="120"/>
  <c r="B44" i="120"/>
  <c r="C44" i="120"/>
  <c r="F44" i="120"/>
  <c r="H44" i="120"/>
  <c r="J44" i="120"/>
  <c r="L44" i="120"/>
  <c r="N44" i="120"/>
  <c r="P44" i="120"/>
  <c r="Q44" i="120"/>
  <c r="R44" i="120"/>
  <c r="S44" i="120"/>
  <c r="U44" i="120"/>
  <c r="W44" i="120"/>
  <c r="Y44" i="120"/>
  <c r="AC44" i="120"/>
  <c r="AD44" i="120"/>
  <c r="AF44" i="120"/>
  <c r="AH44" i="120"/>
  <c r="AI44" i="120"/>
  <c r="AJ44" i="120"/>
  <c r="AK44" i="120"/>
  <c r="AW44" i="120"/>
  <c r="AX44" i="120"/>
  <c r="AY44" i="120"/>
  <c r="BB44" i="120"/>
  <c r="BC44" i="120"/>
  <c r="BD44" i="120"/>
  <c r="BE44" i="120"/>
  <c r="BH44" i="120"/>
  <c r="BI44" i="120"/>
  <c r="B45" i="120"/>
  <c r="C45" i="120"/>
  <c r="F45" i="120"/>
  <c r="H45" i="120"/>
  <c r="J45" i="120"/>
  <c r="L45" i="120"/>
  <c r="N45" i="120"/>
  <c r="P45" i="120"/>
  <c r="Q45" i="120"/>
  <c r="R45" i="120"/>
  <c r="S45" i="120"/>
  <c r="U45" i="120"/>
  <c r="W45" i="120"/>
  <c r="Y45" i="120"/>
  <c r="AC45" i="120"/>
  <c r="AD45" i="120"/>
  <c r="AF45" i="120"/>
  <c r="AH45" i="120"/>
  <c r="AI45" i="120"/>
  <c r="AJ45" i="120"/>
  <c r="AK45" i="120"/>
  <c r="AW45" i="120"/>
  <c r="AX45" i="120"/>
  <c r="AY45" i="120"/>
  <c r="BB45" i="120"/>
  <c r="BC45" i="120"/>
  <c r="BD45" i="120"/>
  <c r="BE45" i="120"/>
  <c r="BH45" i="120"/>
  <c r="BI45" i="120"/>
  <c r="B46" i="120"/>
  <c r="C46" i="120"/>
  <c r="F46" i="120"/>
  <c r="H46" i="120"/>
  <c r="J46" i="120"/>
  <c r="L46" i="120"/>
  <c r="N46" i="120"/>
  <c r="P46" i="120"/>
  <c r="Q46" i="120"/>
  <c r="R46" i="120"/>
  <c r="S46" i="120"/>
  <c r="U46" i="120"/>
  <c r="W46" i="120"/>
  <c r="Y46" i="120"/>
  <c r="AC46" i="120"/>
  <c r="AD46" i="120"/>
  <c r="AF46" i="120"/>
  <c r="AH46" i="120"/>
  <c r="AI46" i="120"/>
  <c r="AJ46" i="120"/>
  <c r="AK46" i="120"/>
  <c r="AW46" i="120"/>
  <c r="AX46" i="120"/>
  <c r="AY46" i="120"/>
  <c r="BB46" i="120"/>
  <c r="BC46" i="120"/>
  <c r="BD46" i="120"/>
  <c r="BE46" i="120"/>
  <c r="BH46" i="120"/>
  <c r="BI46" i="120"/>
  <c r="B47" i="120"/>
  <c r="C47" i="120"/>
  <c r="F47" i="120"/>
  <c r="H47" i="120"/>
  <c r="J47" i="120"/>
  <c r="L47" i="120"/>
  <c r="N47" i="120"/>
  <c r="P47" i="120"/>
  <c r="Q47" i="120"/>
  <c r="R47" i="120"/>
  <c r="S47" i="120"/>
  <c r="U47" i="120"/>
  <c r="W47" i="120"/>
  <c r="Y47" i="120"/>
  <c r="AC47" i="120"/>
  <c r="AD47" i="120"/>
  <c r="AF47" i="120"/>
  <c r="AH47" i="120"/>
  <c r="AI47" i="120"/>
  <c r="AJ47" i="120"/>
  <c r="AK47" i="120"/>
  <c r="AW47" i="120"/>
  <c r="AX47" i="120"/>
  <c r="AY47" i="120"/>
  <c r="BB47" i="120"/>
  <c r="BC47" i="120"/>
  <c r="BD47" i="120"/>
  <c r="BE47" i="120"/>
  <c r="BH47" i="120"/>
  <c r="BI47" i="120"/>
  <c r="B48" i="120"/>
  <c r="C48" i="120"/>
  <c r="F48" i="120"/>
  <c r="H48" i="120"/>
  <c r="J48" i="120"/>
  <c r="L48" i="120"/>
  <c r="N48" i="120"/>
  <c r="P48" i="120"/>
  <c r="Q48" i="120"/>
  <c r="R48" i="120"/>
  <c r="S48" i="120"/>
  <c r="U48" i="120"/>
  <c r="W48" i="120"/>
  <c r="Y48" i="120"/>
  <c r="AC48" i="120"/>
  <c r="AD48" i="120"/>
  <c r="AF48" i="120"/>
  <c r="AH48" i="120"/>
  <c r="AI48" i="120"/>
  <c r="AJ48" i="120"/>
  <c r="AK48" i="120"/>
  <c r="AW48" i="120"/>
  <c r="AX48" i="120"/>
  <c r="AY48" i="120"/>
  <c r="BB48" i="120"/>
  <c r="BC48" i="120"/>
  <c r="BD48" i="120"/>
  <c r="BE48" i="120"/>
  <c r="BH48" i="120"/>
  <c r="BI48" i="120"/>
  <c r="B49" i="120"/>
  <c r="C49" i="120"/>
  <c r="F49" i="120"/>
  <c r="H49" i="120"/>
  <c r="J49" i="120"/>
  <c r="L49" i="120"/>
  <c r="N49" i="120"/>
  <c r="P49" i="120"/>
  <c r="Q49" i="120"/>
  <c r="R49" i="120"/>
  <c r="S49" i="120"/>
  <c r="U49" i="120"/>
  <c r="W49" i="120"/>
  <c r="Y49" i="120"/>
  <c r="AC49" i="120"/>
  <c r="AD49" i="120"/>
  <c r="AF49" i="120"/>
  <c r="AH49" i="120"/>
  <c r="AI49" i="120"/>
  <c r="AJ49" i="120"/>
  <c r="AK49" i="120"/>
  <c r="AW49" i="120"/>
  <c r="AX49" i="120"/>
  <c r="AY49" i="120"/>
  <c r="BB49" i="120"/>
  <c r="BC49" i="120"/>
  <c r="BD49" i="120"/>
  <c r="BE49" i="120"/>
  <c r="BH49" i="120"/>
  <c r="BI49" i="120"/>
  <c r="B50" i="120"/>
  <c r="C50" i="120"/>
  <c r="F50" i="120"/>
  <c r="H50" i="120"/>
  <c r="J50" i="120"/>
  <c r="L50" i="120"/>
  <c r="N50" i="120"/>
  <c r="P50" i="120"/>
  <c r="Q50" i="120"/>
  <c r="R50" i="120"/>
  <c r="S50" i="120"/>
  <c r="U50" i="120"/>
  <c r="W50" i="120"/>
  <c r="Y50" i="120"/>
  <c r="AC50" i="120"/>
  <c r="AD50" i="120"/>
  <c r="AF50" i="120"/>
  <c r="AH50" i="120"/>
  <c r="AI50" i="120"/>
  <c r="AJ50" i="120"/>
  <c r="AK50" i="120"/>
  <c r="AW50" i="120"/>
  <c r="AX50" i="120"/>
  <c r="AY50" i="120"/>
  <c r="BB50" i="120"/>
  <c r="BC50" i="120"/>
  <c r="BD50" i="120"/>
  <c r="BE50" i="120"/>
  <c r="BH50" i="120"/>
  <c r="BI50" i="120"/>
  <c r="C51" i="120"/>
  <c r="D51" i="120"/>
  <c r="E51" i="120"/>
  <c r="F51" i="120"/>
  <c r="G51" i="120"/>
  <c r="H51" i="120"/>
  <c r="I51" i="120"/>
  <c r="J51" i="120"/>
  <c r="K51" i="120"/>
  <c r="L51" i="120"/>
  <c r="M51" i="120"/>
  <c r="N51" i="120"/>
  <c r="O51" i="120"/>
  <c r="P51" i="120"/>
  <c r="Q51" i="120"/>
  <c r="R51" i="120"/>
  <c r="S51" i="120"/>
  <c r="T51" i="120"/>
  <c r="U51" i="120"/>
  <c r="V51" i="120"/>
  <c r="W51" i="120"/>
  <c r="X51" i="120"/>
  <c r="Y51" i="120"/>
  <c r="AD51" i="120"/>
  <c r="AE51" i="120"/>
  <c r="AF51" i="120"/>
  <c r="AG51" i="120"/>
  <c r="AH51" i="120"/>
  <c r="AI51" i="120"/>
  <c r="AJ51" i="120"/>
  <c r="AK51" i="120"/>
  <c r="AX51" i="120"/>
  <c r="AY51" i="120"/>
  <c r="AZ51" i="120"/>
  <c r="BA51" i="120"/>
  <c r="BB51" i="120"/>
  <c r="BC51" i="120"/>
  <c r="BD51" i="120"/>
  <c r="BE51" i="120"/>
  <c r="BF51" i="120"/>
  <c r="BG51" i="120"/>
  <c r="BH51" i="120"/>
  <c r="BI51" i="120"/>
  <c r="AN10" i="119"/>
  <c r="AO10" i="119"/>
  <c r="AQ10" i="119"/>
  <c r="AS10" i="119"/>
  <c r="AT10" i="119"/>
  <c r="B11" i="119"/>
  <c r="C11" i="119"/>
  <c r="F11" i="119"/>
  <c r="H11" i="119"/>
  <c r="J11" i="119"/>
  <c r="L11" i="119"/>
  <c r="N11" i="119"/>
  <c r="P11" i="119"/>
  <c r="Q11" i="119"/>
  <c r="R11" i="119"/>
  <c r="S11" i="119"/>
  <c r="U11" i="119"/>
  <c r="W11" i="119"/>
  <c r="Y11" i="119"/>
  <c r="AC11" i="119"/>
  <c r="AD11" i="119"/>
  <c r="AF11" i="119"/>
  <c r="AH11" i="119"/>
  <c r="AI11" i="119"/>
  <c r="AJ11" i="119"/>
  <c r="AK11" i="119"/>
  <c r="AN11" i="119"/>
  <c r="AO11" i="119"/>
  <c r="AQ11" i="119"/>
  <c r="AS11" i="119"/>
  <c r="AT11" i="119"/>
  <c r="AW11" i="119"/>
  <c r="AX11" i="119"/>
  <c r="AY11" i="119"/>
  <c r="BB11" i="119"/>
  <c r="BC11" i="119"/>
  <c r="BD11" i="119"/>
  <c r="BE11" i="119"/>
  <c r="BH11" i="119"/>
  <c r="BI11" i="119"/>
  <c r="B12" i="119"/>
  <c r="C12" i="119"/>
  <c r="F12" i="119"/>
  <c r="H12" i="119"/>
  <c r="J12" i="119"/>
  <c r="L12" i="119"/>
  <c r="N12" i="119"/>
  <c r="P12" i="119"/>
  <c r="Q12" i="119"/>
  <c r="R12" i="119"/>
  <c r="S12" i="119"/>
  <c r="U12" i="119"/>
  <c r="W12" i="119"/>
  <c r="Y12" i="119"/>
  <c r="AC12" i="119"/>
  <c r="AD12" i="119"/>
  <c r="AF12" i="119"/>
  <c r="AH12" i="119"/>
  <c r="AI12" i="119"/>
  <c r="AJ12" i="119"/>
  <c r="AK12" i="119"/>
  <c r="AN12" i="119"/>
  <c r="AO12" i="119"/>
  <c r="AQ12" i="119"/>
  <c r="AS12" i="119"/>
  <c r="AT12" i="119"/>
  <c r="AW12" i="119"/>
  <c r="AX12" i="119"/>
  <c r="AY12" i="119"/>
  <c r="BB12" i="119"/>
  <c r="BC12" i="119"/>
  <c r="BD12" i="119"/>
  <c r="BE12" i="119"/>
  <c r="BH12" i="119"/>
  <c r="BI12" i="119"/>
  <c r="B13" i="119"/>
  <c r="C13" i="119"/>
  <c r="F13" i="119"/>
  <c r="H13" i="119"/>
  <c r="J13" i="119"/>
  <c r="L13" i="119"/>
  <c r="N13" i="119"/>
  <c r="P13" i="119"/>
  <c r="Q13" i="119"/>
  <c r="R13" i="119"/>
  <c r="S13" i="119"/>
  <c r="U13" i="119"/>
  <c r="W13" i="119"/>
  <c r="Y13" i="119"/>
  <c r="AC13" i="119"/>
  <c r="AD13" i="119"/>
  <c r="AF13" i="119"/>
  <c r="AH13" i="119"/>
  <c r="AI13" i="119"/>
  <c r="AJ13" i="119"/>
  <c r="AK13" i="119"/>
  <c r="AO13" i="119"/>
  <c r="AP13" i="119"/>
  <c r="AQ13" i="119"/>
  <c r="AR13" i="119"/>
  <c r="AS13" i="119"/>
  <c r="AT13" i="119"/>
  <c r="AW13" i="119"/>
  <c r="AX13" i="119"/>
  <c r="AY13" i="119"/>
  <c r="BB13" i="119"/>
  <c r="BC13" i="119"/>
  <c r="BD13" i="119"/>
  <c r="BE13" i="119"/>
  <c r="BH13" i="119"/>
  <c r="BI13" i="119"/>
  <c r="B14" i="119"/>
  <c r="C14" i="119"/>
  <c r="F14" i="119"/>
  <c r="H14" i="119"/>
  <c r="J14" i="119"/>
  <c r="L14" i="119"/>
  <c r="N14" i="119"/>
  <c r="P14" i="119"/>
  <c r="Q14" i="119"/>
  <c r="R14" i="119"/>
  <c r="S14" i="119"/>
  <c r="U14" i="119"/>
  <c r="W14" i="119"/>
  <c r="Y14" i="119"/>
  <c r="AC14" i="119"/>
  <c r="AD14" i="119"/>
  <c r="AF14" i="119"/>
  <c r="AH14" i="119"/>
  <c r="AI14" i="119"/>
  <c r="AJ14" i="119"/>
  <c r="AK14" i="119"/>
  <c r="AT14" i="119"/>
  <c r="AW14" i="119"/>
  <c r="AX14" i="119"/>
  <c r="AY14" i="119"/>
  <c r="BB14" i="119"/>
  <c r="BC14" i="119"/>
  <c r="BD14" i="119"/>
  <c r="BE14" i="119"/>
  <c r="BH14" i="119"/>
  <c r="BI14" i="119"/>
  <c r="B15" i="119"/>
  <c r="C15" i="119"/>
  <c r="F15" i="119"/>
  <c r="H15" i="119"/>
  <c r="J15" i="119"/>
  <c r="L15" i="119"/>
  <c r="N15" i="119"/>
  <c r="P15" i="119"/>
  <c r="Q15" i="119"/>
  <c r="R15" i="119"/>
  <c r="S15" i="119"/>
  <c r="U15" i="119"/>
  <c r="W15" i="119"/>
  <c r="Y15" i="119"/>
  <c r="AC15" i="119"/>
  <c r="AD15" i="119"/>
  <c r="AF15" i="119"/>
  <c r="AH15" i="119"/>
  <c r="AI15" i="119"/>
  <c r="AJ15" i="119"/>
  <c r="AK15" i="119"/>
  <c r="AW15" i="119"/>
  <c r="AX15" i="119"/>
  <c r="AY15" i="119"/>
  <c r="BB15" i="119"/>
  <c r="BC15" i="119"/>
  <c r="BD15" i="119"/>
  <c r="BE15" i="119"/>
  <c r="BH15" i="119"/>
  <c r="BI15" i="119"/>
  <c r="B16" i="119"/>
  <c r="C16" i="119"/>
  <c r="F16" i="119"/>
  <c r="H16" i="119"/>
  <c r="J16" i="119"/>
  <c r="L16" i="119"/>
  <c r="N16" i="119"/>
  <c r="P16" i="119"/>
  <c r="Q16" i="119"/>
  <c r="R16" i="119"/>
  <c r="S16" i="119"/>
  <c r="U16" i="119"/>
  <c r="W16" i="119"/>
  <c r="Y16" i="119"/>
  <c r="AC16" i="119"/>
  <c r="AD16" i="119"/>
  <c r="AF16" i="119"/>
  <c r="AH16" i="119"/>
  <c r="AI16" i="119"/>
  <c r="AJ16" i="119"/>
  <c r="AK16" i="119"/>
  <c r="AW16" i="119"/>
  <c r="AX16" i="119"/>
  <c r="AY16" i="119"/>
  <c r="BB16" i="119"/>
  <c r="BC16" i="119"/>
  <c r="BD16" i="119"/>
  <c r="BE16" i="119"/>
  <c r="BH16" i="119"/>
  <c r="BI16" i="119"/>
  <c r="B17" i="119"/>
  <c r="C17" i="119"/>
  <c r="F17" i="119"/>
  <c r="H17" i="119"/>
  <c r="J17" i="119"/>
  <c r="L17" i="119"/>
  <c r="N17" i="119"/>
  <c r="P17" i="119"/>
  <c r="Q17" i="119"/>
  <c r="R17" i="119"/>
  <c r="S17" i="119"/>
  <c r="U17" i="119"/>
  <c r="W17" i="119"/>
  <c r="Y17" i="119"/>
  <c r="AC17" i="119"/>
  <c r="AD17" i="119"/>
  <c r="AF17" i="119"/>
  <c r="AH17" i="119"/>
  <c r="AI17" i="119"/>
  <c r="AJ17" i="119"/>
  <c r="AK17" i="119"/>
  <c r="AW17" i="119"/>
  <c r="AX17" i="119"/>
  <c r="AY17" i="119"/>
  <c r="BB17" i="119"/>
  <c r="BC17" i="119"/>
  <c r="BD17" i="119"/>
  <c r="BE17" i="119"/>
  <c r="BH17" i="119"/>
  <c r="BI17" i="119"/>
  <c r="B18" i="119"/>
  <c r="C18" i="119"/>
  <c r="F18" i="119"/>
  <c r="H18" i="119"/>
  <c r="J18" i="119"/>
  <c r="L18" i="119"/>
  <c r="N18" i="119"/>
  <c r="P18" i="119"/>
  <c r="Q18" i="119"/>
  <c r="R18" i="119"/>
  <c r="S18" i="119"/>
  <c r="U18" i="119"/>
  <c r="W18" i="119"/>
  <c r="Y18" i="119"/>
  <c r="AC18" i="119"/>
  <c r="AD18" i="119"/>
  <c r="AF18" i="119"/>
  <c r="AH18" i="119"/>
  <c r="AI18" i="119"/>
  <c r="AJ18" i="119"/>
  <c r="AK18" i="119"/>
  <c r="AW18" i="119"/>
  <c r="AX18" i="119"/>
  <c r="AY18" i="119"/>
  <c r="BB18" i="119"/>
  <c r="BC18" i="119"/>
  <c r="BD18" i="119"/>
  <c r="BE18" i="119"/>
  <c r="BH18" i="119"/>
  <c r="BI18" i="119"/>
  <c r="B19" i="119"/>
  <c r="C19" i="119"/>
  <c r="F19" i="119"/>
  <c r="H19" i="119"/>
  <c r="J19" i="119"/>
  <c r="L19" i="119"/>
  <c r="N19" i="119"/>
  <c r="P19" i="119"/>
  <c r="Q19" i="119"/>
  <c r="R19" i="119"/>
  <c r="S19" i="119"/>
  <c r="U19" i="119"/>
  <c r="W19" i="119"/>
  <c r="Y19" i="119"/>
  <c r="AC19" i="119"/>
  <c r="AD19" i="119"/>
  <c r="AF19" i="119"/>
  <c r="AH19" i="119"/>
  <c r="AI19" i="119"/>
  <c r="AJ19" i="119"/>
  <c r="AK19" i="119"/>
  <c r="AW19" i="119"/>
  <c r="AX19" i="119"/>
  <c r="AY19" i="119"/>
  <c r="BB19" i="119"/>
  <c r="BC19" i="119"/>
  <c r="BD19" i="119"/>
  <c r="BE19" i="119"/>
  <c r="BH19" i="119"/>
  <c r="BI19" i="119"/>
  <c r="B20" i="119"/>
  <c r="C20" i="119"/>
  <c r="F20" i="119"/>
  <c r="H20" i="119"/>
  <c r="J20" i="119"/>
  <c r="L20" i="119"/>
  <c r="N20" i="119"/>
  <c r="P20" i="119"/>
  <c r="Q20" i="119"/>
  <c r="R20" i="119"/>
  <c r="S20" i="119"/>
  <c r="U20" i="119"/>
  <c r="W20" i="119"/>
  <c r="Y20" i="119"/>
  <c r="AC20" i="119"/>
  <c r="AD20" i="119"/>
  <c r="AF20" i="119"/>
  <c r="AH20" i="119"/>
  <c r="AI20" i="119"/>
  <c r="AJ20" i="119"/>
  <c r="AK20" i="119"/>
  <c r="AW20" i="119"/>
  <c r="AX20" i="119"/>
  <c r="AY20" i="119"/>
  <c r="BB20" i="119"/>
  <c r="BC20" i="119"/>
  <c r="BD20" i="119"/>
  <c r="BE20" i="119"/>
  <c r="BH20" i="119"/>
  <c r="BI20" i="119"/>
  <c r="B21" i="119"/>
  <c r="C21" i="119"/>
  <c r="F21" i="119"/>
  <c r="H21" i="119"/>
  <c r="J21" i="119"/>
  <c r="L21" i="119"/>
  <c r="N21" i="119"/>
  <c r="P21" i="119"/>
  <c r="Q21" i="119"/>
  <c r="R21" i="119"/>
  <c r="S21" i="119"/>
  <c r="U21" i="119"/>
  <c r="W21" i="119"/>
  <c r="Y21" i="119"/>
  <c r="AC21" i="119"/>
  <c r="AD21" i="119"/>
  <c r="AF21" i="119"/>
  <c r="AH21" i="119"/>
  <c r="AI21" i="119"/>
  <c r="AJ21" i="119"/>
  <c r="AK21" i="119"/>
  <c r="AW21" i="119"/>
  <c r="AX21" i="119"/>
  <c r="AY21" i="119"/>
  <c r="BB21" i="119"/>
  <c r="BC21" i="119"/>
  <c r="BD21" i="119"/>
  <c r="BE21" i="119"/>
  <c r="BH21" i="119"/>
  <c r="BI21" i="119"/>
  <c r="B22" i="119"/>
  <c r="C22" i="119"/>
  <c r="F22" i="119"/>
  <c r="H22" i="119"/>
  <c r="J22" i="119"/>
  <c r="L22" i="119"/>
  <c r="N22" i="119"/>
  <c r="P22" i="119"/>
  <c r="Q22" i="119"/>
  <c r="R22" i="119"/>
  <c r="S22" i="119"/>
  <c r="U22" i="119"/>
  <c r="W22" i="119"/>
  <c r="Y22" i="119"/>
  <c r="AC22" i="119"/>
  <c r="AD22" i="119"/>
  <c r="AF22" i="119"/>
  <c r="AH22" i="119"/>
  <c r="AI22" i="119"/>
  <c r="AJ22" i="119"/>
  <c r="AK22" i="119"/>
  <c r="AW22" i="119"/>
  <c r="AX22" i="119"/>
  <c r="AY22" i="119"/>
  <c r="BB22" i="119"/>
  <c r="BC22" i="119"/>
  <c r="BD22" i="119"/>
  <c r="BE22" i="119"/>
  <c r="BH22" i="119"/>
  <c r="BI22" i="119"/>
  <c r="B23" i="119"/>
  <c r="C23" i="119"/>
  <c r="F23" i="119"/>
  <c r="H23" i="119"/>
  <c r="J23" i="119"/>
  <c r="L23" i="119"/>
  <c r="N23" i="119"/>
  <c r="P23" i="119"/>
  <c r="Q23" i="119"/>
  <c r="R23" i="119"/>
  <c r="S23" i="119"/>
  <c r="U23" i="119"/>
  <c r="W23" i="119"/>
  <c r="Y23" i="119"/>
  <c r="AC23" i="119"/>
  <c r="AD23" i="119"/>
  <c r="AF23" i="119"/>
  <c r="AH23" i="119"/>
  <c r="AI23" i="119"/>
  <c r="AJ23" i="119"/>
  <c r="AK23" i="119"/>
  <c r="AW23" i="119"/>
  <c r="AX23" i="119"/>
  <c r="AY23" i="119"/>
  <c r="BB23" i="119"/>
  <c r="BC23" i="119"/>
  <c r="BD23" i="119"/>
  <c r="BE23" i="119"/>
  <c r="BH23" i="119"/>
  <c r="BI23" i="119"/>
  <c r="B24" i="119"/>
  <c r="C24" i="119"/>
  <c r="F24" i="119"/>
  <c r="H24" i="119"/>
  <c r="J24" i="119"/>
  <c r="L24" i="119"/>
  <c r="N24" i="119"/>
  <c r="P24" i="119"/>
  <c r="Q24" i="119"/>
  <c r="R24" i="119"/>
  <c r="S24" i="119"/>
  <c r="U24" i="119"/>
  <c r="W24" i="119"/>
  <c r="Y24" i="119"/>
  <c r="AC24" i="119"/>
  <c r="AD24" i="119"/>
  <c r="AF24" i="119"/>
  <c r="AH24" i="119"/>
  <c r="AI24" i="119"/>
  <c r="AJ24" i="119"/>
  <c r="AK24" i="119"/>
  <c r="AW24" i="119"/>
  <c r="AX24" i="119"/>
  <c r="AY24" i="119"/>
  <c r="BB24" i="119"/>
  <c r="BC24" i="119"/>
  <c r="BD24" i="119"/>
  <c r="BE24" i="119"/>
  <c r="BH24" i="119"/>
  <c r="BI24" i="119"/>
  <c r="B25" i="119"/>
  <c r="C25" i="119"/>
  <c r="F25" i="119"/>
  <c r="H25" i="119"/>
  <c r="J25" i="119"/>
  <c r="L25" i="119"/>
  <c r="N25" i="119"/>
  <c r="P25" i="119"/>
  <c r="Q25" i="119"/>
  <c r="R25" i="119"/>
  <c r="S25" i="119"/>
  <c r="U25" i="119"/>
  <c r="W25" i="119"/>
  <c r="Y25" i="119"/>
  <c r="AC25" i="119"/>
  <c r="AD25" i="119"/>
  <c r="AF25" i="119"/>
  <c r="AH25" i="119"/>
  <c r="AI25" i="119"/>
  <c r="AJ25" i="119"/>
  <c r="AK25" i="119"/>
  <c r="AW25" i="119"/>
  <c r="AX25" i="119"/>
  <c r="AY25" i="119"/>
  <c r="BB25" i="119"/>
  <c r="BC25" i="119"/>
  <c r="BD25" i="119"/>
  <c r="BE25" i="119"/>
  <c r="BH25" i="119"/>
  <c r="BI25" i="119"/>
  <c r="B26" i="119"/>
  <c r="C26" i="119"/>
  <c r="F26" i="119"/>
  <c r="H26" i="119"/>
  <c r="J26" i="119"/>
  <c r="L26" i="119"/>
  <c r="N26" i="119"/>
  <c r="P26" i="119"/>
  <c r="Q26" i="119"/>
  <c r="R26" i="119"/>
  <c r="S26" i="119"/>
  <c r="U26" i="119"/>
  <c r="W26" i="119"/>
  <c r="Y26" i="119"/>
  <c r="AC26" i="119"/>
  <c r="AD26" i="119"/>
  <c r="AF26" i="119"/>
  <c r="AH26" i="119"/>
  <c r="AI26" i="119"/>
  <c r="AJ26" i="119"/>
  <c r="AK26" i="119"/>
  <c r="AW26" i="119"/>
  <c r="AX26" i="119"/>
  <c r="AY26" i="119"/>
  <c r="BB26" i="119"/>
  <c r="BC26" i="119"/>
  <c r="BD26" i="119"/>
  <c r="BE26" i="119"/>
  <c r="BH26" i="119"/>
  <c r="BI26" i="119"/>
  <c r="B27" i="119"/>
  <c r="C27" i="119"/>
  <c r="F27" i="119"/>
  <c r="H27" i="119"/>
  <c r="J27" i="119"/>
  <c r="L27" i="119"/>
  <c r="N27" i="119"/>
  <c r="P27" i="119"/>
  <c r="Q27" i="119"/>
  <c r="R27" i="119"/>
  <c r="S27" i="119"/>
  <c r="U27" i="119"/>
  <c r="W27" i="119"/>
  <c r="Y27" i="119"/>
  <c r="AC27" i="119"/>
  <c r="AD27" i="119"/>
  <c r="AF27" i="119"/>
  <c r="AH27" i="119"/>
  <c r="AI27" i="119"/>
  <c r="AJ27" i="119"/>
  <c r="AK27" i="119"/>
  <c r="AW27" i="119"/>
  <c r="AX27" i="119"/>
  <c r="AY27" i="119"/>
  <c r="BB27" i="119"/>
  <c r="BC27" i="119"/>
  <c r="BD27" i="119"/>
  <c r="BE27" i="119"/>
  <c r="BH27" i="119"/>
  <c r="BI27" i="119"/>
  <c r="B28" i="119"/>
  <c r="C28" i="119"/>
  <c r="F28" i="119"/>
  <c r="H28" i="119"/>
  <c r="J28" i="119"/>
  <c r="L28" i="119"/>
  <c r="N28" i="119"/>
  <c r="P28" i="119"/>
  <c r="Q28" i="119"/>
  <c r="R28" i="119"/>
  <c r="S28" i="119"/>
  <c r="U28" i="119"/>
  <c r="W28" i="119"/>
  <c r="Y28" i="119"/>
  <c r="AC28" i="119"/>
  <c r="AD28" i="119"/>
  <c r="AF28" i="119"/>
  <c r="AH28" i="119"/>
  <c r="AI28" i="119"/>
  <c r="AJ28" i="119"/>
  <c r="AK28" i="119"/>
  <c r="AW28" i="119"/>
  <c r="AX28" i="119"/>
  <c r="AY28" i="119"/>
  <c r="BB28" i="119"/>
  <c r="BC28" i="119"/>
  <c r="BD28" i="119"/>
  <c r="BE28" i="119"/>
  <c r="BH28" i="119"/>
  <c r="BI28" i="119"/>
  <c r="B29" i="119"/>
  <c r="C29" i="119"/>
  <c r="F29" i="119"/>
  <c r="H29" i="119"/>
  <c r="J29" i="119"/>
  <c r="L29" i="119"/>
  <c r="N29" i="119"/>
  <c r="P29" i="119"/>
  <c r="Q29" i="119"/>
  <c r="R29" i="119"/>
  <c r="S29" i="119"/>
  <c r="U29" i="119"/>
  <c r="W29" i="119"/>
  <c r="Y29" i="119"/>
  <c r="AC29" i="119"/>
  <c r="AD29" i="119"/>
  <c r="AF29" i="119"/>
  <c r="AH29" i="119"/>
  <c r="AI29" i="119"/>
  <c r="AJ29" i="119"/>
  <c r="AK29" i="119"/>
  <c r="AW29" i="119"/>
  <c r="AX29" i="119"/>
  <c r="AY29" i="119"/>
  <c r="BB29" i="119"/>
  <c r="BC29" i="119"/>
  <c r="BD29" i="119"/>
  <c r="BE29" i="119"/>
  <c r="BH29" i="119"/>
  <c r="BI29" i="119"/>
  <c r="B30" i="119"/>
  <c r="C30" i="119"/>
  <c r="F30" i="119"/>
  <c r="H30" i="119"/>
  <c r="J30" i="119"/>
  <c r="L30" i="119"/>
  <c r="N30" i="119"/>
  <c r="P30" i="119"/>
  <c r="Q30" i="119"/>
  <c r="R30" i="119"/>
  <c r="S30" i="119"/>
  <c r="U30" i="119"/>
  <c r="W30" i="119"/>
  <c r="Y30" i="119"/>
  <c r="AC30" i="119"/>
  <c r="AD30" i="119"/>
  <c r="AF30" i="119"/>
  <c r="AH30" i="119"/>
  <c r="AI30" i="119"/>
  <c r="AJ30" i="119"/>
  <c r="AK30" i="119"/>
  <c r="AW30" i="119"/>
  <c r="AX30" i="119"/>
  <c r="AY30" i="119"/>
  <c r="BB30" i="119"/>
  <c r="BC30" i="119"/>
  <c r="BD30" i="119"/>
  <c r="BE30" i="119"/>
  <c r="BH30" i="119"/>
  <c r="BI30" i="119"/>
  <c r="B31" i="119"/>
  <c r="C31" i="119"/>
  <c r="F31" i="119"/>
  <c r="H31" i="119"/>
  <c r="J31" i="119"/>
  <c r="L31" i="119"/>
  <c r="N31" i="119"/>
  <c r="P31" i="119"/>
  <c r="Q31" i="119"/>
  <c r="R31" i="119"/>
  <c r="S31" i="119"/>
  <c r="U31" i="119"/>
  <c r="W31" i="119"/>
  <c r="Y31" i="119"/>
  <c r="AC31" i="119"/>
  <c r="AD31" i="119"/>
  <c r="AF31" i="119"/>
  <c r="AH31" i="119"/>
  <c r="AI31" i="119"/>
  <c r="AJ31" i="119"/>
  <c r="AK31" i="119"/>
  <c r="AW31" i="119"/>
  <c r="AX31" i="119"/>
  <c r="AY31" i="119"/>
  <c r="BB31" i="119"/>
  <c r="BC31" i="119"/>
  <c r="BD31" i="119"/>
  <c r="BE31" i="119"/>
  <c r="BH31" i="119"/>
  <c r="BI31" i="119"/>
  <c r="B32" i="119"/>
  <c r="C32" i="119"/>
  <c r="F32" i="119"/>
  <c r="H32" i="119"/>
  <c r="J32" i="119"/>
  <c r="L32" i="119"/>
  <c r="N32" i="119"/>
  <c r="P32" i="119"/>
  <c r="Q32" i="119"/>
  <c r="R32" i="119"/>
  <c r="S32" i="119"/>
  <c r="U32" i="119"/>
  <c r="W32" i="119"/>
  <c r="Y32" i="119"/>
  <c r="AC32" i="119"/>
  <c r="AD32" i="119"/>
  <c r="AF32" i="119"/>
  <c r="AH32" i="119"/>
  <c r="AI32" i="119"/>
  <c r="AJ32" i="119"/>
  <c r="AK32" i="119"/>
  <c r="AW32" i="119"/>
  <c r="AX32" i="119"/>
  <c r="AY32" i="119"/>
  <c r="BB32" i="119"/>
  <c r="BC32" i="119"/>
  <c r="BD32" i="119"/>
  <c r="BE32" i="119"/>
  <c r="BH32" i="119"/>
  <c r="BI32" i="119"/>
  <c r="B33" i="119"/>
  <c r="C33" i="119"/>
  <c r="F33" i="119"/>
  <c r="H33" i="119"/>
  <c r="J33" i="119"/>
  <c r="L33" i="119"/>
  <c r="N33" i="119"/>
  <c r="P33" i="119"/>
  <c r="Q33" i="119"/>
  <c r="R33" i="119"/>
  <c r="S33" i="119"/>
  <c r="U33" i="119"/>
  <c r="W33" i="119"/>
  <c r="Y33" i="119"/>
  <c r="AC33" i="119"/>
  <c r="AD33" i="119"/>
  <c r="AF33" i="119"/>
  <c r="AH33" i="119"/>
  <c r="AI33" i="119"/>
  <c r="AJ33" i="119"/>
  <c r="AK33" i="119"/>
  <c r="AW33" i="119"/>
  <c r="AX33" i="119"/>
  <c r="AY33" i="119"/>
  <c r="BB33" i="119"/>
  <c r="BC33" i="119"/>
  <c r="BD33" i="119"/>
  <c r="BE33" i="119"/>
  <c r="BH33" i="119"/>
  <c r="BI33" i="119"/>
  <c r="B34" i="119"/>
  <c r="C34" i="119"/>
  <c r="F34" i="119"/>
  <c r="H34" i="119"/>
  <c r="J34" i="119"/>
  <c r="L34" i="119"/>
  <c r="N34" i="119"/>
  <c r="P34" i="119"/>
  <c r="Q34" i="119"/>
  <c r="R34" i="119"/>
  <c r="S34" i="119"/>
  <c r="U34" i="119"/>
  <c r="W34" i="119"/>
  <c r="Y34" i="119"/>
  <c r="AC34" i="119"/>
  <c r="AD34" i="119"/>
  <c r="AF34" i="119"/>
  <c r="AH34" i="119"/>
  <c r="AI34" i="119"/>
  <c r="AJ34" i="119"/>
  <c r="AK34" i="119"/>
  <c r="AW34" i="119"/>
  <c r="AX34" i="119"/>
  <c r="AY34" i="119"/>
  <c r="BB34" i="119"/>
  <c r="BC34" i="119"/>
  <c r="BD34" i="119"/>
  <c r="BE34" i="119"/>
  <c r="BH34" i="119"/>
  <c r="BI34" i="119"/>
  <c r="B35" i="119"/>
  <c r="C35" i="119"/>
  <c r="F35" i="119"/>
  <c r="H35" i="119"/>
  <c r="J35" i="119"/>
  <c r="L35" i="119"/>
  <c r="N35" i="119"/>
  <c r="P35" i="119"/>
  <c r="Q35" i="119"/>
  <c r="R35" i="119"/>
  <c r="S35" i="119"/>
  <c r="U35" i="119"/>
  <c r="W35" i="119"/>
  <c r="Y35" i="119"/>
  <c r="AC35" i="119"/>
  <c r="AD35" i="119"/>
  <c r="AF35" i="119"/>
  <c r="AH35" i="119"/>
  <c r="AI35" i="119"/>
  <c r="AJ35" i="119"/>
  <c r="AK35" i="119"/>
  <c r="AW35" i="119"/>
  <c r="AX35" i="119"/>
  <c r="AY35" i="119"/>
  <c r="BB35" i="119"/>
  <c r="BC35" i="119"/>
  <c r="BD35" i="119"/>
  <c r="BE35" i="119"/>
  <c r="BH35" i="119"/>
  <c r="BI35" i="119"/>
  <c r="B36" i="119"/>
  <c r="C36" i="119"/>
  <c r="F36" i="119"/>
  <c r="H36" i="119"/>
  <c r="J36" i="119"/>
  <c r="L36" i="119"/>
  <c r="N36" i="119"/>
  <c r="P36" i="119"/>
  <c r="Q36" i="119"/>
  <c r="R36" i="119"/>
  <c r="S36" i="119"/>
  <c r="U36" i="119"/>
  <c r="W36" i="119"/>
  <c r="Y36" i="119"/>
  <c r="AC36" i="119"/>
  <c r="AD36" i="119"/>
  <c r="AF36" i="119"/>
  <c r="AH36" i="119"/>
  <c r="AI36" i="119"/>
  <c r="AJ36" i="119"/>
  <c r="AK36" i="119"/>
  <c r="AW36" i="119"/>
  <c r="AX36" i="119"/>
  <c r="AY36" i="119"/>
  <c r="BB36" i="119"/>
  <c r="BC36" i="119"/>
  <c r="BD36" i="119"/>
  <c r="BE36" i="119"/>
  <c r="BH36" i="119"/>
  <c r="BI36" i="119"/>
  <c r="B37" i="119"/>
  <c r="C37" i="119"/>
  <c r="F37" i="119"/>
  <c r="H37" i="119"/>
  <c r="J37" i="119"/>
  <c r="L37" i="119"/>
  <c r="N37" i="119"/>
  <c r="P37" i="119"/>
  <c r="Q37" i="119"/>
  <c r="R37" i="119"/>
  <c r="S37" i="119"/>
  <c r="U37" i="119"/>
  <c r="W37" i="119"/>
  <c r="Y37" i="119"/>
  <c r="AC37" i="119"/>
  <c r="AD37" i="119"/>
  <c r="AF37" i="119"/>
  <c r="AH37" i="119"/>
  <c r="AI37" i="119"/>
  <c r="AJ37" i="119"/>
  <c r="AK37" i="119"/>
  <c r="AW37" i="119"/>
  <c r="AX37" i="119"/>
  <c r="AY37" i="119"/>
  <c r="BB37" i="119"/>
  <c r="BC37" i="119"/>
  <c r="BD37" i="119"/>
  <c r="BE37" i="119"/>
  <c r="BH37" i="119"/>
  <c r="BI37" i="119"/>
  <c r="B38" i="119"/>
  <c r="C38" i="119"/>
  <c r="F38" i="119"/>
  <c r="H38" i="119"/>
  <c r="J38" i="119"/>
  <c r="L38" i="119"/>
  <c r="N38" i="119"/>
  <c r="P38" i="119"/>
  <c r="Q38" i="119"/>
  <c r="R38" i="119"/>
  <c r="S38" i="119"/>
  <c r="U38" i="119"/>
  <c r="W38" i="119"/>
  <c r="Y38" i="119"/>
  <c r="AC38" i="119"/>
  <c r="AD38" i="119"/>
  <c r="AF38" i="119"/>
  <c r="AH38" i="119"/>
  <c r="AI38" i="119"/>
  <c r="AJ38" i="119"/>
  <c r="AK38" i="119"/>
  <c r="AW38" i="119"/>
  <c r="AX38" i="119"/>
  <c r="AY38" i="119"/>
  <c r="BB38" i="119"/>
  <c r="BC38" i="119"/>
  <c r="BD38" i="119"/>
  <c r="BE38" i="119"/>
  <c r="BH38" i="119"/>
  <c r="BI38" i="119"/>
  <c r="B39" i="119"/>
  <c r="C39" i="119"/>
  <c r="F39" i="119"/>
  <c r="H39" i="119"/>
  <c r="J39" i="119"/>
  <c r="L39" i="119"/>
  <c r="N39" i="119"/>
  <c r="P39" i="119"/>
  <c r="Q39" i="119"/>
  <c r="R39" i="119"/>
  <c r="S39" i="119"/>
  <c r="U39" i="119"/>
  <c r="W39" i="119"/>
  <c r="Y39" i="119"/>
  <c r="AC39" i="119"/>
  <c r="AD39" i="119"/>
  <c r="AF39" i="119"/>
  <c r="AH39" i="119"/>
  <c r="AI39" i="119"/>
  <c r="AJ39" i="119"/>
  <c r="AK39" i="119"/>
  <c r="AW39" i="119"/>
  <c r="AX39" i="119"/>
  <c r="AY39" i="119"/>
  <c r="BB39" i="119"/>
  <c r="BC39" i="119"/>
  <c r="BD39" i="119"/>
  <c r="BE39" i="119"/>
  <c r="BH39" i="119"/>
  <c r="BI39" i="119"/>
  <c r="B40" i="119"/>
  <c r="C40" i="119"/>
  <c r="F40" i="119"/>
  <c r="H40" i="119"/>
  <c r="J40" i="119"/>
  <c r="L40" i="119"/>
  <c r="N40" i="119"/>
  <c r="P40" i="119"/>
  <c r="Q40" i="119"/>
  <c r="R40" i="119"/>
  <c r="S40" i="119"/>
  <c r="U40" i="119"/>
  <c r="W40" i="119"/>
  <c r="Y40" i="119"/>
  <c r="AC40" i="119"/>
  <c r="AD40" i="119"/>
  <c r="AF40" i="119"/>
  <c r="AH40" i="119"/>
  <c r="AI40" i="119"/>
  <c r="AJ40" i="119"/>
  <c r="AK40" i="119"/>
  <c r="AW40" i="119"/>
  <c r="AX40" i="119"/>
  <c r="AY40" i="119"/>
  <c r="BB40" i="119"/>
  <c r="BC40" i="119"/>
  <c r="BD40" i="119"/>
  <c r="BE40" i="119"/>
  <c r="BH40" i="119"/>
  <c r="BI40" i="119"/>
  <c r="B41" i="119"/>
  <c r="C41" i="119"/>
  <c r="F41" i="119"/>
  <c r="H41" i="119"/>
  <c r="J41" i="119"/>
  <c r="L41" i="119"/>
  <c r="N41" i="119"/>
  <c r="P41" i="119"/>
  <c r="Q41" i="119"/>
  <c r="R41" i="119"/>
  <c r="S41" i="119"/>
  <c r="U41" i="119"/>
  <c r="W41" i="119"/>
  <c r="Y41" i="119"/>
  <c r="AC41" i="119"/>
  <c r="AD41" i="119"/>
  <c r="AF41" i="119"/>
  <c r="AH41" i="119"/>
  <c r="AI41" i="119"/>
  <c r="AJ41" i="119"/>
  <c r="AK41" i="119"/>
  <c r="AW41" i="119"/>
  <c r="AX41" i="119"/>
  <c r="AY41" i="119"/>
  <c r="BB41" i="119"/>
  <c r="BC41" i="119"/>
  <c r="BD41" i="119"/>
  <c r="BE41" i="119"/>
  <c r="BH41" i="119"/>
  <c r="BI41" i="119"/>
  <c r="B42" i="119"/>
  <c r="C42" i="119"/>
  <c r="F42" i="119"/>
  <c r="H42" i="119"/>
  <c r="J42" i="119"/>
  <c r="L42" i="119"/>
  <c r="N42" i="119"/>
  <c r="P42" i="119"/>
  <c r="Q42" i="119"/>
  <c r="R42" i="119"/>
  <c r="S42" i="119"/>
  <c r="U42" i="119"/>
  <c r="W42" i="119"/>
  <c r="Y42" i="119"/>
  <c r="AC42" i="119"/>
  <c r="AD42" i="119"/>
  <c r="AF42" i="119"/>
  <c r="AH42" i="119"/>
  <c r="AI42" i="119"/>
  <c r="AJ42" i="119"/>
  <c r="AK42" i="119"/>
  <c r="AW42" i="119"/>
  <c r="AX42" i="119"/>
  <c r="AY42" i="119"/>
  <c r="BB42" i="119"/>
  <c r="BC42" i="119"/>
  <c r="BD42" i="119"/>
  <c r="BE42" i="119"/>
  <c r="BH42" i="119"/>
  <c r="BI42" i="119"/>
  <c r="B43" i="119"/>
  <c r="C43" i="119"/>
  <c r="F43" i="119"/>
  <c r="H43" i="119"/>
  <c r="J43" i="119"/>
  <c r="L43" i="119"/>
  <c r="N43" i="119"/>
  <c r="P43" i="119"/>
  <c r="Q43" i="119"/>
  <c r="R43" i="119"/>
  <c r="S43" i="119"/>
  <c r="U43" i="119"/>
  <c r="W43" i="119"/>
  <c r="Y43" i="119"/>
  <c r="AC43" i="119"/>
  <c r="AD43" i="119"/>
  <c r="AF43" i="119"/>
  <c r="AH43" i="119"/>
  <c r="AI43" i="119"/>
  <c r="AJ43" i="119"/>
  <c r="AK43" i="119"/>
  <c r="AW43" i="119"/>
  <c r="AX43" i="119"/>
  <c r="AY43" i="119"/>
  <c r="BB43" i="119"/>
  <c r="BC43" i="119"/>
  <c r="BD43" i="119"/>
  <c r="BE43" i="119"/>
  <c r="BH43" i="119"/>
  <c r="BI43" i="119"/>
  <c r="B44" i="119"/>
  <c r="C44" i="119"/>
  <c r="F44" i="119"/>
  <c r="H44" i="119"/>
  <c r="J44" i="119"/>
  <c r="L44" i="119"/>
  <c r="N44" i="119"/>
  <c r="P44" i="119"/>
  <c r="Q44" i="119"/>
  <c r="R44" i="119"/>
  <c r="S44" i="119"/>
  <c r="U44" i="119"/>
  <c r="W44" i="119"/>
  <c r="Y44" i="119"/>
  <c r="AC44" i="119"/>
  <c r="AD44" i="119"/>
  <c r="AF44" i="119"/>
  <c r="AH44" i="119"/>
  <c r="AI44" i="119"/>
  <c r="AJ44" i="119"/>
  <c r="AK44" i="119"/>
  <c r="AW44" i="119"/>
  <c r="AX44" i="119"/>
  <c r="AY44" i="119"/>
  <c r="BB44" i="119"/>
  <c r="BC44" i="119"/>
  <c r="BD44" i="119"/>
  <c r="BE44" i="119"/>
  <c r="BH44" i="119"/>
  <c r="BI44" i="119"/>
  <c r="B45" i="119"/>
  <c r="C45" i="119"/>
  <c r="F45" i="119"/>
  <c r="H45" i="119"/>
  <c r="J45" i="119"/>
  <c r="L45" i="119"/>
  <c r="N45" i="119"/>
  <c r="P45" i="119"/>
  <c r="Q45" i="119"/>
  <c r="R45" i="119"/>
  <c r="S45" i="119"/>
  <c r="U45" i="119"/>
  <c r="W45" i="119"/>
  <c r="Y45" i="119"/>
  <c r="AC45" i="119"/>
  <c r="AD45" i="119"/>
  <c r="AF45" i="119"/>
  <c r="AH45" i="119"/>
  <c r="AI45" i="119"/>
  <c r="AJ45" i="119"/>
  <c r="AK45" i="119"/>
  <c r="AW45" i="119"/>
  <c r="AX45" i="119"/>
  <c r="AY45" i="119"/>
  <c r="BB45" i="119"/>
  <c r="BC45" i="119"/>
  <c r="BD45" i="119"/>
  <c r="BE45" i="119"/>
  <c r="BH45" i="119"/>
  <c r="BI45" i="119"/>
  <c r="B46" i="119"/>
  <c r="C46" i="119"/>
  <c r="F46" i="119"/>
  <c r="H46" i="119"/>
  <c r="J46" i="119"/>
  <c r="L46" i="119"/>
  <c r="N46" i="119"/>
  <c r="P46" i="119"/>
  <c r="Q46" i="119"/>
  <c r="R46" i="119"/>
  <c r="S46" i="119"/>
  <c r="U46" i="119"/>
  <c r="W46" i="119"/>
  <c r="Y46" i="119"/>
  <c r="AC46" i="119"/>
  <c r="AD46" i="119"/>
  <c r="AF46" i="119"/>
  <c r="AH46" i="119"/>
  <c r="AI46" i="119"/>
  <c r="AJ46" i="119"/>
  <c r="AK46" i="119"/>
  <c r="AW46" i="119"/>
  <c r="AX46" i="119"/>
  <c r="AY46" i="119"/>
  <c r="BB46" i="119"/>
  <c r="BC46" i="119"/>
  <c r="BD46" i="119"/>
  <c r="BE46" i="119"/>
  <c r="BH46" i="119"/>
  <c r="BI46" i="119"/>
  <c r="B47" i="119"/>
  <c r="C47" i="119"/>
  <c r="F47" i="119"/>
  <c r="H47" i="119"/>
  <c r="J47" i="119"/>
  <c r="L47" i="119"/>
  <c r="N47" i="119"/>
  <c r="P47" i="119"/>
  <c r="Q47" i="119"/>
  <c r="R47" i="119"/>
  <c r="S47" i="119"/>
  <c r="U47" i="119"/>
  <c r="W47" i="119"/>
  <c r="Y47" i="119"/>
  <c r="AC47" i="119"/>
  <c r="AD47" i="119"/>
  <c r="AF47" i="119"/>
  <c r="AH47" i="119"/>
  <c r="AI47" i="119"/>
  <c r="AJ47" i="119"/>
  <c r="AK47" i="119"/>
  <c r="AW47" i="119"/>
  <c r="AX47" i="119"/>
  <c r="AY47" i="119"/>
  <c r="BB47" i="119"/>
  <c r="BC47" i="119"/>
  <c r="BD47" i="119"/>
  <c r="BE47" i="119"/>
  <c r="BH47" i="119"/>
  <c r="BI47" i="119"/>
  <c r="B48" i="119"/>
  <c r="C48" i="119"/>
  <c r="F48" i="119"/>
  <c r="H48" i="119"/>
  <c r="J48" i="119"/>
  <c r="L48" i="119"/>
  <c r="N48" i="119"/>
  <c r="P48" i="119"/>
  <c r="Q48" i="119"/>
  <c r="R48" i="119"/>
  <c r="S48" i="119"/>
  <c r="U48" i="119"/>
  <c r="W48" i="119"/>
  <c r="Y48" i="119"/>
  <c r="AC48" i="119"/>
  <c r="AD48" i="119"/>
  <c r="AF48" i="119"/>
  <c r="AH48" i="119"/>
  <c r="AI48" i="119"/>
  <c r="AJ48" i="119"/>
  <c r="AK48" i="119"/>
  <c r="AW48" i="119"/>
  <c r="AX48" i="119"/>
  <c r="AY48" i="119"/>
  <c r="BB48" i="119"/>
  <c r="BC48" i="119"/>
  <c r="BD48" i="119"/>
  <c r="BE48" i="119"/>
  <c r="BH48" i="119"/>
  <c r="BI48" i="119"/>
  <c r="B49" i="119"/>
  <c r="C49" i="119"/>
  <c r="F49" i="119"/>
  <c r="H49" i="119"/>
  <c r="J49" i="119"/>
  <c r="L49" i="119"/>
  <c r="N49" i="119"/>
  <c r="P49" i="119"/>
  <c r="Q49" i="119"/>
  <c r="R49" i="119"/>
  <c r="S49" i="119"/>
  <c r="U49" i="119"/>
  <c r="W49" i="119"/>
  <c r="Y49" i="119"/>
  <c r="AC49" i="119"/>
  <c r="AD49" i="119"/>
  <c r="AF49" i="119"/>
  <c r="AH49" i="119"/>
  <c r="AI49" i="119"/>
  <c r="AJ49" i="119"/>
  <c r="AK49" i="119"/>
  <c r="AW49" i="119"/>
  <c r="AX49" i="119"/>
  <c r="AY49" i="119"/>
  <c r="BB49" i="119"/>
  <c r="BC49" i="119"/>
  <c r="BD49" i="119"/>
  <c r="BE49" i="119"/>
  <c r="BH49" i="119"/>
  <c r="BI49" i="119"/>
  <c r="B50" i="119"/>
  <c r="C50" i="119"/>
  <c r="F50" i="119"/>
  <c r="H50" i="119"/>
  <c r="J50" i="119"/>
  <c r="L50" i="119"/>
  <c r="N50" i="119"/>
  <c r="P50" i="119"/>
  <c r="Q50" i="119"/>
  <c r="R50" i="119"/>
  <c r="S50" i="119"/>
  <c r="U50" i="119"/>
  <c r="W50" i="119"/>
  <c r="Y50" i="119"/>
  <c r="AC50" i="119"/>
  <c r="AD50" i="119"/>
  <c r="AF50" i="119"/>
  <c r="AH50" i="119"/>
  <c r="AI50" i="119"/>
  <c r="AJ50" i="119"/>
  <c r="AK50" i="119"/>
  <c r="AW50" i="119"/>
  <c r="AX50" i="119"/>
  <c r="AY50" i="119"/>
  <c r="BB50" i="119"/>
  <c r="BC50" i="119"/>
  <c r="BD50" i="119"/>
  <c r="BE50" i="119"/>
  <c r="BH50" i="119"/>
  <c r="BI50" i="119"/>
  <c r="C51" i="119"/>
  <c r="D51" i="119"/>
  <c r="E51" i="119"/>
  <c r="F51" i="119"/>
  <c r="G51" i="119"/>
  <c r="H51" i="119"/>
  <c r="I51" i="119"/>
  <c r="J51" i="119"/>
  <c r="K51" i="119"/>
  <c r="L51" i="119"/>
  <c r="M51" i="119"/>
  <c r="N51" i="119"/>
  <c r="O51" i="119"/>
  <c r="P51" i="119"/>
  <c r="Q51" i="119"/>
  <c r="R51" i="119"/>
  <c r="S51" i="119"/>
  <c r="T51" i="119"/>
  <c r="U51" i="119"/>
  <c r="V51" i="119"/>
  <c r="W51" i="119"/>
  <c r="X51" i="119"/>
  <c r="Y51" i="119"/>
  <c r="AD51" i="119"/>
  <c r="AE51" i="119"/>
  <c r="AF51" i="119"/>
  <c r="AG51" i="119"/>
  <c r="AH51" i="119"/>
  <c r="AI51" i="119"/>
  <c r="AJ51" i="119"/>
  <c r="AK51" i="119"/>
  <c r="AX51" i="119"/>
  <c r="AY51" i="119"/>
  <c r="AZ51" i="119"/>
  <c r="BA51" i="119"/>
  <c r="BB51" i="119"/>
  <c r="BC51" i="119"/>
  <c r="BD51" i="119"/>
  <c r="BE51" i="119"/>
  <c r="BF51" i="119"/>
  <c r="BG51" i="119"/>
  <c r="BH51" i="119"/>
  <c r="BI51" i="119"/>
  <c r="AN10" i="118"/>
  <c r="AO10" i="118"/>
  <c r="AQ10" i="118"/>
  <c r="AS10" i="118"/>
  <c r="AT10" i="118"/>
  <c r="B11" i="118"/>
  <c r="C11" i="118"/>
  <c r="F11" i="118"/>
  <c r="H11" i="118"/>
  <c r="J11" i="118"/>
  <c r="L11" i="118"/>
  <c r="N11" i="118"/>
  <c r="P11" i="118"/>
  <c r="Q11" i="118"/>
  <c r="R11" i="118"/>
  <c r="S11" i="118"/>
  <c r="U11" i="118"/>
  <c r="W11" i="118"/>
  <c r="Y11" i="118"/>
  <c r="AC11" i="118"/>
  <c r="AD11" i="118"/>
  <c r="AF11" i="118"/>
  <c r="AH11" i="118"/>
  <c r="AI11" i="118"/>
  <c r="AJ11" i="118"/>
  <c r="AK11" i="118"/>
  <c r="AN11" i="118"/>
  <c r="AO11" i="118"/>
  <c r="AQ11" i="118"/>
  <c r="AS11" i="118"/>
  <c r="AT11" i="118"/>
  <c r="AW11" i="118"/>
  <c r="AX11" i="118"/>
  <c r="AY11" i="118"/>
  <c r="BB11" i="118"/>
  <c r="BC11" i="118"/>
  <c r="BD11" i="118"/>
  <c r="BE11" i="118"/>
  <c r="BH11" i="118"/>
  <c r="BI11" i="118"/>
  <c r="B12" i="118"/>
  <c r="C12" i="118"/>
  <c r="F12" i="118"/>
  <c r="H12" i="118"/>
  <c r="J12" i="118"/>
  <c r="L12" i="118"/>
  <c r="N12" i="118"/>
  <c r="P12" i="118"/>
  <c r="Q12" i="118"/>
  <c r="R12" i="118"/>
  <c r="S12" i="118"/>
  <c r="U12" i="118"/>
  <c r="W12" i="118"/>
  <c r="Y12" i="118"/>
  <c r="AC12" i="118"/>
  <c r="AD12" i="118"/>
  <c r="AF12" i="118"/>
  <c r="AH12" i="118"/>
  <c r="AI12" i="118"/>
  <c r="AJ12" i="118"/>
  <c r="AK12" i="118"/>
  <c r="AN12" i="118"/>
  <c r="AO12" i="118"/>
  <c r="AQ12" i="118"/>
  <c r="AS12" i="118"/>
  <c r="AT12" i="118"/>
  <c r="AW12" i="118"/>
  <c r="AX12" i="118"/>
  <c r="AY12" i="118"/>
  <c r="BB12" i="118"/>
  <c r="BC12" i="118"/>
  <c r="BD12" i="118"/>
  <c r="BE12" i="118"/>
  <c r="BH12" i="118"/>
  <c r="BI12" i="118"/>
  <c r="B13" i="118"/>
  <c r="C13" i="118"/>
  <c r="F13" i="118"/>
  <c r="H13" i="118"/>
  <c r="J13" i="118"/>
  <c r="L13" i="118"/>
  <c r="N13" i="118"/>
  <c r="P13" i="118"/>
  <c r="Q13" i="118"/>
  <c r="R13" i="118"/>
  <c r="S13" i="118"/>
  <c r="U13" i="118"/>
  <c r="W13" i="118"/>
  <c r="Y13" i="118"/>
  <c r="AC13" i="118"/>
  <c r="AD13" i="118"/>
  <c r="AF13" i="118"/>
  <c r="AH13" i="118"/>
  <c r="AI13" i="118"/>
  <c r="AJ13" i="118"/>
  <c r="AK13" i="118"/>
  <c r="AO13" i="118"/>
  <c r="AP13" i="118"/>
  <c r="AQ13" i="118"/>
  <c r="AR13" i="118"/>
  <c r="AS13" i="118"/>
  <c r="AT13" i="118"/>
  <c r="AW13" i="118"/>
  <c r="AX13" i="118"/>
  <c r="AY13" i="118"/>
  <c r="BB13" i="118"/>
  <c r="BC13" i="118"/>
  <c r="BD13" i="118"/>
  <c r="BE13" i="118"/>
  <c r="BH13" i="118"/>
  <c r="BI13" i="118"/>
  <c r="B14" i="118"/>
  <c r="C14" i="118"/>
  <c r="F14" i="118"/>
  <c r="H14" i="118"/>
  <c r="J14" i="118"/>
  <c r="L14" i="118"/>
  <c r="N14" i="118"/>
  <c r="P14" i="118"/>
  <c r="Q14" i="118"/>
  <c r="R14" i="118"/>
  <c r="S14" i="118"/>
  <c r="U14" i="118"/>
  <c r="W14" i="118"/>
  <c r="Y14" i="118"/>
  <c r="AC14" i="118"/>
  <c r="AD14" i="118"/>
  <c r="AF14" i="118"/>
  <c r="AH14" i="118"/>
  <c r="AI14" i="118"/>
  <c r="AJ14" i="118"/>
  <c r="AK14" i="118"/>
  <c r="AT14" i="118"/>
  <c r="AW14" i="118"/>
  <c r="AX14" i="118"/>
  <c r="AY14" i="118"/>
  <c r="BB14" i="118"/>
  <c r="BC14" i="118"/>
  <c r="BD14" i="118"/>
  <c r="BE14" i="118"/>
  <c r="BH14" i="118"/>
  <c r="BI14" i="118"/>
  <c r="B15" i="118"/>
  <c r="C15" i="118"/>
  <c r="F15" i="118"/>
  <c r="H15" i="118"/>
  <c r="J15" i="118"/>
  <c r="L15" i="118"/>
  <c r="N15" i="118"/>
  <c r="P15" i="118"/>
  <c r="Q15" i="118"/>
  <c r="R15" i="118"/>
  <c r="S15" i="118"/>
  <c r="U15" i="118"/>
  <c r="W15" i="118"/>
  <c r="Y15" i="118"/>
  <c r="AC15" i="118"/>
  <c r="AD15" i="118"/>
  <c r="AF15" i="118"/>
  <c r="AH15" i="118"/>
  <c r="AI15" i="118"/>
  <c r="AJ15" i="118"/>
  <c r="AK15" i="118"/>
  <c r="AW15" i="118"/>
  <c r="AX15" i="118"/>
  <c r="AY15" i="118"/>
  <c r="BB15" i="118"/>
  <c r="BC15" i="118"/>
  <c r="BD15" i="118"/>
  <c r="BE15" i="118"/>
  <c r="BH15" i="118"/>
  <c r="BI15" i="118"/>
  <c r="B16" i="118"/>
  <c r="C16" i="118"/>
  <c r="F16" i="118"/>
  <c r="H16" i="118"/>
  <c r="J16" i="118"/>
  <c r="L16" i="118"/>
  <c r="N16" i="118"/>
  <c r="P16" i="118"/>
  <c r="Q16" i="118"/>
  <c r="R16" i="118"/>
  <c r="S16" i="118"/>
  <c r="U16" i="118"/>
  <c r="W16" i="118"/>
  <c r="Y16" i="118"/>
  <c r="AC16" i="118"/>
  <c r="AD16" i="118"/>
  <c r="AF16" i="118"/>
  <c r="AH16" i="118"/>
  <c r="AI16" i="118"/>
  <c r="AJ16" i="118"/>
  <c r="AK16" i="118"/>
  <c r="AW16" i="118"/>
  <c r="AX16" i="118"/>
  <c r="AY16" i="118"/>
  <c r="BB16" i="118"/>
  <c r="BC16" i="118"/>
  <c r="BD16" i="118"/>
  <c r="BE16" i="118"/>
  <c r="BH16" i="118"/>
  <c r="BI16" i="118"/>
  <c r="B17" i="118"/>
  <c r="C17" i="118"/>
  <c r="F17" i="118"/>
  <c r="H17" i="118"/>
  <c r="J17" i="118"/>
  <c r="L17" i="118"/>
  <c r="N17" i="118"/>
  <c r="P17" i="118"/>
  <c r="Q17" i="118"/>
  <c r="R17" i="118"/>
  <c r="S17" i="118"/>
  <c r="U17" i="118"/>
  <c r="W17" i="118"/>
  <c r="Y17" i="118"/>
  <c r="AC17" i="118"/>
  <c r="AD17" i="118"/>
  <c r="AF17" i="118"/>
  <c r="AH17" i="118"/>
  <c r="AI17" i="118"/>
  <c r="AJ17" i="118"/>
  <c r="AK17" i="118"/>
  <c r="AW17" i="118"/>
  <c r="AX17" i="118"/>
  <c r="AY17" i="118"/>
  <c r="BB17" i="118"/>
  <c r="BC17" i="118"/>
  <c r="BD17" i="118"/>
  <c r="BE17" i="118"/>
  <c r="BH17" i="118"/>
  <c r="BI17" i="118"/>
  <c r="B18" i="118"/>
  <c r="C18" i="118"/>
  <c r="F18" i="118"/>
  <c r="H18" i="118"/>
  <c r="J18" i="118"/>
  <c r="L18" i="118"/>
  <c r="N18" i="118"/>
  <c r="P18" i="118"/>
  <c r="Q18" i="118"/>
  <c r="R18" i="118"/>
  <c r="S18" i="118"/>
  <c r="U18" i="118"/>
  <c r="W18" i="118"/>
  <c r="Y18" i="118"/>
  <c r="AC18" i="118"/>
  <c r="AD18" i="118"/>
  <c r="AF18" i="118"/>
  <c r="AH18" i="118"/>
  <c r="AI18" i="118"/>
  <c r="AJ18" i="118"/>
  <c r="AK18" i="118"/>
  <c r="AW18" i="118"/>
  <c r="AX18" i="118"/>
  <c r="AY18" i="118"/>
  <c r="BB18" i="118"/>
  <c r="BC18" i="118"/>
  <c r="BD18" i="118"/>
  <c r="BE18" i="118"/>
  <c r="BH18" i="118"/>
  <c r="BI18" i="118"/>
  <c r="B19" i="118"/>
  <c r="C19" i="118"/>
  <c r="F19" i="118"/>
  <c r="H19" i="118"/>
  <c r="J19" i="118"/>
  <c r="L19" i="118"/>
  <c r="N19" i="118"/>
  <c r="P19" i="118"/>
  <c r="Q19" i="118"/>
  <c r="R19" i="118"/>
  <c r="S19" i="118"/>
  <c r="U19" i="118"/>
  <c r="W19" i="118"/>
  <c r="Y19" i="118"/>
  <c r="AC19" i="118"/>
  <c r="AD19" i="118"/>
  <c r="AF19" i="118"/>
  <c r="AH19" i="118"/>
  <c r="AI19" i="118"/>
  <c r="AJ19" i="118"/>
  <c r="AK19" i="118"/>
  <c r="AW19" i="118"/>
  <c r="AX19" i="118"/>
  <c r="AY19" i="118"/>
  <c r="BB19" i="118"/>
  <c r="BC19" i="118"/>
  <c r="BD19" i="118"/>
  <c r="BE19" i="118"/>
  <c r="BH19" i="118"/>
  <c r="BI19" i="118"/>
  <c r="B20" i="118"/>
  <c r="C20" i="118"/>
  <c r="F20" i="118"/>
  <c r="H20" i="118"/>
  <c r="J20" i="118"/>
  <c r="L20" i="118"/>
  <c r="N20" i="118"/>
  <c r="P20" i="118"/>
  <c r="Q20" i="118"/>
  <c r="R20" i="118"/>
  <c r="S20" i="118"/>
  <c r="U20" i="118"/>
  <c r="W20" i="118"/>
  <c r="Y20" i="118"/>
  <c r="AC20" i="118"/>
  <c r="AD20" i="118"/>
  <c r="AF20" i="118"/>
  <c r="AH20" i="118"/>
  <c r="AI20" i="118"/>
  <c r="AJ20" i="118"/>
  <c r="AK20" i="118"/>
  <c r="AW20" i="118"/>
  <c r="AX20" i="118"/>
  <c r="AY20" i="118"/>
  <c r="BB20" i="118"/>
  <c r="BC20" i="118"/>
  <c r="BD20" i="118"/>
  <c r="BE20" i="118"/>
  <c r="BH20" i="118"/>
  <c r="BI20" i="118"/>
  <c r="B21" i="118"/>
  <c r="C21" i="118"/>
  <c r="F21" i="118"/>
  <c r="H21" i="118"/>
  <c r="J21" i="118"/>
  <c r="L21" i="118"/>
  <c r="N21" i="118"/>
  <c r="P21" i="118"/>
  <c r="Q21" i="118"/>
  <c r="R21" i="118"/>
  <c r="S21" i="118"/>
  <c r="U21" i="118"/>
  <c r="W21" i="118"/>
  <c r="Y21" i="118"/>
  <c r="AC21" i="118"/>
  <c r="AD21" i="118"/>
  <c r="AF21" i="118"/>
  <c r="AH21" i="118"/>
  <c r="AI21" i="118"/>
  <c r="AJ21" i="118"/>
  <c r="AK21" i="118"/>
  <c r="AW21" i="118"/>
  <c r="AX21" i="118"/>
  <c r="AY21" i="118"/>
  <c r="BB21" i="118"/>
  <c r="BC21" i="118"/>
  <c r="BD21" i="118"/>
  <c r="BE21" i="118"/>
  <c r="BH21" i="118"/>
  <c r="BI21" i="118"/>
  <c r="B22" i="118"/>
  <c r="C22" i="118"/>
  <c r="F22" i="118"/>
  <c r="H22" i="118"/>
  <c r="J22" i="118"/>
  <c r="L22" i="118"/>
  <c r="N22" i="118"/>
  <c r="P22" i="118"/>
  <c r="Q22" i="118"/>
  <c r="R22" i="118"/>
  <c r="S22" i="118"/>
  <c r="U22" i="118"/>
  <c r="W22" i="118"/>
  <c r="Y22" i="118"/>
  <c r="AC22" i="118"/>
  <c r="AD22" i="118"/>
  <c r="AF22" i="118"/>
  <c r="AH22" i="118"/>
  <c r="AI22" i="118"/>
  <c r="AJ22" i="118"/>
  <c r="AK22" i="118"/>
  <c r="AW22" i="118"/>
  <c r="AX22" i="118"/>
  <c r="AY22" i="118"/>
  <c r="BB22" i="118"/>
  <c r="BC22" i="118"/>
  <c r="BD22" i="118"/>
  <c r="BE22" i="118"/>
  <c r="BH22" i="118"/>
  <c r="BI22" i="118"/>
  <c r="B23" i="118"/>
  <c r="C23" i="118"/>
  <c r="F23" i="118"/>
  <c r="H23" i="118"/>
  <c r="J23" i="118"/>
  <c r="L23" i="118"/>
  <c r="N23" i="118"/>
  <c r="P23" i="118"/>
  <c r="Q23" i="118"/>
  <c r="R23" i="118"/>
  <c r="S23" i="118"/>
  <c r="U23" i="118"/>
  <c r="W23" i="118"/>
  <c r="Y23" i="118"/>
  <c r="AC23" i="118"/>
  <c r="AD23" i="118"/>
  <c r="AF23" i="118"/>
  <c r="AH23" i="118"/>
  <c r="AI23" i="118"/>
  <c r="AJ23" i="118"/>
  <c r="AK23" i="118"/>
  <c r="AW23" i="118"/>
  <c r="AX23" i="118"/>
  <c r="AY23" i="118"/>
  <c r="BB23" i="118"/>
  <c r="BC23" i="118"/>
  <c r="BD23" i="118"/>
  <c r="BE23" i="118"/>
  <c r="BH23" i="118"/>
  <c r="BI23" i="118"/>
  <c r="B24" i="118"/>
  <c r="C24" i="118"/>
  <c r="F24" i="118"/>
  <c r="H24" i="118"/>
  <c r="J24" i="118"/>
  <c r="L24" i="118"/>
  <c r="N24" i="118"/>
  <c r="P24" i="118"/>
  <c r="Q24" i="118"/>
  <c r="R24" i="118"/>
  <c r="S24" i="118"/>
  <c r="U24" i="118"/>
  <c r="W24" i="118"/>
  <c r="Y24" i="118"/>
  <c r="AC24" i="118"/>
  <c r="AD24" i="118"/>
  <c r="AF24" i="118"/>
  <c r="AH24" i="118"/>
  <c r="AI24" i="118"/>
  <c r="AJ24" i="118"/>
  <c r="AK24" i="118"/>
  <c r="AW24" i="118"/>
  <c r="AX24" i="118"/>
  <c r="AY24" i="118"/>
  <c r="BB24" i="118"/>
  <c r="BC24" i="118"/>
  <c r="BD24" i="118"/>
  <c r="BE24" i="118"/>
  <c r="BH24" i="118"/>
  <c r="BI24" i="118"/>
  <c r="B25" i="118"/>
  <c r="C25" i="118"/>
  <c r="F25" i="118"/>
  <c r="H25" i="118"/>
  <c r="J25" i="118"/>
  <c r="L25" i="118"/>
  <c r="N25" i="118"/>
  <c r="P25" i="118"/>
  <c r="Q25" i="118"/>
  <c r="R25" i="118"/>
  <c r="S25" i="118"/>
  <c r="U25" i="118"/>
  <c r="W25" i="118"/>
  <c r="Y25" i="118"/>
  <c r="AC25" i="118"/>
  <c r="AD25" i="118"/>
  <c r="AF25" i="118"/>
  <c r="AH25" i="118"/>
  <c r="AI25" i="118"/>
  <c r="AJ25" i="118"/>
  <c r="AK25" i="118"/>
  <c r="AW25" i="118"/>
  <c r="AX25" i="118"/>
  <c r="AY25" i="118"/>
  <c r="BB25" i="118"/>
  <c r="BC25" i="118"/>
  <c r="BD25" i="118"/>
  <c r="BE25" i="118"/>
  <c r="BH25" i="118"/>
  <c r="BI25" i="118"/>
  <c r="B26" i="118"/>
  <c r="C26" i="118"/>
  <c r="F26" i="118"/>
  <c r="H26" i="118"/>
  <c r="J26" i="118"/>
  <c r="L26" i="118"/>
  <c r="N26" i="118"/>
  <c r="P26" i="118"/>
  <c r="Q26" i="118"/>
  <c r="R26" i="118"/>
  <c r="S26" i="118"/>
  <c r="U26" i="118"/>
  <c r="W26" i="118"/>
  <c r="Y26" i="118"/>
  <c r="AC26" i="118"/>
  <c r="AD26" i="118"/>
  <c r="AF26" i="118"/>
  <c r="AH26" i="118"/>
  <c r="AI26" i="118"/>
  <c r="AJ26" i="118"/>
  <c r="AK26" i="118"/>
  <c r="AW26" i="118"/>
  <c r="AX26" i="118"/>
  <c r="AY26" i="118"/>
  <c r="BB26" i="118"/>
  <c r="BC26" i="118"/>
  <c r="BD26" i="118"/>
  <c r="BE26" i="118"/>
  <c r="BH26" i="118"/>
  <c r="BI26" i="118"/>
  <c r="B27" i="118"/>
  <c r="C27" i="118"/>
  <c r="F27" i="118"/>
  <c r="H27" i="118"/>
  <c r="J27" i="118"/>
  <c r="L27" i="118"/>
  <c r="N27" i="118"/>
  <c r="P27" i="118"/>
  <c r="Q27" i="118"/>
  <c r="R27" i="118"/>
  <c r="S27" i="118"/>
  <c r="U27" i="118"/>
  <c r="W27" i="118"/>
  <c r="Y27" i="118"/>
  <c r="AC27" i="118"/>
  <c r="AD27" i="118"/>
  <c r="AF27" i="118"/>
  <c r="AH27" i="118"/>
  <c r="AI27" i="118"/>
  <c r="AJ27" i="118"/>
  <c r="AK27" i="118"/>
  <c r="AW27" i="118"/>
  <c r="AX27" i="118"/>
  <c r="AY27" i="118"/>
  <c r="BB27" i="118"/>
  <c r="BC27" i="118"/>
  <c r="BD27" i="118"/>
  <c r="BE27" i="118"/>
  <c r="BH27" i="118"/>
  <c r="BI27" i="118"/>
  <c r="B28" i="118"/>
  <c r="C28" i="118"/>
  <c r="F28" i="118"/>
  <c r="H28" i="118"/>
  <c r="J28" i="118"/>
  <c r="L28" i="118"/>
  <c r="N28" i="118"/>
  <c r="P28" i="118"/>
  <c r="Q28" i="118"/>
  <c r="R28" i="118"/>
  <c r="S28" i="118"/>
  <c r="U28" i="118"/>
  <c r="W28" i="118"/>
  <c r="Y28" i="118"/>
  <c r="AC28" i="118"/>
  <c r="AD28" i="118"/>
  <c r="AF28" i="118"/>
  <c r="AH28" i="118"/>
  <c r="AI28" i="118"/>
  <c r="AJ28" i="118"/>
  <c r="AK28" i="118"/>
  <c r="AW28" i="118"/>
  <c r="AX28" i="118"/>
  <c r="AY28" i="118"/>
  <c r="BB28" i="118"/>
  <c r="BC28" i="118"/>
  <c r="BD28" i="118"/>
  <c r="BE28" i="118"/>
  <c r="BH28" i="118"/>
  <c r="BI28" i="118"/>
  <c r="B29" i="118"/>
  <c r="C29" i="118"/>
  <c r="F29" i="118"/>
  <c r="H29" i="118"/>
  <c r="J29" i="118"/>
  <c r="L29" i="118"/>
  <c r="N29" i="118"/>
  <c r="P29" i="118"/>
  <c r="Q29" i="118"/>
  <c r="R29" i="118"/>
  <c r="S29" i="118"/>
  <c r="U29" i="118"/>
  <c r="W29" i="118"/>
  <c r="Y29" i="118"/>
  <c r="AC29" i="118"/>
  <c r="AD29" i="118"/>
  <c r="AF29" i="118"/>
  <c r="AH29" i="118"/>
  <c r="AI29" i="118"/>
  <c r="AJ29" i="118"/>
  <c r="AK29" i="118"/>
  <c r="AW29" i="118"/>
  <c r="AX29" i="118"/>
  <c r="AY29" i="118"/>
  <c r="BB29" i="118"/>
  <c r="BC29" i="118"/>
  <c r="BD29" i="118"/>
  <c r="BE29" i="118"/>
  <c r="BH29" i="118"/>
  <c r="BI29" i="118"/>
  <c r="B30" i="118"/>
  <c r="C30" i="118"/>
  <c r="F30" i="118"/>
  <c r="H30" i="118"/>
  <c r="J30" i="118"/>
  <c r="L30" i="118"/>
  <c r="N30" i="118"/>
  <c r="P30" i="118"/>
  <c r="Q30" i="118"/>
  <c r="R30" i="118"/>
  <c r="S30" i="118"/>
  <c r="U30" i="118"/>
  <c r="W30" i="118"/>
  <c r="Y30" i="118"/>
  <c r="AC30" i="118"/>
  <c r="AD30" i="118"/>
  <c r="AF30" i="118"/>
  <c r="AH30" i="118"/>
  <c r="AI30" i="118"/>
  <c r="AJ30" i="118"/>
  <c r="AK30" i="118"/>
  <c r="AW30" i="118"/>
  <c r="AX30" i="118"/>
  <c r="AY30" i="118"/>
  <c r="BB30" i="118"/>
  <c r="BC30" i="118"/>
  <c r="BD30" i="118"/>
  <c r="BE30" i="118"/>
  <c r="BH30" i="118"/>
  <c r="BI30" i="118"/>
  <c r="B31" i="118"/>
  <c r="C31" i="118"/>
  <c r="F31" i="118"/>
  <c r="H31" i="118"/>
  <c r="J31" i="118"/>
  <c r="L31" i="118"/>
  <c r="N31" i="118"/>
  <c r="P31" i="118"/>
  <c r="Q31" i="118"/>
  <c r="R31" i="118"/>
  <c r="S31" i="118"/>
  <c r="U31" i="118"/>
  <c r="W31" i="118"/>
  <c r="Y31" i="118"/>
  <c r="AC31" i="118"/>
  <c r="AD31" i="118"/>
  <c r="AF31" i="118"/>
  <c r="AH31" i="118"/>
  <c r="AI31" i="118"/>
  <c r="AJ31" i="118"/>
  <c r="AK31" i="118"/>
  <c r="AW31" i="118"/>
  <c r="AX31" i="118"/>
  <c r="AY31" i="118"/>
  <c r="BB31" i="118"/>
  <c r="BC31" i="118"/>
  <c r="BD31" i="118"/>
  <c r="BE31" i="118"/>
  <c r="BH31" i="118"/>
  <c r="BI31" i="118"/>
  <c r="B32" i="118"/>
  <c r="C32" i="118"/>
  <c r="F32" i="118"/>
  <c r="H32" i="118"/>
  <c r="J32" i="118"/>
  <c r="L32" i="118"/>
  <c r="N32" i="118"/>
  <c r="P32" i="118"/>
  <c r="Q32" i="118"/>
  <c r="R32" i="118"/>
  <c r="S32" i="118"/>
  <c r="U32" i="118"/>
  <c r="W32" i="118"/>
  <c r="Y32" i="118"/>
  <c r="AC32" i="118"/>
  <c r="AD32" i="118"/>
  <c r="AF32" i="118"/>
  <c r="AH32" i="118"/>
  <c r="AI32" i="118"/>
  <c r="AJ32" i="118"/>
  <c r="AK32" i="118"/>
  <c r="AW32" i="118"/>
  <c r="AX32" i="118"/>
  <c r="AY32" i="118"/>
  <c r="BB32" i="118"/>
  <c r="BC32" i="118"/>
  <c r="BD32" i="118"/>
  <c r="BE32" i="118"/>
  <c r="BH32" i="118"/>
  <c r="BI32" i="118"/>
  <c r="B33" i="118"/>
  <c r="C33" i="118"/>
  <c r="F33" i="118"/>
  <c r="H33" i="118"/>
  <c r="J33" i="118"/>
  <c r="L33" i="118"/>
  <c r="N33" i="118"/>
  <c r="P33" i="118"/>
  <c r="Q33" i="118"/>
  <c r="R33" i="118"/>
  <c r="S33" i="118"/>
  <c r="U33" i="118"/>
  <c r="W33" i="118"/>
  <c r="Y33" i="118"/>
  <c r="AC33" i="118"/>
  <c r="AD33" i="118"/>
  <c r="AF33" i="118"/>
  <c r="AH33" i="118"/>
  <c r="AI33" i="118"/>
  <c r="AJ33" i="118"/>
  <c r="AK33" i="118"/>
  <c r="AW33" i="118"/>
  <c r="AX33" i="118"/>
  <c r="AY33" i="118"/>
  <c r="BB33" i="118"/>
  <c r="BC33" i="118"/>
  <c r="BD33" i="118"/>
  <c r="BE33" i="118"/>
  <c r="BH33" i="118"/>
  <c r="BI33" i="118"/>
  <c r="B34" i="118"/>
  <c r="C34" i="118"/>
  <c r="F34" i="118"/>
  <c r="H34" i="118"/>
  <c r="J34" i="118"/>
  <c r="L34" i="118"/>
  <c r="N34" i="118"/>
  <c r="P34" i="118"/>
  <c r="Q34" i="118"/>
  <c r="R34" i="118"/>
  <c r="S34" i="118"/>
  <c r="U34" i="118"/>
  <c r="W34" i="118"/>
  <c r="Y34" i="118"/>
  <c r="AC34" i="118"/>
  <c r="AD34" i="118"/>
  <c r="AF34" i="118"/>
  <c r="AH34" i="118"/>
  <c r="AI34" i="118"/>
  <c r="AJ34" i="118"/>
  <c r="AK34" i="118"/>
  <c r="AW34" i="118"/>
  <c r="AX34" i="118"/>
  <c r="AY34" i="118"/>
  <c r="BB34" i="118"/>
  <c r="BC34" i="118"/>
  <c r="BD34" i="118"/>
  <c r="BE34" i="118"/>
  <c r="BH34" i="118"/>
  <c r="BI34" i="118"/>
  <c r="B35" i="118"/>
  <c r="C35" i="118"/>
  <c r="F35" i="118"/>
  <c r="H35" i="118"/>
  <c r="J35" i="118"/>
  <c r="L35" i="118"/>
  <c r="N35" i="118"/>
  <c r="P35" i="118"/>
  <c r="Q35" i="118"/>
  <c r="R35" i="118"/>
  <c r="S35" i="118"/>
  <c r="U35" i="118"/>
  <c r="W35" i="118"/>
  <c r="Y35" i="118"/>
  <c r="AC35" i="118"/>
  <c r="AD35" i="118"/>
  <c r="AF35" i="118"/>
  <c r="AH35" i="118"/>
  <c r="AI35" i="118"/>
  <c r="AJ35" i="118"/>
  <c r="AK35" i="118"/>
  <c r="AW35" i="118"/>
  <c r="AX35" i="118"/>
  <c r="AY35" i="118"/>
  <c r="BB35" i="118"/>
  <c r="BC35" i="118"/>
  <c r="BD35" i="118"/>
  <c r="BE35" i="118"/>
  <c r="BH35" i="118"/>
  <c r="BI35" i="118"/>
  <c r="B36" i="118"/>
  <c r="C36" i="118"/>
  <c r="F36" i="118"/>
  <c r="H36" i="118"/>
  <c r="J36" i="118"/>
  <c r="L36" i="118"/>
  <c r="N36" i="118"/>
  <c r="P36" i="118"/>
  <c r="Q36" i="118"/>
  <c r="R36" i="118"/>
  <c r="S36" i="118"/>
  <c r="U36" i="118"/>
  <c r="W36" i="118"/>
  <c r="Y36" i="118"/>
  <c r="AC36" i="118"/>
  <c r="AD36" i="118"/>
  <c r="AF36" i="118"/>
  <c r="AH36" i="118"/>
  <c r="AI36" i="118"/>
  <c r="AJ36" i="118"/>
  <c r="AK36" i="118"/>
  <c r="AW36" i="118"/>
  <c r="AX36" i="118"/>
  <c r="AY36" i="118"/>
  <c r="BB36" i="118"/>
  <c r="BC36" i="118"/>
  <c r="BD36" i="118"/>
  <c r="BE36" i="118"/>
  <c r="BH36" i="118"/>
  <c r="BI36" i="118"/>
  <c r="B37" i="118"/>
  <c r="C37" i="118"/>
  <c r="F37" i="118"/>
  <c r="H37" i="118"/>
  <c r="J37" i="118"/>
  <c r="L37" i="118"/>
  <c r="N37" i="118"/>
  <c r="P37" i="118"/>
  <c r="Q37" i="118"/>
  <c r="R37" i="118"/>
  <c r="S37" i="118"/>
  <c r="U37" i="118"/>
  <c r="W37" i="118"/>
  <c r="Y37" i="118"/>
  <c r="AC37" i="118"/>
  <c r="AD37" i="118"/>
  <c r="AF37" i="118"/>
  <c r="AH37" i="118"/>
  <c r="AI37" i="118"/>
  <c r="AJ37" i="118"/>
  <c r="AK37" i="118"/>
  <c r="AW37" i="118"/>
  <c r="AX37" i="118"/>
  <c r="AY37" i="118"/>
  <c r="BB37" i="118"/>
  <c r="BC37" i="118"/>
  <c r="BD37" i="118"/>
  <c r="BE37" i="118"/>
  <c r="BH37" i="118"/>
  <c r="BI37" i="118"/>
  <c r="B38" i="118"/>
  <c r="C38" i="118"/>
  <c r="F38" i="118"/>
  <c r="H38" i="118"/>
  <c r="J38" i="118"/>
  <c r="L38" i="118"/>
  <c r="N38" i="118"/>
  <c r="P38" i="118"/>
  <c r="Q38" i="118"/>
  <c r="R38" i="118"/>
  <c r="S38" i="118"/>
  <c r="U38" i="118"/>
  <c r="W38" i="118"/>
  <c r="Y38" i="118"/>
  <c r="AC38" i="118"/>
  <c r="AD38" i="118"/>
  <c r="AF38" i="118"/>
  <c r="AH38" i="118"/>
  <c r="AI38" i="118"/>
  <c r="AJ38" i="118"/>
  <c r="AK38" i="118"/>
  <c r="AW38" i="118"/>
  <c r="AX38" i="118"/>
  <c r="AY38" i="118"/>
  <c r="BB38" i="118"/>
  <c r="BC38" i="118"/>
  <c r="BD38" i="118"/>
  <c r="BE38" i="118"/>
  <c r="BH38" i="118"/>
  <c r="BI38" i="118"/>
  <c r="B39" i="118"/>
  <c r="C39" i="118"/>
  <c r="F39" i="118"/>
  <c r="H39" i="118"/>
  <c r="J39" i="118"/>
  <c r="L39" i="118"/>
  <c r="N39" i="118"/>
  <c r="P39" i="118"/>
  <c r="Q39" i="118"/>
  <c r="R39" i="118"/>
  <c r="S39" i="118"/>
  <c r="U39" i="118"/>
  <c r="W39" i="118"/>
  <c r="Y39" i="118"/>
  <c r="AC39" i="118"/>
  <c r="AD39" i="118"/>
  <c r="AF39" i="118"/>
  <c r="AH39" i="118"/>
  <c r="AI39" i="118"/>
  <c r="AJ39" i="118"/>
  <c r="AK39" i="118"/>
  <c r="AW39" i="118"/>
  <c r="AX39" i="118"/>
  <c r="AY39" i="118"/>
  <c r="BB39" i="118"/>
  <c r="BC39" i="118"/>
  <c r="BD39" i="118"/>
  <c r="BE39" i="118"/>
  <c r="BH39" i="118"/>
  <c r="BI39" i="118"/>
  <c r="B40" i="118"/>
  <c r="C40" i="118"/>
  <c r="F40" i="118"/>
  <c r="H40" i="118"/>
  <c r="J40" i="118"/>
  <c r="L40" i="118"/>
  <c r="N40" i="118"/>
  <c r="P40" i="118"/>
  <c r="Q40" i="118"/>
  <c r="R40" i="118"/>
  <c r="S40" i="118"/>
  <c r="U40" i="118"/>
  <c r="W40" i="118"/>
  <c r="Y40" i="118"/>
  <c r="AC40" i="118"/>
  <c r="AD40" i="118"/>
  <c r="AF40" i="118"/>
  <c r="AH40" i="118"/>
  <c r="AI40" i="118"/>
  <c r="AJ40" i="118"/>
  <c r="AK40" i="118"/>
  <c r="AW40" i="118"/>
  <c r="AX40" i="118"/>
  <c r="AY40" i="118"/>
  <c r="BB40" i="118"/>
  <c r="BC40" i="118"/>
  <c r="BD40" i="118"/>
  <c r="BE40" i="118"/>
  <c r="BH40" i="118"/>
  <c r="BI40" i="118"/>
  <c r="B41" i="118"/>
  <c r="C41" i="118"/>
  <c r="F41" i="118"/>
  <c r="H41" i="118"/>
  <c r="J41" i="118"/>
  <c r="L41" i="118"/>
  <c r="N41" i="118"/>
  <c r="P41" i="118"/>
  <c r="Q41" i="118"/>
  <c r="R41" i="118"/>
  <c r="S41" i="118"/>
  <c r="U41" i="118"/>
  <c r="W41" i="118"/>
  <c r="Y41" i="118"/>
  <c r="AC41" i="118"/>
  <c r="AD41" i="118"/>
  <c r="AF41" i="118"/>
  <c r="AH41" i="118"/>
  <c r="AI41" i="118"/>
  <c r="AJ41" i="118"/>
  <c r="AK41" i="118"/>
  <c r="AW41" i="118"/>
  <c r="AX41" i="118"/>
  <c r="AY41" i="118"/>
  <c r="BB41" i="118"/>
  <c r="BC41" i="118"/>
  <c r="BD41" i="118"/>
  <c r="BE41" i="118"/>
  <c r="BH41" i="118"/>
  <c r="BI41" i="118"/>
  <c r="B42" i="118"/>
  <c r="C42" i="118"/>
  <c r="F42" i="118"/>
  <c r="H42" i="118"/>
  <c r="J42" i="118"/>
  <c r="L42" i="118"/>
  <c r="N42" i="118"/>
  <c r="P42" i="118"/>
  <c r="Q42" i="118"/>
  <c r="R42" i="118"/>
  <c r="S42" i="118"/>
  <c r="U42" i="118"/>
  <c r="W42" i="118"/>
  <c r="Y42" i="118"/>
  <c r="AC42" i="118"/>
  <c r="AD42" i="118"/>
  <c r="AF42" i="118"/>
  <c r="AH42" i="118"/>
  <c r="AI42" i="118"/>
  <c r="AJ42" i="118"/>
  <c r="AK42" i="118"/>
  <c r="AW42" i="118"/>
  <c r="AX42" i="118"/>
  <c r="AY42" i="118"/>
  <c r="BB42" i="118"/>
  <c r="BC42" i="118"/>
  <c r="BD42" i="118"/>
  <c r="BE42" i="118"/>
  <c r="BH42" i="118"/>
  <c r="BI42" i="118"/>
  <c r="B43" i="118"/>
  <c r="C43" i="118"/>
  <c r="F43" i="118"/>
  <c r="H43" i="118"/>
  <c r="J43" i="118"/>
  <c r="L43" i="118"/>
  <c r="N43" i="118"/>
  <c r="P43" i="118"/>
  <c r="Q43" i="118"/>
  <c r="R43" i="118"/>
  <c r="S43" i="118"/>
  <c r="U43" i="118"/>
  <c r="W43" i="118"/>
  <c r="Y43" i="118"/>
  <c r="AC43" i="118"/>
  <c r="AD43" i="118"/>
  <c r="AF43" i="118"/>
  <c r="AH43" i="118"/>
  <c r="AI43" i="118"/>
  <c r="AJ43" i="118"/>
  <c r="AK43" i="118"/>
  <c r="AW43" i="118"/>
  <c r="AX43" i="118"/>
  <c r="AY43" i="118"/>
  <c r="BB43" i="118"/>
  <c r="BC43" i="118"/>
  <c r="BD43" i="118"/>
  <c r="BE43" i="118"/>
  <c r="BH43" i="118"/>
  <c r="BI43" i="118"/>
  <c r="B44" i="118"/>
  <c r="C44" i="118"/>
  <c r="F44" i="118"/>
  <c r="H44" i="118"/>
  <c r="J44" i="118"/>
  <c r="L44" i="118"/>
  <c r="N44" i="118"/>
  <c r="P44" i="118"/>
  <c r="Q44" i="118"/>
  <c r="R44" i="118"/>
  <c r="S44" i="118"/>
  <c r="U44" i="118"/>
  <c r="W44" i="118"/>
  <c r="Y44" i="118"/>
  <c r="AC44" i="118"/>
  <c r="AD44" i="118"/>
  <c r="AF44" i="118"/>
  <c r="AH44" i="118"/>
  <c r="AI44" i="118"/>
  <c r="AJ44" i="118"/>
  <c r="AK44" i="118"/>
  <c r="AW44" i="118"/>
  <c r="AX44" i="118"/>
  <c r="AY44" i="118"/>
  <c r="BB44" i="118"/>
  <c r="BC44" i="118"/>
  <c r="BD44" i="118"/>
  <c r="BE44" i="118"/>
  <c r="BH44" i="118"/>
  <c r="BI44" i="118"/>
  <c r="B45" i="118"/>
  <c r="C45" i="118"/>
  <c r="F45" i="118"/>
  <c r="H45" i="118"/>
  <c r="J45" i="118"/>
  <c r="L45" i="118"/>
  <c r="N45" i="118"/>
  <c r="P45" i="118"/>
  <c r="Q45" i="118"/>
  <c r="R45" i="118"/>
  <c r="S45" i="118"/>
  <c r="U45" i="118"/>
  <c r="W45" i="118"/>
  <c r="Y45" i="118"/>
  <c r="AC45" i="118"/>
  <c r="AD45" i="118"/>
  <c r="AF45" i="118"/>
  <c r="AH45" i="118"/>
  <c r="AI45" i="118"/>
  <c r="AJ45" i="118"/>
  <c r="AK45" i="118"/>
  <c r="AW45" i="118"/>
  <c r="AX45" i="118"/>
  <c r="AY45" i="118"/>
  <c r="BB45" i="118"/>
  <c r="BC45" i="118"/>
  <c r="BD45" i="118"/>
  <c r="BE45" i="118"/>
  <c r="BH45" i="118"/>
  <c r="BI45" i="118"/>
  <c r="B46" i="118"/>
  <c r="C46" i="118"/>
  <c r="F46" i="118"/>
  <c r="H46" i="118"/>
  <c r="J46" i="118"/>
  <c r="L46" i="118"/>
  <c r="N46" i="118"/>
  <c r="P46" i="118"/>
  <c r="Q46" i="118"/>
  <c r="R46" i="118"/>
  <c r="S46" i="118"/>
  <c r="U46" i="118"/>
  <c r="W46" i="118"/>
  <c r="Y46" i="118"/>
  <c r="AC46" i="118"/>
  <c r="AD46" i="118"/>
  <c r="AF46" i="118"/>
  <c r="AH46" i="118"/>
  <c r="AI46" i="118"/>
  <c r="AJ46" i="118"/>
  <c r="AK46" i="118"/>
  <c r="AW46" i="118"/>
  <c r="AX46" i="118"/>
  <c r="AY46" i="118"/>
  <c r="BB46" i="118"/>
  <c r="BC46" i="118"/>
  <c r="BD46" i="118"/>
  <c r="BE46" i="118"/>
  <c r="BH46" i="118"/>
  <c r="BI46" i="118"/>
  <c r="B47" i="118"/>
  <c r="C47" i="118"/>
  <c r="F47" i="118"/>
  <c r="H47" i="118"/>
  <c r="J47" i="118"/>
  <c r="L47" i="118"/>
  <c r="N47" i="118"/>
  <c r="P47" i="118"/>
  <c r="Q47" i="118"/>
  <c r="R47" i="118"/>
  <c r="S47" i="118"/>
  <c r="U47" i="118"/>
  <c r="W47" i="118"/>
  <c r="Y47" i="118"/>
  <c r="AC47" i="118"/>
  <c r="AD47" i="118"/>
  <c r="AF47" i="118"/>
  <c r="AH47" i="118"/>
  <c r="AI47" i="118"/>
  <c r="AJ47" i="118"/>
  <c r="AK47" i="118"/>
  <c r="AW47" i="118"/>
  <c r="AX47" i="118"/>
  <c r="AY47" i="118"/>
  <c r="BB47" i="118"/>
  <c r="BC47" i="118"/>
  <c r="BD47" i="118"/>
  <c r="BE47" i="118"/>
  <c r="BH47" i="118"/>
  <c r="BI47" i="118"/>
  <c r="B48" i="118"/>
  <c r="C48" i="118"/>
  <c r="F48" i="118"/>
  <c r="H48" i="118"/>
  <c r="J48" i="118"/>
  <c r="L48" i="118"/>
  <c r="N48" i="118"/>
  <c r="P48" i="118"/>
  <c r="Q48" i="118"/>
  <c r="R48" i="118"/>
  <c r="S48" i="118"/>
  <c r="U48" i="118"/>
  <c r="W48" i="118"/>
  <c r="Y48" i="118"/>
  <c r="AC48" i="118"/>
  <c r="AD48" i="118"/>
  <c r="AF48" i="118"/>
  <c r="AH48" i="118"/>
  <c r="AI48" i="118"/>
  <c r="AJ48" i="118"/>
  <c r="AK48" i="118"/>
  <c r="AW48" i="118"/>
  <c r="AX48" i="118"/>
  <c r="AY48" i="118"/>
  <c r="BB48" i="118"/>
  <c r="BC48" i="118"/>
  <c r="BD48" i="118"/>
  <c r="BE48" i="118"/>
  <c r="BH48" i="118"/>
  <c r="BI48" i="118"/>
  <c r="B49" i="118"/>
  <c r="C49" i="118"/>
  <c r="F49" i="118"/>
  <c r="H49" i="118"/>
  <c r="J49" i="118"/>
  <c r="L49" i="118"/>
  <c r="N49" i="118"/>
  <c r="P49" i="118"/>
  <c r="Q49" i="118"/>
  <c r="R49" i="118"/>
  <c r="S49" i="118"/>
  <c r="U49" i="118"/>
  <c r="W49" i="118"/>
  <c r="Y49" i="118"/>
  <c r="AC49" i="118"/>
  <c r="AD49" i="118"/>
  <c r="AF49" i="118"/>
  <c r="AH49" i="118"/>
  <c r="AI49" i="118"/>
  <c r="AJ49" i="118"/>
  <c r="AK49" i="118"/>
  <c r="AW49" i="118"/>
  <c r="AX49" i="118"/>
  <c r="AY49" i="118"/>
  <c r="BB49" i="118"/>
  <c r="BC49" i="118"/>
  <c r="BD49" i="118"/>
  <c r="BE49" i="118"/>
  <c r="BH49" i="118"/>
  <c r="BI49" i="118"/>
  <c r="B50" i="118"/>
  <c r="C50" i="118"/>
  <c r="F50" i="118"/>
  <c r="H50" i="118"/>
  <c r="J50" i="118"/>
  <c r="L50" i="118"/>
  <c r="N50" i="118"/>
  <c r="P50" i="118"/>
  <c r="Q50" i="118"/>
  <c r="R50" i="118"/>
  <c r="S50" i="118"/>
  <c r="U50" i="118"/>
  <c r="W50" i="118"/>
  <c r="Y50" i="118"/>
  <c r="AC50" i="118"/>
  <c r="AD50" i="118"/>
  <c r="AF50" i="118"/>
  <c r="AH50" i="118"/>
  <c r="AI50" i="118"/>
  <c r="AJ50" i="118"/>
  <c r="AK50" i="118"/>
  <c r="AW50" i="118"/>
  <c r="AX50" i="118"/>
  <c r="AY50" i="118"/>
  <c r="BB50" i="118"/>
  <c r="BC50" i="118"/>
  <c r="BD50" i="118"/>
  <c r="BE50" i="118"/>
  <c r="BH50" i="118"/>
  <c r="BI50" i="118"/>
  <c r="C51" i="118"/>
  <c r="D51" i="118"/>
  <c r="E51" i="118"/>
  <c r="F51" i="118"/>
  <c r="G51" i="118"/>
  <c r="H51" i="118"/>
  <c r="I51" i="118"/>
  <c r="J51" i="118"/>
  <c r="K51" i="118"/>
  <c r="L51" i="118"/>
  <c r="M51" i="118"/>
  <c r="N51" i="118"/>
  <c r="O51" i="118"/>
  <c r="P51" i="118"/>
  <c r="Q51" i="118"/>
  <c r="R51" i="118"/>
  <c r="S51" i="118"/>
  <c r="T51" i="118"/>
  <c r="U51" i="118"/>
  <c r="V51" i="118"/>
  <c r="W51" i="118"/>
  <c r="X51" i="118"/>
  <c r="Y51" i="118"/>
  <c r="AD51" i="118"/>
  <c r="AE51" i="118"/>
  <c r="AF51" i="118"/>
  <c r="AG51" i="118"/>
  <c r="AH51" i="118"/>
  <c r="AI51" i="118"/>
  <c r="AJ51" i="118"/>
  <c r="AK51" i="118"/>
  <c r="AX51" i="118"/>
  <c r="AY51" i="118"/>
  <c r="AZ51" i="118"/>
  <c r="BA51" i="118"/>
  <c r="BB51" i="118"/>
  <c r="BC51" i="118"/>
  <c r="BD51" i="118"/>
  <c r="BE51" i="118"/>
  <c r="BF51" i="118"/>
  <c r="BG51" i="118"/>
  <c r="BH51" i="118"/>
  <c r="BI51" i="118"/>
  <c r="AN10" i="117"/>
  <c r="AO10" i="117"/>
  <c r="AQ10" i="117"/>
  <c r="AS10" i="117"/>
  <c r="AT10" i="117"/>
  <c r="B11" i="117"/>
  <c r="C11" i="117"/>
  <c r="F11" i="117"/>
  <c r="H11" i="117"/>
  <c r="J11" i="117"/>
  <c r="L11" i="117"/>
  <c r="N11" i="117"/>
  <c r="P11" i="117"/>
  <c r="Q11" i="117"/>
  <c r="R11" i="117"/>
  <c r="S11" i="117"/>
  <c r="U11" i="117"/>
  <c r="W11" i="117"/>
  <c r="Y11" i="117"/>
  <c r="AC11" i="117"/>
  <c r="AD11" i="117"/>
  <c r="AF11" i="117"/>
  <c r="AH11" i="117"/>
  <c r="AI11" i="117"/>
  <c r="AJ11" i="117"/>
  <c r="AK11" i="117"/>
  <c r="AN11" i="117"/>
  <c r="AO11" i="117"/>
  <c r="AQ11" i="117"/>
  <c r="AS11" i="117"/>
  <c r="AT11" i="117"/>
  <c r="AW11" i="117"/>
  <c r="AX11" i="117"/>
  <c r="AY11" i="117"/>
  <c r="BB11" i="117"/>
  <c r="BC11" i="117"/>
  <c r="BD11" i="117"/>
  <c r="BE11" i="117"/>
  <c r="BH11" i="117"/>
  <c r="BI11" i="117"/>
  <c r="B12" i="117"/>
  <c r="C12" i="117"/>
  <c r="F12" i="117"/>
  <c r="H12" i="117"/>
  <c r="J12" i="117"/>
  <c r="L12" i="117"/>
  <c r="N12" i="117"/>
  <c r="P12" i="117"/>
  <c r="Q12" i="117"/>
  <c r="R12" i="117"/>
  <c r="S12" i="117"/>
  <c r="U12" i="117"/>
  <c r="W12" i="117"/>
  <c r="Y12" i="117"/>
  <c r="AC12" i="117"/>
  <c r="AD12" i="117"/>
  <c r="AF12" i="117"/>
  <c r="AH12" i="117"/>
  <c r="AI12" i="117"/>
  <c r="AJ12" i="117"/>
  <c r="AK12" i="117"/>
  <c r="AN12" i="117"/>
  <c r="AO12" i="117"/>
  <c r="AQ12" i="117"/>
  <c r="AS12" i="117"/>
  <c r="AT12" i="117"/>
  <c r="AW12" i="117"/>
  <c r="AX12" i="117"/>
  <c r="AY12" i="117"/>
  <c r="BB12" i="117"/>
  <c r="BC12" i="117"/>
  <c r="BD12" i="117"/>
  <c r="BE12" i="117"/>
  <c r="BH12" i="117"/>
  <c r="BI12" i="117"/>
  <c r="B13" i="117"/>
  <c r="C13" i="117"/>
  <c r="F13" i="117"/>
  <c r="H13" i="117"/>
  <c r="J13" i="117"/>
  <c r="L13" i="117"/>
  <c r="N13" i="117"/>
  <c r="P13" i="117"/>
  <c r="Q13" i="117"/>
  <c r="R13" i="117"/>
  <c r="S13" i="117"/>
  <c r="U13" i="117"/>
  <c r="W13" i="117"/>
  <c r="Y13" i="117"/>
  <c r="AC13" i="117"/>
  <c r="AD13" i="117"/>
  <c r="AF13" i="117"/>
  <c r="AH13" i="117"/>
  <c r="AI13" i="117"/>
  <c r="AJ13" i="117"/>
  <c r="AK13" i="117"/>
  <c r="AO13" i="117"/>
  <c r="AP13" i="117"/>
  <c r="AQ13" i="117"/>
  <c r="AR13" i="117"/>
  <c r="AS13" i="117"/>
  <c r="AT13" i="117"/>
  <c r="AW13" i="117"/>
  <c r="AX13" i="117"/>
  <c r="AY13" i="117"/>
  <c r="BB13" i="117"/>
  <c r="BC13" i="117"/>
  <c r="BD13" i="117"/>
  <c r="BE13" i="117"/>
  <c r="BH13" i="117"/>
  <c r="BI13" i="117"/>
  <c r="B14" i="117"/>
  <c r="C14" i="117"/>
  <c r="F14" i="117"/>
  <c r="H14" i="117"/>
  <c r="J14" i="117"/>
  <c r="L14" i="117"/>
  <c r="N14" i="117"/>
  <c r="P14" i="117"/>
  <c r="Q14" i="117"/>
  <c r="R14" i="117"/>
  <c r="S14" i="117"/>
  <c r="U14" i="117"/>
  <c r="W14" i="117"/>
  <c r="Y14" i="117"/>
  <c r="AC14" i="117"/>
  <c r="AD14" i="117"/>
  <c r="AF14" i="117"/>
  <c r="AH14" i="117"/>
  <c r="AI14" i="117"/>
  <c r="AJ14" i="117"/>
  <c r="AK14" i="117"/>
  <c r="AT14" i="117"/>
  <c r="AW14" i="117"/>
  <c r="AX14" i="117"/>
  <c r="AY14" i="117"/>
  <c r="BB14" i="117"/>
  <c r="BC14" i="117"/>
  <c r="BD14" i="117"/>
  <c r="BE14" i="117"/>
  <c r="BH14" i="117"/>
  <c r="BI14" i="117"/>
  <c r="B15" i="117"/>
  <c r="C15" i="117"/>
  <c r="F15" i="117"/>
  <c r="H15" i="117"/>
  <c r="J15" i="117"/>
  <c r="L15" i="117"/>
  <c r="N15" i="117"/>
  <c r="P15" i="117"/>
  <c r="Q15" i="117"/>
  <c r="R15" i="117"/>
  <c r="S15" i="117"/>
  <c r="U15" i="117"/>
  <c r="W15" i="117"/>
  <c r="Y15" i="117"/>
  <c r="AC15" i="117"/>
  <c r="AD15" i="117"/>
  <c r="AF15" i="117"/>
  <c r="AH15" i="117"/>
  <c r="AI15" i="117"/>
  <c r="AJ15" i="117"/>
  <c r="AK15" i="117"/>
  <c r="AW15" i="117"/>
  <c r="AX15" i="117"/>
  <c r="AY15" i="117"/>
  <c r="BB15" i="117"/>
  <c r="BC15" i="117"/>
  <c r="BD15" i="117"/>
  <c r="BE15" i="117"/>
  <c r="BH15" i="117"/>
  <c r="BI15" i="117"/>
  <c r="B16" i="117"/>
  <c r="C16" i="117"/>
  <c r="F16" i="117"/>
  <c r="H16" i="117"/>
  <c r="J16" i="117"/>
  <c r="L16" i="117"/>
  <c r="N16" i="117"/>
  <c r="P16" i="117"/>
  <c r="Q16" i="117"/>
  <c r="R16" i="117"/>
  <c r="S16" i="117"/>
  <c r="U16" i="117"/>
  <c r="W16" i="117"/>
  <c r="Y16" i="117"/>
  <c r="AC16" i="117"/>
  <c r="AD16" i="117"/>
  <c r="AF16" i="117"/>
  <c r="AH16" i="117"/>
  <c r="AI16" i="117"/>
  <c r="AJ16" i="117"/>
  <c r="AK16" i="117"/>
  <c r="AW16" i="117"/>
  <c r="AX16" i="117"/>
  <c r="AY16" i="117"/>
  <c r="BB16" i="117"/>
  <c r="BC16" i="117"/>
  <c r="BD16" i="117"/>
  <c r="BE16" i="117"/>
  <c r="BH16" i="117"/>
  <c r="BI16" i="117"/>
  <c r="B17" i="117"/>
  <c r="C17" i="117"/>
  <c r="F17" i="117"/>
  <c r="H17" i="117"/>
  <c r="J17" i="117"/>
  <c r="L17" i="117"/>
  <c r="N17" i="117"/>
  <c r="P17" i="117"/>
  <c r="Q17" i="117"/>
  <c r="R17" i="117"/>
  <c r="S17" i="117"/>
  <c r="U17" i="117"/>
  <c r="W17" i="117"/>
  <c r="Y17" i="117"/>
  <c r="AC17" i="117"/>
  <c r="AD17" i="117"/>
  <c r="AF17" i="117"/>
  <c r="AH17" i="117"/>
  <c r="AI17" i="117"/>
  <c r="AJ17" i="117"/>
  <c r="AK17" i="117"/>
  <c r="AW17" i="117"/>
  <c r="AX17" i="117"/>
  <c r="AY17" i="117"/>
  <c r="BB17" i="117"/>
  <c r="BC17" i="117"/>
  <c r="BD17" i="117"/>
  <c r="BE17" i="117"/>
  <c r="BH17" i="117"/>
  <c r="BI17" i="117"/>
  <c r="B18" i="117"/>
  <c r="C18" i="117"/>
  <c r="F18" i="117"/>
  <c r="H18" i="117"/>
  <c r="J18" i="117"/>
  <c r="L18" i="117"/>
  <c r="N18" i="117"/>
  <c r="P18" i="117"/>
  <c r="Q18" i="117"/>
  <c r="R18" i="117"/>
  <c r="S18" i="117"/>
  <c r="U18" i="117"/>
  <c r="W18" i="117"/>
  <c r="Y18" i="117"/>
  <c r="AC18" i="117"/>
  <c r="AD18" i="117"/>
  <c r="AF18" i="117"/>
  <c r="AH18" i="117"/>
  <c r="AI18" i="117"/>
  <c r="AJ18" i="117"/>
  <c r="AK18" i="117"/>
  <c r="AW18" i="117"/>
  <c r="AX18" i="117"/>
  <c r="AY18" i="117"/>
  <c r="BB18" i="117"/>
  <c r="BC18" i="117"/>
  <c r="BD18" i="117"/>
  <c r="BE18" i="117"/>
  <c r="BH18" i="117"/>
  <c r="BI18" i="117"/>
  <c r="B19" i="117"/>
  <c r="C19" i="117"/>
  <c r="F19" i="117"/>
  <c r="H19" i="117"/>
  <c r="J19" i="117"/>
  <c r="L19" i="117"/>
  <c r="N19" i="117"/>
  <c r="P19" i="117"/>
  <c r="Q19" i="117"/>
  <c r="R19" i="117"/>
  <c r="S19" i="117"/>
  <c r="U19" i="117"/>
  <c r="W19" i="117"/>
  <c r="Y19" i="117"/>
  <c r="AC19" i="117"/>
  <c r="AD19" i="117"/>
  <c r="AF19" i="117"/>
  <c r="AH19" i="117"/>
  <c r="AI19" i="117"/>
  <c r="AJ19" i="117"/>
  <c r="AK19" i="117"/>
  <c r="AW19" i="117"/>
  <c r="AX19" i="117"/>
  <c r="AY19" i="117"/>
  <c r="BB19" i="117"/>
  <c r="BC19" i="117"/>
  <c r="BD19" i="117"/>
  <c r="BE19" i="117"/>
  <c r="BH19" i="117"/>
  <c r="BI19" i="117"/>
  <c r="B20" i="117"/>
  <c r="C20" i="117"/>
  <c r="F20" i="117"/>
  <c r="H20" i="117"/>
  <c r="J20" i="117"/>
  <c r="L20" i="117"/>
  <c r="N20" i="117"/>
  <c r="P20" i="117"/>
  <c r="Q20" i="117"/>
  <c r="R20" i="117"/>
  <c r="S20" i="117"/>
  <c r="U20" i="117"/>
  <c r="W20" i="117"/>
  <c r="Y20" i="117"/>
  <c r="AC20" i="117"/>
  <c r="AD20" i="117"/>
  <c r="AF20" i="117"/>
  <c r="AH20" i="117"/>
  <c r="AI20" i="117"/>
  <c r="AJ20" i="117"/>
  <c r="AK20" i="117"/>
  <c r="AW20" i="117"/>
  <c r="AX20" i="117"/>
  <c r="AY20" i="117"/>
  <c r="BB20" i="117"/>
  <c r="BC20" i="117"/>
  <c r="BD20" i="117"/>
  <c r="BE20" i="117"/>
  <c r="BH20" i="117"/>
  <c r="BI20" i="117"/>
  <c r="B21" i="117"/>
  <c r="C21" i="117"/>
  <c r="F21" i="117"/>
  <c r="H21" i="117"/>
  <c r="J21" i="117"/>
  <c r="L21" i="117"/>
  <c r="N21" i="117"/>
  <c r="P21" i="117"/>
  <c r="Q21" i="117"/>
  <c r="R21" i="117"/>
  <c r="S21" i="117"/>
  <c r="U21" i="117"/>
  <c r="W21" i="117"/>
  <c r="Y21" i="117"/>
  <c r="AC21" i="117"/>
  <c r="AD21" i="117"/>
  <c r="AF21" i="117"/>
  <c r="AH21" i="117"/>
  <c r="AI21" i="117"/>
  <c r="AJ21" i="117"/>
  <c r="AK21" i="117"/>
  <c r="AW21" i="117"/>
  <c r="AX21" i="117"/>
  <c r="AY21" i="117"/>
  <c r="BB21" i="117"/>
  <c r="BC21" i="117"/>
  <c r="BD21" i="117"/>
  <c r="BE21" i="117"/>
  <c r="BH21" i="117"/>
  <c r="BI21" i="117"/>
  <c r="B22" i="117"/>
  <c r="C22" i="117"/>
  <c r="F22" i="117"/>
  <c r="H22" i="117"/>
  <c r="J22" i="117"/>
  <c r="L22" i="117"/>
  <c r="N22" i="117"/>
  <c r="P22" i="117"/>
  <c r="Q22" i="117"/>
  <c r="R22" i="117"/>
  <c r="S22" i="117"/>
  <c r="U22" i="117"/>
  <c r="W22" i="117"/>
  <c r="Y22" i="117"/>
  <c r="AC22" i="117"/>
  <c r="AD22" i="117"/>
  <c r="AF22" i="117"/>
  <c r="AH22" i="117"/>
  <c r="AI22" i="117"/>
  <c r="AJ22" i="117"/>
  <c r="AK22" i="117"/>
  <c r="AW22" i="117"/>
  <c r="AX22" i="117"/>
  <c r="AY22" i="117"/>
  <c r="BB22" i="117"/>
  <c r="BC22" i="117"/>
  <c r="BD22" i="117"/>
  <c r="BE22" i="117"/>
  <c r="BH22" i="117"/>
  <c r="BI22" i="117"/>
  <c r="B23" i="117"/>
  <c r="C23" i="117"/>
  <c r="F23" i="117"/>
  <c r="H23" i="117"/>
  <c r="J23" i="117"/>
  <c r="L23" i="117"/>
  <c r="N23" i="117"/>
  <c r="P23" i="117"/>
  <c r="Q23" i="117"/>
  <c r="R23" i="117"/>
  <c r="S23" i="117"/>
  <c r="U23" i="117"/>
  <c r="W23" i="117"/>
  <c r="Y23" i="117"/>
  <c r="AC23" i="117"/>
  <c r="AD23" i="117"/>
  <c r="AF23" i="117"/>
  <c r="AH23" i="117"/>
  <c r="AI23" i="117"/>
  <c r="AJ23" i="117"/>
  <c r="AK23" i="117"/>
  <c r="AW23" i="117"/>
  <c r="AX23" i="117"/>
  <c r="AY23" i="117"/>
  <c r="BB23" i="117"/>
  <c r="BC23" i="117"/>
  <c r="BD23" i="117"/>
  <c r="BE23" i="117"/>
  <c r="BH23" i="117"/>
  <c r="BI23" i="117"/>
  <c r="B24" i="117"/>
  <c r="C24" i="117"/>
  <c r="F24" i="117"/>
  <c r="H24" i="117"/>
  <c r="J24" i="117"/>
  <c r="L24" i="117"/>
  <c r="N24" i="117"/>
  <c r="P24" i="117"/>
  <c r="Q24" i="117"/>
  <c r="R24" i="117"/>
  <c r="S24" i="117"/>
  <c r="U24" i="117"/>
  <c r="W24" i="117"/>
  <c r="Y24" i="117"/>
  <c r="AC24" i="117"/>
  <c r="AD24" i="117"/>
  <c r="AF24" i="117"/>
  <c r="AH24" i="117"/>
  <c r="AI24" i="117"/>
  <c r="AJ24" i="117"/>
  <c r="AK24" i="117"/>
  <c r="AW24" i="117"/>
  <c r="AX24" i="117"/>
  <c r="AY24" i="117"/>
  <c r="BB24" i="117"/>
  <c r="BC24" i="117"/>
  <c r="BD24" i="117"/>
  <c r="BE24" i="117"/>
  <c r="BH24" i="117"/>
  <c r="BI24" i="117"/>
  <c r="B25" i="117"/>
  <c r="C25" i="117"/>
  <c r="F25" i="117"/>
  <c r="H25" i="117"/>
  <c r="J25" i="117"/>
  <c r="L25" i="117"/>
  <c r="N25" i="117"/>
  <c r="P25" i="117"/>
  <c r="Q25" i="117"/>
  <c r="R25" i="117"/>
  <c r="S25" i="117"/>
  <c r="U25" i="117"/>
  <c r="W25" i="117"/>
  <c r="Y25" i="117"/>
  <c r="AC25" i="117"/>
  <c r="AD25" i="117"/>
  <c r="AF25" i="117"/>
  <c r="AH25" i="117"/>
  <c r="AI25" i="117"/>
  <c r="AJ25" i="117"/>
  <c r="AK25" i="117"/>
  <c r="AW25" i="117"/>
  <c r="AX25" i="117"/>
  <c r="AY25" i="117"/>
  <c r="BB25" i="117"/>
  <c r="BC25" i="117"/>
  <c r="BD25" i="117"/>
  <c r="BE25" i="117"/>
  <c r="BH25" i="117"/>
  <c r="BI25" i="117"/>
  <c r="B26" i="117"/>
  <c r="C26" i="117"/>
  <c r="F26" i="117"/>
  <c r="H26" i="117"/>
  <c r="J26" i="117"/>
  <c r="L26" i="117"/>
  <c r="N26" i="117"/>
  <c r="P26" i="117"/>
  <c r="Q26" i="117"/>
  <c r="R26" i="117"/>
  <c r="S26" i="117"/>
  <c r="U26" i="117"/>
  <c r="W26" i="117"/>
  <c r="Y26" i="117"/>
  <c r="AC26" i="117"/>
  <c r="AD26" i="117"/>
  <c r="AF26" i="117"/>
  <c r="AH26" i="117"/>
  <c r="AI26" i="117"/>
  <c r="AJ26" i="117"/>
  <c r="AK26" i="117"/>
  <c r="AW26" i="117"/>
  <c r="AX26" i="117"/>
  <c r="AY26" i="117"/>
  <c r="BB26" i="117"/>
  <c r="BC26" i="117"/>
  <c r="BD26" i="117"/>
  <c r="BE26" i="117"/>
  <c r="BH26" i="117"/>
  <c r="BI26" i="117"/>
  <c r="B27" i="117"/>
  <c r="C27" i="117"/>
  <c r="F27" i="117"/>
  <c r="H27" i="117"/>
  <c r="J27" i="117"/>
  <c r="L27" i="117"/>
  <c r="N27" i="117"/>
  <c r="P27" i="117"/>
  <c r="Q27" i="117"/>
  <c r="R27" i="117"/>
  <c r="S27" i="117"/>
  <c r="U27" i="117"/>
  <c r="W27" i="117"/>
  <c r="Y27" i="117"/>
  <c r="AC27" i="117"/>
  <c r="AD27" i="117"/>
  <c r="AF27" i="117"/>
  <c r="AH27" i="117"/>
  <c r="AI27" i="117"/>
  <c r="AJ27" i="117"/>
  <c r="AK27" i="117"/>
  <c r="AW27" i="117"/>
  <c r="AX27" i="117"/>
  <c r="AY27" i="117"/>
  <c r="BB27" i="117"/>
  <c r="BC27" i="117"/>
  <c r="BD27" i="117"/>
  <c r="BE27" i="117"/>
  <c r="BH27" i="117"/>
  <c r="BI27" i="117"/>
  <c r="B28" i="117"/>
  <c r="C28" i="117"/>
  <c r="F28" i="117"/>
  <c r="H28" i="117"/>
  <c r="J28" i="117"/>
  <c r="L28" i="117"/>
  <c r="N28" i="117"/>
  <c r="P28" i="117"/>
  <c r="Q28" i="117"/>
  <c r="R28" i="117"/>
  <c r="S28" i="117"/>
  <c r="U28" i="117"/>
  <c r="W28" i="117"/>
  <c r="Y28" i="117"/>
  <c r="AC28" i="117"/>
  <c r="AD28" i="117"/>
  <c r="AF28" i="117"/>
  <c r="AH28" i="117"/>
  <c r="AI28" i="117"/>
  <c r="AJ28" i="117"/>
  <c r="AK28" i="117"/>
  <c r="AW28" i="117"/>
  <c r="AX28" i="117"/>
  <c r="AY28" i="117"/>
  <c r="BB28" i="117"/>
  <c r="BC28" i="117"/>
  <c r="BD28" i="117"/>
  <c r="BE28" i="117"/>
  <c r="BH28" i="117"/>
  <c r="BI28" i="117"/>
  <c r="B29" i="117"/>
  <c r="C29" i="117"/>
  <c r="F29" i="117"/>
  <c r="H29" i="117"/>
  <c r="J29" i="117"/>
  <c r="L29" i="117"/>
  <c r="N29" i="117"/>
  <c r="P29" i="117"/>
  <c r="Q29" i="117"/>
  <c r="R29" i="117"/>
  <c r="S29" i="117"/>
  <c r="U29" i="117"/>
  <c r="W29" i="117"/>
  <c r="Y29" i="117"/>
  <c r="AC29" i="117"/>
  <c r="AD29" i="117"/>
  <c r="AF29" i="117"/>
  <c r="AH29" i="117"/>
  <c r="AI29" i="117"/>
  <c r="AJ29" i="117"/>
  <c r="AK29" i="117"/>
  <c r="AW29" i="117"/>
  <c r="AX29" i="117"/>
  <c r="AY29" i="117"/>
  <c r="BB29" i="117"/>
  <c r="BC29" i="117"/>
  <c r="BD29" i="117"/>
  <c r="BE29" i="117"/>
  <c r="BH29" i="117"/>
  <c r="BI29" i="117"/>
  <c r="B30" i="117"/>
  <c r="C30" i="117"/>
  <c r="F30" i="117"/>
  <c r="H30" i="117"/>
  <c r="J30" i="117"/>
  <c r="L30" i="117"/>
  <c r="N30" i="117"/>
  <c r="P30" i="117"/>
  <c r="Q30" i="117"/>
  <c r="R30" i="117"/>
  <c r="S30" i="117"/>
  <c r="U30" i="117"/>
  <c r="W30" i="117"/>
  <c r="Y30" i="117"/>
  <c r="AC30" i="117"/>
  <c r="AD30" i="117"/>
  <c r="AF30" i="117"/>
  <c r="AH30" i="117"/>
  <c r="AI30" i="117"/>
  <c r="AJ30" i="117"/>
  <c r="AK30" i="117"/>
  <c r="AW30" i="117"/>
  <c r="AX30" i="117"/>
  <c r="AY30" i="117"/>
  <c r="BB30" i="117"/>
  <c r="BC30" i="117"/>
  <c r="BD30" i="117"/>
  <c r="BE30" i="117"/>
  <c r="BH30" i="117"/>
  <c r="BI30" i="117"/>
  <c r="B31" i="117"/>
  <c r="C31" i="117"/>
  <c r="F31" i="117"/>
  <c r="H31" i="117"/>
  <c r="J31" i="117"/>
  <c r="L31" i="117"/>
  <c r="N31" i="117"/>
  <c r="P31" i="117"/>
  <c r="Q31" i="117"/>
  <c r="R31" i="117"/>
  <c r="S31" i="117"/>
  <c r="U31" i="117"/>
  <c r="W31" i="117"/>
  <c r="Y31" i="117"/>
  <c r="AC31" i="117"/>
  <c r="AD31" i="117"/>
  <c r="AF31" i="117"/>
  <c r="AH31" i="117"/>
  <c r="AI31" i="117"/>
  <c r="AJ31" i="117"/>
  <c r="AK31" i="117"/>
  <c r="AW31" i="117"/>
  <c r="AX31" i="117"/>
  <c r="AY31" i="117"/>
  <c r="BB31" i="117"/>
  <c r="BC31" i="117"/>
  <c r="BD31" i="117"/>
  <c r="BE31" i="117"/>
  <c r="BH31" i="117"/>
  <c r="BI31" i="117"/>
  <c r="B32" i="117"/>
  <c r="C32" i="117"/>
  <c r="F32" i="117"/>
  <c r="H32" i="117"/>
  <c r="J32" i="117"/>
  <c r="L32" i="117"/>
  <c r="N32" i="117"/>
  <c r="P32" i="117"/>
  <c r="Q32" i="117"/>
  <c r="R32" i="117"/>
  <c r="S32" i="117"/>
  <c r="U32" i="117"/>
  <c r="W32" i="117"/>
  <c r="Y32" i="117"/>
  <c r="AC32" i="117"/>
  <c r="AD32" i="117"/>
  <c r="AF32" i="117"/>
  <c r="AH32" i="117"/>
  <c r="AI32" i="117"/>
  <c r="AJ32" i="117"/>
  <c r="AK32" i="117"/>
  <c r="AW32" i="117"/>
  <c r="AX32" i="117"/>
  <c r="AY32" i="117"/>
  <c r="BB32" i="117"/>
  <c r="BC32" i="117"/>
  <c r="BD32" i="117"/>
  <c r="BE32" i="117"/>
  <c r="BH32" i="117"/>
  <c r="BI32" i="117"/>
  <c r="B33" i="117"/>
  <c r="C33" i="117"/>
  <c r="F33" i="117"/>
  <c r="H33" i="117"/>
  <c r="J33" i="117"/>
  <c r="L33" i="117"/>
  <c r="N33" i="117"/>
  <c r="P33" i="117"/>
  <c r="Q33" i="117"/>
  <c r="R33" i="117"/>
  <c r="S33" i="117"/>
  <c r="U33" i="117"/>
  <c r="W33" i="117"/>
  <c r="Y33" i="117"/>
  <c r="AC33" i="117"/>
  <c r="AD33" i="117"/>
  <c r="AF33" i="117"/>
  <c r="AH33" i="117"/>
  <c r="AI33" i="117"/>
  <c r="AJ33" i="117"/>
  <c r="AK33" i="117"/>
  <c r="AW33" i="117"/>
  <c r="AX33" i="117"/>
  <c r="AY33" i="117"/>
  <c r="BB33" i="117"/>
  <c r="BC33" i="117"/>
  <c r="BD33" i="117"/>
  <c r="BE33" i="117"/>
  <c r="BH33" i="117"/>
  <c r="BI33" i="117"/>
  <c r="B34" i="117"/>
  <c r="C34" i="117"/>
  <c r="F34" i="117"/>
  <c r="H34" i="117"/>
  <c r="J34" i="117"/>
  <c r="L34" i="117"/>
  <c r="N34" i="117"/>
  <c r="P34" i="117"/>
  <c r="Q34" i="117"/>
  <c r="R34" i="117"/>
  <c r="S34" i="117"/>
  <c r="U34" i="117"/>
  <c r="W34" i="117"/>
  <c r="Y34" i="117"/>
  <c r="AC34" i="117"/>
  <c r="AD34" i="117"/>
  <c r="AF34" i="117"/>
  <c r="AH34" i="117"/>
  <c r="AI34" i="117"/>
  <c r="AJ34" i="117"/>
  <c r="AK34" i="117"/>
  <c r="AW34" i="117"/>
  <c r="AX34" i="117"/>
  <c r="AY34" i="117"/>
  <c r="BB34" i="117"/>
  <c r="BC34" i="117"/>
  <c r="BD34" i="117"/>
  <c r="BE34" i="117"/>
  <c r="BH34" i="117"/>
  <c r="BI34" i="117"/>
  <c r="B35" i="117"/>
  <c r="C35" i="117"/>
  <c r="F35" i="117"/>
  <c r="H35" i="117"/>
  <c r="J35" i="117"/>
  <c r="L35" i="117"/>
  <c r="N35" i="117"/>
  <c r="P35" i="117"/>
  <c r="Q35" i="117"/>
  <c r="R35" i="117"/>
  <c r="S35" i="117"/>
  <c r="U35" i="117"/>
  <c r="W35" i="117"/>
  <c r="Y35" i="117"/>
  <c r="AC35" i="117"/>
  <c r="AD35" i="117"/>
  <c r="AF35" i="117"/>
  <c r="AH35" i="117"/>
  <c r="AI35" i="117"/>
  <c r="AJ35" i="117"/>
  <c r="AK35" i="117"/>
  <c r="AW35" i="117"/>
  <c r="AX35" i="117"/>
  <c r="AY35" i="117"/>
  <c r="BB35" i="117"/>
  <c r="BC35" i="117"/>
  <c r="BD35" i="117"/>
  <c r="BE35" i="117"/>
  <c r="BH35" i="117"/>
  <c r="BI35" i="117"/>
  <c r="B36" i="117"/>
  <c r="C36" i="117"/>
  <c r="F36" i="117"/>
  <c r="H36" i="117"/>
  <c r="J36" i="117"/>
  <c r="L36" i="117"/>
  <c r="N36" i="117"/>
  <c r="P36" i="117"/>
  <c r="Q36" i="117"/>
  <c r="R36" i="117"/>
  <c r="S36" i="117"/>
  <c r="U36" i="117"/>
  <c r="W36" i="117"/>
  <c r="Y36" i="117"/>
  <c r="AC36" i="117"/>
  <c r="AD36" i="117"/>
  <c r="AF36" i="117"/>
  <c r="AH36" i="117"/>
  <c r="AI36" i="117"/>
  <c r="AJ36" i="117"/>
  <c r="AK36" i="117"/>
  <c r="AW36" i="117"/>
  <c r="AX36" i="117"/>
  <c r="AY36" i="117"/>
  <c r="BB36" i="117"/>
  <c r="BC36" i="117"/>
  <c r="BD36" i="117"/>
  <c r="BE36" i="117"/>
  <c r="BH36" i="117"/>
  <c r="BI36" i="117"/>
  <c r="B37" i="117"/>
  <c r="C37" i="117"/>
  <c r="F37" i="117"/>
  <c r="H37" i="117"/>
  <c r="J37" i="117"/>
  <c r="L37" i="117"/>
  <c r="N37" i="117"/>
  <c r="P37" i="117"/>
  <c r="Q37" i="117"/>
  <c r="R37" i="117"/>
  <c r="S37" i="117"/>
  <c r="U37" i="117"/>
  <c r="W37" i="117"/>
  <c r="Y37" i="117"/>
  <c r="AC37" i="117"/>
  <c r="AD37" i="117"/>
  <c r="AF37" i="117"/>
  <c r="AH37" i="117"/>
  <c r="AI37" i="117"/>
  <c r="AJ37" i="117"/>
  <c r="AK37" i="117"/>
  <c r="AW37" i="117"/>
  <c r="AX37" i="117"/>
  <c r="AY37" i="117"/>
  <c r="BB37" i="117"/>
  <c r="BC37" i="117"/>
  <c r="BD37" i="117"/>
  <c r="BE37" i="117"/>
  <c r="BH37" i="117"/>
  <c r="BI37" i="117"/>
  <c r="B38" i="117"/>
  <c r="C38" i="117"/>
  <c r="F38" i="117"/>
  <c r="H38" i="117"/>
  <c r="J38" i="117"/>
  <c r="L38" i="117"/>
  <c r="N38" i="117"/>
  <c r="P38" i="117"/>
  <c r="Q38" i="117"/>
  <c r="R38" i="117"/>
  <c r="S38" i="117"/>
  <c r="U38" i="117"/>
  <c r="W38" i="117"/>
  <c r="Y38" i="117"/>
  <c r="AC38" i="117"/>
  <c r="AD38" i="117"/>
  <c r="AF38" i="117"/>
  <c r="AH38" i="117"/>
  <c r="AI38" i="117"/>
  <c r="AJ38" i="117"/>
  <c r="AK38" i="117"/>
  <c r="AW38" i="117"/>
  <c r="AX38" i="117"/>
  <c r="AY38" i="117"/>
  <c r="BB38" i="117"/>
  <c r="BC38" i="117"/>
  <c r="BD38" i="117"/>
  <c r="BE38" i="117"/>
  <c r="BH38" i="117"/>
  <c r="BI38" i="117"/>
  <c r="B39" i="117"/>
  <c r="C39" i="117"/>
  <c r="F39" i="117"/>
  <c r="H39" i="117"/>
  <c r="J39" i="117"/>
  <c r="L39" i="117"/>
  <c r="N39" i="117"/>
  <c r="P39" i="117"/>
  <c r="Q39" i="117"/>
  <c r="R39" i="117"/>
  <c r="S39" i="117"/>
  <c r="U39" i="117"/>
  <c r="W39" i="117"/>
  <c r="Y39" i="117"/>
  <c r="AC39" i="117"/>
  <c r="AD39" i="117"/>
  <c r="AF39" i="117"/>
  <c r="AH39" i="117"/>
  <c r="AI39" i="117"/>
  <c r="AJ39" i="117"/>
  <c r="AK39" i="117"/>
  <c r="AW39" i="117"/>
  <c r="AX39" i="117"/>
  <c r="AY39" i="117"/>
  <c r="BB39" i="117"/>
  <c r="BC39" i="117"/>
  <c r="BD39" i="117"/>
  <c r="BE39" i="117"/>
  <c r="BH39" i="117"/>
  <c r="BI39" i="117"/>
  <c r="B40" i="117"/>
  <c r="C40" i="117"/>
  <c r="F40" i="117"/>
  <c r="H40" i="117"/>
  <c r="J40" i="117"/>
  <c r="L40" i="117"/>
  <c r="N40" i="117"/>
  <c r="P40" i="117"/>
  <c r="Q40" i="117"/>
  <c r="R40" i="117"/>
  <c r="S40" i="117"/>
  <c r="U40" i="117"/>
  <c r="W40" i="117"/>
  <c r="Y40" i="117"/>
  <c r="AC40" i="117"/>
  <c r="AD40" i="117"/>
  <c r="AF40" i="117"/>
  <c r="AH40" i="117"/>
  <c r="AI40" i="117"/>
  <c r="AJ40" i="117"/>
  <c r="AK40" i="117"/>
  <c r="AW40" i="117"/>
  <c r="AX40" i="117"/>
  <c r="AY40" i="117"/>
  <c r="BB40" i="117"/>
  <c r="BC40" i="117"/>
  <c r="BD40" i="117"/>
  <c r="BE40" i="117"/>
  <c r="BH40" i="117"/>
  <c r="BI40" i="117"/>
  <c r="B41" i="117"/>
  <c r="C41" i="117"/>
  <c r="F41" i="117"/>
  <c r="H41" i="117"/>
  <c r="J41" i="117"/>
  <c r="L41" i="117"/>
  <c r="N41" i="117"/>
  <c r="P41" i="117"/>
  <c r="Q41" i="117"/>
  <c r="R41" i="117"/>
  <c r="S41" i="117"/>
  <c r="U41" i="117"/>
  <c r="W41" i="117"/>
  <c r="Y41" i="117"/>
  <c r="AC41" i="117"/>
  <c r="AD41" i="117"/>
  <c r="AF41" i="117"/>
  <c r="AH41" i="117"/>
  <c r="AI41" i="117"/>
  <c r="AJ41" i="117"/>
  <c r="AK41" i="117"/>
  <c r="AW41" i="117"/>
  <c r="AX41" i="117"/>
  <c r="AY41" i="117"/>
  <c r="BB41" i="117"/>
  <c r="BC41" i="117"/>
  <c r="BD41" i="117"/>
  <c r="BE41" i="117"/>
  <c r="BH41" i="117"/>
  <c r="BI41" i="117"/>
  <c r="B42" i="117"/>
  <c r="C42" i="117"/>
  <c r="F42" i="117"/>
  <c r="H42" i="117"/>
  <c r="J42" i="117"/>
  <c r="L42" i="117"/>
  <c r="N42" i="117"/>
  <c r="P42" i="117"/>
  <c r="Q42" i="117"/>
  <c r="R42" i="117"/>
  <c r="S42" i="117"/>
  <c r="U42" i="117"/>
  <c r="W42" i="117"/>
  <c r="Y42" i="117"/>
  <c r="AC42" i="117"/>
  <c r="AD42" i="117"/>
  <c r="AF42" i="117"/>
  <c r="AH42" i="117"/>
  <c r="AI42" i="117"/>
  <c r="AJ42" i="117"/>
  <c r="AK42" i="117"/>
  <c r="AW42" i="117"/>
  <c r="AX42" i="117"/>
  <c r="AY42" i="117"/>
  <c r="BB42" i="117"/>
  <c r="BC42" i="117"/>
  <c r="BD42" i="117"/>
  <c r="BE42" i="117"/>
  <c r="BH42" i="117"/>
  <c r="BI42" i="117"/>
  <c r="B43" i="117"/>
  <c r="C43" i="117"/>
  <c r="F43" i="117"/>
  <c r="H43" i="117"/>
  <c r="J43" i="117"/>
  <c r="L43" i="117"/>
  <c r="N43" i="117"/>
  <c r="P43" i="117"/>
  <c r="Q43" i="117"/>
  <c r="R43" i="117"/>
  <c r="S43" i="117"/>
  <c r="U43" i="117"/>
  <c r="W43" i="117"/>
  <c r="Y43" i="117"/>
  <c r="AC43" i="117"/>
  <c r="AD43" i="117"/>
  <c r="AF43" i="117"/>
  <c r="AH43" i="117"/>
  <c r="AI43" i="117"/>
  <c r="AJ43" i="117"/>
  <c r="AK43" i="117"/>
  <c r="AW43" i="117"/>
  <c r="AX43" i="117"/>
  <c r="AY43" i="117"/>
  <c r="BB43" i="117"/>
  <c r="BC43" i="117"/>
  <c r="BD43" i="117"/>
  <c r="BE43" i="117"/>
  <c r="BH43" i="117"/>
  <c r="BI43" i="117"/>
  <c r="B44" i="117"/>
  <c r="C44" i="117"/>
  <c r="F44" i="117"/>
  <c r="H44" i="117"/>
  <c r="J44" i="117"/>
  <c r="L44" i="117"/>
  <c r="N44" i="117"/>
  <c r="P44" i="117"/>
  <c r="Q44" i="117"/>
  <c r="R44" i="117"/>
  <c r="S44" i="117"/>
  <c r="U44" i="117"/>
  <c r="W44" i="117"/>
  <c r="Y44" i="117"/>
  <c r="AC44" i="117"/>
  <c r="AD44" i="117"/>
  <c r="AF44" i="117"/>
  <c r="AH44" i="117"/>
  <c r="AI44" i="117"/>
  <c r="AJ44" i="117"/>
  <c r="AK44" i="117"/>
  <c r="AW44" i="117"/>
  <c r="AX44" i="117"/>
  <c r="AY44" i="117"/>
  <c r="BB44" i="117"/>
  <c r="BC44" i="117"/>
  <c r="BD44" i="117"/>
  <c r="BE44" i="117"/>
  <c r="BH44" i="117"/>
  <c r="BI44" i="117"/>
  <c r="B45" i="117"/>
  <c r="C45" i="117"/>
  <c r="F45" i="117"/>
  <c r="H45" i="117"/>
  <c r="J45" i="117"/>
  <c r="L45" i="117"/>
  <c r="N45" i="117"/>
  <c r="P45" i="117"/>
  <c r="Q45" i="117"/>
  <c r="R45" i="117"/>
  <c r="S45" i="117"/>
  <c r="U45" i="117"/>
  <c r="W45" i="117"/>
  <c r="Y45" i="117"/>
  <c r="AC45" i="117"/>
  <c r="AD45" i="117"/>
  <c r="AF45" i="117"/>
  <c r="AH45" i="117"/>
  <c r="AI45" i="117"/>
  <c r="AJ45" i="117"/>
  <c r="AK45" i="117"/>
  <c r="AW45" i="117"/>
  <c r="AX45" i="117"/>
  <c r="AY45" i="117"/>
  <c r="BB45" i="117"/>
  <c r="BC45" i="117"/>
  <c r="BD45" i="117"/>
  <c r="BE45" i="117"/>
  <c r="BH45" i="117"/>
  <c r="BI45" i="117"/>
  <c r="B46" i="117"/>
  <c r="C46" i="117"/>
  <c r="F46" i="117"/>
  <c r="H46" i="117"/>
  <c r="J46" i="117"/>
  <c r="L46" i="117"/>
  <c r="N46" i="117"/>
  <c r="P46" i="117"/>
  <c r="Q46" i="117"/>
  <c r="R46" i="117"/>
  <c r="S46" i="117"/>
  <c r="U46" i="117"/>
  <c r="W46" i="117"/>
  <c r="Y46" i="117"/>
  <c r="AC46" i="117"/>
  <c r="AD46" i="117"/>
  <c r="AF46" i="117"/>
  <c r="AH46" i="117"/>
  <c r="AI46" i="117"/>
  <c r="AJ46" i="117"/>
  <c r="AK46" i="117"/>
  <c r="AW46" i="117"/>
  <c r="AX46" i="117"/>
  <c r="AY46" i="117"/>
  <c r="BB46" i="117"/>
  <c r="BC46" i="117"/>
  <c r="BD46" i="117"/>
  <c r="BE46" i="117"/>
  <c r="BH46" i="117"/>
  <c r="BI46" i="117"/>
  <c r="B47" i="117"/>
  <c r="C47" i="117"/>
  <c r="F47" i="117"/>
  <c r="H47" i="117"/>
  <c r="J47" i="117"/>
  <c r="L47" i="117"/>
  <c r="N47" i="117"/>
  <c r="P47" i="117"/>
  <c r="Q47" i="117"/>
  <c r="R47" i="117"/>
  <c r="S47" i="117"/>
  <c r="U47" i="117"/>
  <c r="W47" i="117"/>
  <c r="Y47" i="117"/>
  <c r="AC47" i="117"/>
  <c r="AD47" i="117"/>
  <c r="AF47" i="117"/>
  <c r="AH47" i="117"/>
  <c r="AI47" i="117"/>
  <c r="AJ47" i="117"/>
  <c r="AK47" i="117"/>
  <c r="AW47" i="117"/>
  <c r="AX47" i="117"/>
  <c r="AY47" i="117"/>
  <c r="BB47" i="117"/>
  <c r="BC47" i="117"/>
  <c r="BD47" i="117"/>
  <c r="BE47" i="117"/>
  <c r="BH47" i="117"/>
  <c r="BI47" i="117"/>
  <c r="B48" i="117"/>
  <c r="C48" i="117"/>
  <c r="F48" i="117"/>
  <c r="H48" i="117"/>
  <c r="J48" i="117"/>
  <c r="L48" i="117"/>
  <c r="N48" i="117"/>
  <c r="P48" i="117"/>
  <c r="Q48" i="117"/>
  <c r="R48" i="117"/>
  <c r="S48" i="117"/>
  <c r="U48" i="117"/>
  <c r="W48" i="117"/>
  <c r="Y48" i="117"/>
  <c r="AC48" i="117"/>
  <c r="AD48" i="117"/>
  <c r="AF48" i="117"/>
  <c r="AH48" i="117"/>
  <c r="AI48" i="117"/>
  <c r="AJ48" i="117"/>
  <c r="AK48" i="117"/>
  <c r="AW48" i="117"/>
  <c r="AX48" i="117"/>
  <c r="AY48" i="117"/>
  <c r="BB48" i="117"/>
  <c r="BC48" i="117"/>
  <c r="BD48" i="117"/>
  <c r="BE48" i="117"/>
  <c r="BH48" i="117"/>
  <c r="BI48" i="117"/>
  <c r="B49" i="117"/>
  <c r="C49" i="117"/>
  <c r="F49" i="117"/>
  <c r="H49" i="117"/>
  <c r="J49" i="117"/>
  <c r="L49" i="117"/>
  <c r="N49" i="117"/>
  <c r="P49" i="117"/>
  <c r="Q49" i="117"/>
  <c r="R49" i="117"/>
  <c r="S49" i="117"/>
  <c r="U49" i="117"/>
  <c r="W49" i="117"/>
  <c r="Y49" i="117"/>
  <c r="AC49" i="117"/>
  <c r="AD49" i="117"/>
  <c r="AF49" i="117"/>
  <c r="AH49" i="117"/>
  <c r="AI49" i="117"/>
  <c r="AJ49" i="117"/>
  <c r="AK49" i="117"/>
  <c r="AW49" i="117"/>
  <c r="AX49" i="117"/>
  <c r="AY49" i="117"/>
  <c r="BB49" i="117"/>
  <c r="BC49" i="117"/>
  <c r="BD49" i="117"/>
  <c r="BE49" i="117"/>
  <c r="BH49" i="117"/>
  <c r="BI49" i="117"/>
  <c r="B50" i="117"/>
  <c r="C50" i="117"/>
  <c r="F50" i="117"/>
  <c r="H50" i="117"/>
  <c r="J50" i="117"/>
  <c r="L50" i="117"/>
  <c r="N50" i="117"/>
  <c r="P50" i="117"/>
  <c r="Q50" i="117"/>
  <c r="R50" i="117"/>
  <c r="S50" i="117"/>
  <c r="U50" i="117"/>
  <c r="W50" i="117"/>
  <c r="Y50" i="117"/>
  <c r="AC50" i="117"/>
  <c r="AD50" i="117"/>
  <c r="AF50" i="117"/>
  <c r="AH50" i="117"/>
  <c r="AI50" i="117"/>
  <c r="AJ50" i="117"/>
  <c r="AK50" i="117"/>
  <c r="AW50" i="117"/>
  <c r="AX50" i="117"/>
  <c r="AY50" i="117"/>
  <c r="BB50" i="117"/>
  <c r="BC50" i="117"/>
  <c r="BD50" i="117"/>
  <c r="BE50" i="117"/>
  <c r="BH50" i="117"/>
  <c r="BI50" i="117"/>
  <c r="C51" i="117"/>
  <c r="D51" i="117"/>
  <c r="E51" i="117"/>
  <c r="F51" i="117"/>
  <c r="G51" i="117"/>
  <c r="H51" i="117"/>
  <c r="I51" i="117"/>
  <c r="J51" i="117"/>
  <c r="K51" i="117"/>
  <c r="L51" i="117"/>
  <c r="M51" i="117"/>
  <c r="N51" i="117"/>
  <c r="O51" i="117"/>
  <c r="P51" i="117"/>
  <c r="Q51" i="117"/>
  <c r="R51" i="117"/>
  <c r="S51" i="117"/>
  <c r="T51" i="117"/>
  <c r="U51" i="117"/>
  <c r="V51" i="117"/>
  <c r="W51" i="117"/>
  <c r="X51" i="117"/>
  <c r="Y51" i="117"/>
  <c r="AD51" i="117"/>
  <c r="AE51" i="117"/>
  <c r="AF51" i="117"/>
  <c r="AG51" i="117"/>
  <c r="AH51" i="117"/>
  <c r="AI51" i="117"/>
  <c r="AJ51" i="117"/>
  <c r="AK51" i="117"/>
  <c r="AX51" i="117"/>
  <c r="AY51" i="117"/>
  <c r="AZ51" i="117"/>
  <c r="BA51" i="117"/>
  <c r="BB51" i="117"/>
  <c r="BC51" i="117"/>
  <c r="BD51" i="117"/>
  <c r="BE51" i="117"/>
  <c r="BF51" i="117"/>
  <c r="BG51" i="117"/>
  <c r="BH51" i="117"/>
  <c r="BI51" i="117"/>
  <c r="AN10" i="116"/>
  <c r="AO10" i="116"/>
  <c r="AQ10" i="116"/>
  <c r="AS10" i="116"/>
  <c r="AT10" i="116"/>
  <c r="B11" i="116"/>
  <c r="C11" i="116"/>
  <c r="F11" i="116"/>
  <c r="H11" i="116"/>
  <c r="J11" i="116"/>
  <c r="L11" i="116"/>
  <c r="N11" i="116"/>
  <c r="P11" i="116"/>
  <c r="Q11" i="116"/>
  <c r="R11" i="116"/>
  <c r="S11" i="116"/>
  <c r="U11" i="116"/>
  <c r="W11" i="116"/>
  <c r="Y11" i="116"/>
  <c r="AC11" i="116"/>
  <c r="AD11" i="116"/>
  <c r="AF11" i="116"/>
  <c r="AH11" i="116"/>
  <c r="AI11" i="116"/>
  <c r="AJ11" i="116"/>
  <c r="AK11" i="116"/>
  <c r="AN11" i="116"/>
  <c r="AO11" i="116"/>
  <c r="AQ11" i="116"/>
  <c r="AS11" i="116"/>
  <c r="AT11" i="116"/>
  <c r="AW11" i="116"/>
  <c r="AX11" i="116"/>
  <c r="AY11" i="116"/>
  <c r="BB11" i="116"/>
  <c r="BC11" i="116"/>
  <c r="BD11" i="116"/>
  <c r="BE11" i="116"/>
  <c r="BH11" i="116"/>
  <c r="BI11" i="116"/>
  <c r="B12" i="116"/>
  <c r="C12" i="116"/>
  <c r="F12" i="116"/>
  <c r="H12" i="116"/>
  <c r="J12" i="116"/>
  <c r="L12" i="116"/>
  <c r="N12" i="116"/>
  <c r="P12" i="116"/>
  <c r="Q12" i="116"/>
  <c r="R12" i="116"/>
  <c r="S12" i="116"/>
  <c r="U12" i="116"/>
  <c r="W12" i="116"/>
  <c r="Y12" i="116"/>
  <c r="AC12" i="116"/>
  <c r="AD12" i="116"/>
  <c r="AF12" i="116"/>
  <c r="AH12" i="116"/>
  <c r="AI12" i="116"/>
  <c r="AJ12" i="116"/>
  <c r="AK12" i="116"/>
  <c r="AN12" i="116"/>
  <c r="AO12" i="116"/>
  <c r="AQ12" i="116"/>
  <c r="AS12" i="116"/>
  <c r="AT12" i="116"/>
  <c r="AW12" i="116"/>
  <c r="AX12" i="116"/>
  <c r="AY12" i="116"/>
  <c r="BB12" i="116"/>
  <c r="BC12" i="116"/>
  <c r="BD12" i="116"/>
  <c r="BE12" i="116"/>
  <c r="BH12" i="116"/>
  <c r="BI12" i="116"/>
  <c r="B13" i="116"/>
  <c r="C13" i="116"/>
  <c r="F13" i="116"/>
  <c r="H13" i="116"/>
  <c r="J13" i="116"/>
  <c r="L13" i="116"/>
  <c r="N13" i="116"/>
  <c r="P13" i="116"/>
  <c r="Q13" i="116"/>
  <c r="R13" i="116"/>
  <c r="S13" i="116"/>
  <c r="U13" i="116"/>
  <c r="W13" i="116"/>
  <c r="Y13" i="116"/>
  <c r="AC13" i="116"/>
  <c r="AD13" i="116"/>
  <c r="AF13" i="116"/>
  <c r="AH13" i="116"/>
  <c r="AI13" i="116"/>
  <c r="AJ13" i="116"/>
  <c r="AK13" i="116"/>
  <c r="AO13" i="116"/>
  <c r="AP13" i="116"/>
  <c r="AQ13" i="116"/>
  <c r="AR13" i="116"/>
  <c r="AS13" i="116"/>
  <c r="AT13" i="116"/>
  <c r="AW13" i="116"/>
  <c r="AX13" i="116"/>
  <c r="AY13" i="116"/>
  <c r="BB13" i="116"/>
  <c r="BC13" i="116"/>
  <c r="BD13" i="116"/>
  <c r="BE13" i="116"/>
  <c r="BH13" i="116"/>
  <c r="BI13" i="116"/>
  <c r="B14" i="116"/>
  <c r="C14" i="116"/>
  <c r="F14" i="116"/>
  <c r="H14" i="116"/>
  <c r="J14" i="116"/>
  <c r="L14" i="116"/>
  <c r="N14" i="116"/>
  <c r="P14" i="116"/>
  <c r="Q14" i="116"/>
  <c r="R14" i="116"/>
  <c r="S14" i="116"/>
  <c r="U14" i="116"/>
  <c r="W14" i="116"/>
  <c r="Y14" i="116"/>
  <c r="AC14" i="116"/>
  <c r="AD14" i="116"/>
  <c r="AF14" i="116"/>
  <c r="AH14" i="116"/>
  <c r="AI14" i="116"/>
  <c r="AJ14" i="116"/>
  <c r="AK14" i="116"/>
  <c r="AT14" i="116"/>
  <c r="AW14" i="116"/>
  <c r="AX14" i="116"/>
  <c r="AY14" i="116"/>
  <c r="BB14" i="116"/>
  <c r="BC14" i="116"/>
  <c r="BD14" i="116"/>
  <c r="BE14" i="116"/>
  <c r="BH14" i="116"/>
  <c r="BI14" i="116"/>
  <c r="B15" i="116"/>
  <c r="C15" i="116"/>
  <c r="F15" i="116"/>
  <c r="H15" i="116"/>
  <c r="J15" i="116"/>
  <c r="L15" i="116"/>
  <c r="N15" i="116"/>
  <c r="P15" i="116"/>
  <c r="Q15" i="116"/>
  <c r="R15" i="116"/>
  <c r="S15" i="116"/>
  <c r="U15" i="116"/>
  <c r="W15" i="116"/>
  <c r="Y15" i="116"/>
  <c r="AC15" i="116"/>
  <c r="AD15" i="116"/>
  <c r="AF15" i="116"/>
  <c r="AH15" i="116"/>
  <c r="AI15" i="116"/>
  <c r="AJ15" i="116"/>
  <c r="AK15" i="116"/>
  <c r="AW15" i="116"/>
  <c r="AX15" i="116"/>
  <c r="AY15" i="116"/>
  <c r="BB15" i="116"/>
  <c r="BC15" i="116"/>
  <c r="BD15" i="116"/>
  <c r="BE15" i="116"/>
  <c r="BH15" i="116"/>
  <c r="BI15" i="116"/>
  <c r="B16" i="116"/>
  <c r="C16" i="116"/>
  <c r="F16" i="116"/>
  <c r="H16" i="116"/>
  <c r="J16" i="116"/>
  <c r="L16" i="116"/>
  <c r="N16" i="116"/>
  <c r="P16" i="116"/>
  <c r="Q16" i="116"/>
  <c r="R16" i="116"/>
  <c r="S16" i="116"/>
  <c r="U16" i="116"/>
  <c r="W16" i="116"/>
  <c r="Y16" i="116"/>
  <c r="AC16" i="116"/>
  <c r="AD16" i="116"/>
  <c r="AF16" i="116"/>
  <c r="AH16" i="116"/>
  <c r="AI16" i="116"/>
  <c r="AJ16" i="116"/>
  <c r="AK16" i="116"/>
  <c r="AW16" i="116"/>
  <c r="AX16" i="116"/>
  <c r="AY16" i="116"/>
  <c r="BB16" i="116"/>
  <c r="BC16" i="116"/>
  <c r="BD16" i="116"/>
  <c r="BE16" i="116"/>
  <c r="BH16" i="116"/>
  <c r="BI16" i="116"/>
  <c r="B17" i="116"/>
  <c r="C17" i="116"/>
  <c r="F17" i="116"/>
  <c r="H17" i="116"/>
  <c r="J17" i="116"/>
  <c r="L17" i="116"/>
  <c r="N17" i="116"/>
  <c r="P17" i="116"/>
  <c r="Q17" i="116"/>
  <c r="R17" i="116"/>
  <c r="S17" i="116"/>
  <c r="U17" i="116"/>
  <c r="W17" i="116"/>
  <c r="Y17" i="116"/>
  <c r="AC17" i="116"/>
  <c r="AD17" i="116"/>
  <c r="AF17" i="116"/>
  <c r="AH17" i="116"/>
  <c r="AI17" i="116"/>
  <c r="AJ17" i="116"/>
  <c r="AK17" i="116"/>
  <c r="AW17" i="116"/>
  <c r="AX17" i="116"/>
  <c r="AY17" i="116"/>
  <c r="BB17" i="116"/>
  <c r="BC17" i="116"/>
  <c r="BD17" i="116"/>
  <c r="BE17" i="116"/>
  <c r="BH17" i="116"/>
  <c r="BI17" i="116"/>
  <c r="B18" i="116"/>
  <c r="C18" i="116"/>
  <c r="F18" i="116"/>
  <c r="H18" i="116"/>
  <c r="J18" i="116"/>
  <c r="L18" i="116"/>
  <c r="N18" i="116"/>
  <c r="P18" i="116"/>
  <c r="Q18" i="116"/>
  <c r="R18" i="116"/>
  <c r="S18" i="116"/>
  <c r="U18" i="116"/>
  <c r="W18" i="116"/>
  <c r="Y18" i="116"/>
  <c r="AC18" i="116"/>
  <c r="AD18" i="116"/>
  <c r="AF18" i="116"/>
  <c r="AH18" i="116"/>
  <c r="AI18" i="116"/>
  <c r="AJ18" i="116"/>
  <c r="AK18" i="116"/>
  <c r="AW18" i="116"/>
  <c r="AX18" i="116"/>
  <c r="AY18" i="116"/>
  <c r="BB18" i="116"/>
  <c r="BC18" i="116"/>
  <c r="BD18" i="116"/>
  <c r="BE18" i="116"/>
  <c r="BH18" i="116"/>
  <c r="BI18" i="116"/>
  <c r="B19" i="116"/>
  <c r="C19" i="116"/>
  <c r="F19" i="116"/>
  <c r="H19" i="116"/>
  <c r="J19" i="116"/>
  <c r="L19" i="116"/>
  <c r="N19" i="116"/>
  <c r="P19" i="116"/>
  <c r="Q19" i="116"/>
  <c r="R19" i="116"/>
  <c r="S19" i="116"/>
  <c r="U19" i="116"/>
  <c r="W19" i="116"/>
  <c r="Y19" i="116"/>
  <c r="AC19" i="116"/>
  <c r="AD19" i="116"/>
  <c r="AF19" i="116"/>
  <c r="AH19" i="116"/>
  <c r="AI19" i="116"/>
  <c r="AJ19" i="116"/>
  <c r="AK19" i="116"/>
  <c r="AW19" i="116"/>
  <c r="AX19" i="116"/>
  <c r="AY19" i="116"/>
  <c r="BB19" i="116"/>
  <c r="BC19" i="116"/>
  <c r="BD19" i="116"/>
  <c r="BE19" i="116"/>
  <c r="BH19" i="116"/>
  <c r="BI19" i="116"/>
  <c r="B20" i="116"/>
  <c r="C20" i="116"/>
  <c r="F20" i="116"/>
  <c r="H20" i="116"/>
  <c r="J20" i="116"/>
  <c r="L20" i="116"/>
  <c r="N20" i="116"/>
  <c r="P20" i="116"/>
  <c r="Q20" i="116"/>
  <c r="R20" i="116"/>
  <c r="S20" i="116"/>
  <c r="U20" i="116"/>
  <c r="W20" i="116"/>
  <c r="Y20" i="116"/>
  <c r="AC20" i="116"/>
  <c r="AD20" i="116"/>
  <c r="AF20" i="116"/>
  <c r="AH20" i="116"/>
  <c r="AI20" i="116"/>
  <c r="AJ20" i="116"/>
  <c r="AK20" i="116"/>
  <c r="AW20" i="116"/>
  <c r="AX20" i="116"/>
  <c r="AY20" i="116"/>
  <c r="BB20" i="116"/>
  <c r="BC20" i="116"/>
  <c r="BD20" i="116"/>
  <c r="BE20" i="116"/>
  <c r="BH20" i="116"/>
  <c r="BI20" i="116"/>
  <c r="B21" i="116"/>
  <c r="C21" i="116"/>
  <c r="F21" i="116"/>
  <c r="H21" i="116"/>
  <c r="J21" i="116"/>
  <c r="L21" i="116"/>
  <c r="N21" i="116"/>
  <c r="P21" i="116"/>
  <c r="Q21" i="116"/>
  <c r="R21" i="116"/>
  <c r="S21" i="116"/>
  <c r="U21" i="116"/>
  <c r="W21" i="116"/>
  <c r="Y21" i="116"/>
  <c r="AC21" i="116"/>
  <c r="AD21" i="116"/>
  <c r="AF21" i="116"/>
  <c r="AH21" i="116"/>
  <c r="AI21" i="116"/>
  <c r="AJ21" i="116"/>
  <c r="AK21" i="116"/>
  <c r="AW21" i="116"/>
  <c r="AX21" i="116"/>
  <c r="AY21" i="116"/>
  <c r="BB21" i="116"/>
  <c r="BC21" i="116"/>
  <c r="BD21" i="116"/>
  <c r="BE21" i="116"/>
  <c r="BH21" i="116"/>
  <c r="BI21" i="116"/>
  <c r="B22" i="116"/>
  <c r="C22" i="116"/>
  <c r="F22" i="116"/>
  <c r="H22" i="116"/>
  <c r="J22" i="116"/>
  <c r="L22" i="116"/>
  <c r="N22" i="116"/>
  <c r="P22" i="116"/>
  <c r="Q22" i="116"/>
  <c r="R22" i="116"/>
  <c r="S22" i="116"/>
  <c r="U22" i="116"/>
  <c r="W22" i="116"/>
  <c r="Y22" i="116"/>
  <c r="AC22" i="116"/>
  <c r="AD22" i="116"/>
  <c r="AF22" i="116"/>
  <c r="AH22" i="116"/>
  <c r="AI22" i="116"/>
  <c r="AJ22" i="116"/>
  <c r="AK22" i="116"/>
  <c r="AW22" i="116"/>
  <c r="AX22" i="116"/>
  <c r="AY22" i="116"/>
  <c r="BB22" i="116"/>
  <c r="BC22" i="116"/>
  <c r="BD22" i="116"/>
  <c r="BE22" i="116"/>
  <c r="BH22" i="116"/>
  <c r="BI22" i="116"/>
  <c r="B23" i="116"/>
  <c r="C23" i="116"/>
  <c r="F23" i="116"/>
  <c r="H23" i="116"/>
  <c r="J23" i="116"/>
  <c r="L23" i="116"/>
  <c r="N23" i="116"/>
  <c r="P23" i="116"/>
  <c r="Q23" i="116"/>
  <c r="R23" i="116"/>
  <c r="S23" i="116"/>
  <c r="U23" i="116"/>
  <c r="W23" i="116"/>
  <c r="Y23" i="116"/>
  <c r="AC23" i="116"/>
  <c r="AD23" i="116"/>
  <c r="AF23" i="116"/>
  <c r="AH23" i="116"/>
  <c r="AI23" i="116"/>
  <c r="AJ23" i="116"/>
  <c r="AK23" i="116"/>
  <c r="AW23" i="116"/>
  <c r="AX23" i="116"/>
  <c r="AY23" i="116"/>
  <c r="BB23" i="116"/>
  <c r="BC23" i="116"/>
  <c r="BD23" i="116"/>
  <c r="BE23" i="116"/>
  <c r="BH23" i="116"/>
  <c r="BI23" i="116"/>
  <c r="B24" i="116"/>
  <c r="C24" i="116"/>
  <c r="F24" i="116"/>
  <c r="H24" i="116"/>
  <c r="J24" i="116"/>
  <c r="L24" i="116"/>
  <c r="N24" i="116"/>
  <c r="P24" i="116"/>
  <c r="Q24" i="116"/>
  <c r="R24" i="116"/>
  <c r="S24" i="116"/>
  <c r="U24" i="116"/>
  <c r="W24" i="116"/>
  <c r="Y24" i="116"/>
  <c r="AC24" i="116"/>
  <c r="AD24" i="116"/>
  <c r="AF24" i="116"/>
  <c r="AH24" i="116"/>
  <c r="AI24" i="116"/>
  <c r="AJ24" i="116"/>
  <c r="AK24" i="116"/>
  <c r="AW24" i="116"/>
  <c r="AX24" i="116"/>
  <c r="AY24" i="116"/>
  <c r="BB24" i="116"/>
  <c r="BC24" i="116"/>
  <c r="BD24" i="116"/>
  <c r="BE24" i="116"/>
  <c r="BH24" i="116"/>
  <c r="BI24" i="116"/>
  <c r="B25" i="116"/>
  <c r="C25" i="116"/>
  <c r="F25" i="116"/>
  <c r="H25" i="116"/>
  <c r="J25" i="116"/>
  <c r="L25" i="116"/>
  <c r="N25" i="116"/>
  <c r="P25" i="116"/>
  <c r="Q25" i="116"/>
  <c r="R25" i="116"/>
  <c r="S25" i="116"/>
  <c r="U25" i="116"/>
  <c r="W25" i="116"/>
  <c r="Y25" i="116"/>
  <c r="AC25" i="116"/>
  <c r="AD25" i="116"/>
  <c r="AF25" i="116"/>
  <c r="AH25" i="116"/>
  <c r="AI25" i="116"/>
  <c r="AJ25" i="116"/>
  <c r="AK25" i="116"/>
  <c r="AW25" i="116"/>
  <c r="AX25" i="116"/>
  <c r="AY25" i="116"/>
  <c r="BB25" i="116"/>
  <c r="BC25" i="116"/>
  <c r="BD25" i="116"/>
  <c r="BE25" i="116"/>
  <c r="BH25" i="116"/>
  <c r="BI25" i="116"/>
  <c r="B26" i="116"/>
  <c r="C26" i="116"/>
  <c r="F26" i="116"/>
  <c r="H26" i="116"/>
  <c r="J26" i="116"/>
  <c r="L26" i="116"/>
  <c r="N26" i="116"/>
  <c r="P26" i="116"/>
  <c r="Q26" i="116"/>
  <c r="R26" i="116"/>
  <c r="S26" i="116"/>
  <c r="U26" i="116"/>
  <c r="W26" i="116"/>
  <c r="Y26" i="116"/>
  <c r="AC26" i="116"/>
  <c r="AD26" i="116"/>
  <c r="AF26" i="116"/>
  <c r="AH26" i="116"/>
  <c r="AI26" i="116"/>
  <c r="AJ26" i="116"/>
  <c r="AK26" i="116"/>
  <c r="AW26" i="116"/>
  <c r="AX26" i="116"/>
  <c r="AY26" i="116"/>
  <c r="BB26" i="116"/>
  <c r="BC26" i="116"/>
  <c r="BD26" i="116"/>
  <c r="BE26" i="116"/>
  <c r="BH26" i="116"/>
  <c r="BI26" i="116"/>
  <c r="B27" i="116"/>
  <c r="C27" i="116"/>
  <c r="F27" i="116"/>
  <c r="H27" i="116"/>
  <c r="J27" i="116"/>
  <c r="L27" i="116"/>
  <c r="N27" i="116"/>
  <c r="P27" i="116"/>
  <c r="Q27" i="116"/>
  <c r="R27" i="116"/>
  <c r="S27" i="116"/>
  <c r="U27" i="116"/>
  <c r="W27" i="116"/>
  <c r="Y27" i="116"/>
  <c r="AC27" i="116"/>
  <c r="AD27" i="116"/>
  <c r="AF27" i="116"/>
  <c r="AH27" i="116"/>
  <c r="AI27" i="116"/>
  <c r="AJ27" i="116"/>
  <c r="AK27" i="116"/>
  <c r="AW27" i="116"/>
  <c r="AX27" i="116"/>
  <c r="AY27" i="116"/>
  <c r="BB27" i="116"/>
  <c r="BC27" i="116"/>
  <c r="BD27" i="116"/>
  <c r="BE27" i="116"/>
  <c r="BH27" i="116"/>
  <c r="BI27" i="116"/>
  <c r="B28" i="116"/>
  <c r="C28" i="116"/>
  <c r="F28" i="116"/>
  <c r="H28" i="116"/>
  <c r="J28" i="116"/>
  <c r="L28" i="116"/>
  <c r="N28" i="116"/>
  <c r="P28" i="116"/>
  <c r="Q28" i="116"/>
  <c r="R28" i="116"/>
  <c r="S28" i="116"/>
  <c r="U28" i="116"/>
  <c r="W28" i="116"/>
  <c r="Y28" i="116"/>
  <c r="AC28" i="116"/>
  <c r="AD28" i="116"/>
  <c r="AF28" i="116"/>
  <c r="AH28" i="116"/>
  <c r="AI28" i="116"/>
  <c r="AJ28" i="116"/>
  <c r="AK28" i="116"/>
  <c r="AW28" i="116"/>
  <c r="AX28" i="116"/>
  <c r="AY28" i="116"/>
  <c r="BB28" i="116"/>
  <c r="BC28" i="116"/>
  <c r="BD28" i="116"/>
  <c r="BE28" i="116"/>
  <c r="BH28" i="116"/>
  <c r="BI28" i="116"/>
  <c r="B29" i="116"/>
  <c r="C29" i="116"/>
  <c r="F29" i="116"/>
  <c r="H29" i="116"/>
  <c r="J29" i="116"/>
  <c r="L29" i="116"/>
  <c r="N29" i="116"/>
  <c r="P29" i="116"/>
  <c r="Q29" i="116"/>
  <c r="R29" i="116"/>
  <c r="S29" i="116"/>
  <c r="U29" i="116"/>
  <c r="W29" i="116"/>
  <c r="Y29" i="116"/>
  <c r="AC29" i="116"/>
  <c r="AD29" i="116"/>
  <c r="AF29" i="116"/>
  <c r="AH29" i="116"/>
  <c r="AI29" i="116"/>
  <c r="AJ29" i="116"/>
  <c r="AK29" i="116"/>
  <c r="AW29" i="116"/>
  <c r="AX29" i="116"/>
  <c r="AY29" i="116"/>
  <c r="BB29" i="116"/>
  <c r="BC29" i="116"/>
  <c r="BD29" i="116"/>
  <c r="BE29" i="116"/>
  <c r="BH29" i="116"/>
  <c r="BI29" i="116"/>
  <c r="B30" i="116"/>
  <c r="C30" i="116"/>
  <c r="F30" i="116"/>
  <c r="H30" i="116"/>
  <c r="J30" i="116"/>
  <c r="L30" i="116"/>
  <c r="N30" i="116"/>
  <c r="P30" i="116"/>
  <c r="Q30" i="116"/>
  <c r="R30" i="116"/>
  <c r="S30" i="116"/>
  <c r="U30" i="116"/>
  <c r="W30" i="116"/>
  <c r="Y30" i="116"/>
  <c r="AC30" i="116"/>
  <c r="AD30" i="116"/>
  <c r="AF30" i="116"/>
  <c r="AH30" i="116"/>
  <c r="AI30" i="116"/>
  <c r="AJ30" i="116"/>
  <c r="AK30" i="116"/>
  <c r="AW30" i="116"/>
  <c r="AX30" i="116"/>
  <c r="AY30" i="116"/>
  <c r="BB30" i="116"/>
  <c r="BC30" i="116"/>
  <c r="BD30" i="116"/>
  <c r="BE30" i="116"/>
  <c r="BH30" i="116"/>
  <c r="BI30" i="116"/>
  <c r="B31" i="116"/>
  <c r="C31" i="116"/>
  <c r="F31" i="116"/>
  <c r="H31" i="116"/>
  <c r="J31" i="116"/>
  <c r="L31" i="116"/>
  <c r="N31" i="116"/>
  <c r="P31" i="116"/>
  <c r="Q31" i="116"/>
  <c r="R31" i="116"/>
  <c r="S31" i="116"/>
  <c r="U31" i="116"/>
  <c r="W31" i="116"/>
  <c r="Y31" i="116"/>
  <c r="AC31" i="116"/>
  <c r="AD31" i="116"/>
  <c r="AF31" i="116"/>
  <c r="AH31" i="116"/>
  <c r="AI31" i="116"/>
  <c r="AJ31" i="116"/>
  <c r="AK31" i="116"/>
  <c r="AW31" i="116"/>
  <c r="AX31" i="116"/>
  <c r="AY31" i="116"/>
  <c r="BB31" i="116"/>
  <c r="BC31" i="116"/>
  <c r="BD31" i="116"/>
  <c r="BE31" i="116"/>
  <c r="BH31" i="116"/>
  <c r="BI31" i="116"/>
  <c r="B32" i="116"/>
  <c r="C32" i="116"/>
  <c r="F32" i="116"/>
  <c r="H32" i="116"/>
  <c r="J32" i="116"/>
  <c r="L32" i="116"/>
  <c r="N32" i="116"/>
  <c r="P32" i="116"/>
  <c r="Q32" i="116"/>
  <c r="R32" i="116"/>
  <c r="S32" i="116"/>
  <c r="U32" i="116"/>
  <c r="W32" i="116"/>
  <c r="Y32" i="116"/>
  <c r="AC32" i="116"/>
  <c r="AD32" i="116"/>
  <c r="AF32" i="116"/>
  <c r="AH32" i="116"/>
  <c r="AI32" i="116"/>
  <c r="AJ32" i="116"/>
  <c r="AK32" i="116"/>
  <c r="AW32" i="116"/>
  <c r="AX32" i="116"/>
  <c r="AY32" i="116"/>
  <c r="BB32" i="116"/>
  <c r="BC32" i="116"/>
  <c r="BD32" i="116"/>
  <c r="BE32" i="116"/>
  <c r="BH32" i="116"/>
  <c r="BI32" i="116"/>
  <c r="B33" i="116"/>
  <c r="C33" i="116"/>
  <c r="F33" i="116"/>
  <c r="H33" i="116"/>
  <c r="J33" i="116"/>
  <c r="L33" i="116"/>
  <c r="N33" i="116"/>
  <c r="P33" i="116"/>
  <c r="Q33" i="116"/>
  <c r="R33" i="116"/>
  <c r="S33" i="116"/>
  <c r="U33" i="116"/>
  <c r="W33" i="116"/>
  <c r="Y33" i="116"/>
  <c r="AC33" i="116"/>
  <c r="AD33" i="116"/>
  <c r="AF33" i="116"/>
  <c r="AH33" i="116"/>
  <c r="AI33" i="116"/>
  <c r="AJ33" i="116"/>
  <c r="AK33" i="116"/>
  <c r="AW33" i="116"/>
  <c r="AX33" i="116"/>
  <c r="AY33" i="116"/>
  <c r="BB33" i="116"/>
  <c r="BC33" i="116"/>
  <c r="BD33" i="116"/>
  <c r="BE33" i="116"/>
  <c r="BH33" i="116"/>
  <c r="BI33" i="116"/>
  <c r="B34" i="116"/>
  <c r="C34" i="116"/>
  <c r="F34" i="116"/>
  <c r="H34" i="116"/>
  <c r="J34" i="116"/>
  <c r="L34" i="116"/>
  <c r="N34" i="116"/>
  <c r="P34" i="116"/>
  <c r="Q34" i="116"/>
  <c r="R34" i="116"/>
  <c r="S34" i="116"/>
  <c r="U34" i="116"/>
  <c r="W34" i="116"/>
  <c r="Y34" i="116"/>
  <c r="AC34" i="116"/>
  <c r="AD34" i="116"/>
  <c r="AF34" i="116"/>
  <c r="AH34" i="116"/>
  <c r="AI34" i="116"/>
  <c r="AJ34" i="116"/>
  <c r="AK34" i="116"/>
  <c r="AW34" i="116"/>
  <c r="AX34" i="116"/>
  <c r="AY34" i="116"/>
  <c r="BB34" i="116"/>
  <c r="BC34" i="116"/>
  <c r="BD34" i="116"/>
  <c r="BE34" i="116"/>
  <c r="BH34" i="116"/>
  <c r="BI34" i="116"/>
  <c r="B35" i="116"/>
  <c r="C35" i="116"/>
  <c r="F35" i="116"/>
  <c r="H35" i="116"/>
  <c r="J35" i="116"/>
  <c r="L35" i="116"/>
  <c r="N35" i="116"/>
  <c r="P35" i="116"/>
  <c r="Q35" i="116"/>
  <c r="R35" i="116"/>
  <c r="S35" i="116"/>
  <c r="U35" i="116"/>
  <c r="W35" i="116"/>
  <c r="Y35" i="116"/>
  <c r="AC35" i="116"/>
  <c r="AD35" i="116"/>
  <c r="AF35" i="116"/>
  <c r="AH35" i="116"/>
  <c r="AI35" i="116"/>
  <c r="AJ35" i="116"/>
  <c r="AK35" i="116"/>
  <c r="AW35" i="116"/>
  <c r="AX35" i="116"/>
  <c r="AY35" i="116"/>
  <c r="BB35" i="116"/>
  <c r="BC35" i="116"/>
  <c r="BD35" i="116"/>
  <c r="BE35" i="116"/>
  <c r="BH35" i="116"/>
  <c r="BI35" i="116"/>
  <c r="B36" i="116"/>
  <c r="C36" i="116"/>
  <c r="F36" i="116"/>
  <c r="H36" i="116"/>
  <c r="J36" i="116"/>
  <c r="L36" i="116"/>
  <c r="N36" i="116"/>
  <c r="P36" i="116"/>
  <c r="Q36" i="116"/>
  <c r="R36" i="116"/>
  <c r="S36" i="116"/>
  <c r="U36" i="116"/>
  <c r="W36" i="116"/>
  <c r="Y36" i="116"/>
  <c r="AC36" i="116"/>
  <c r="AD36" i="116"/>
  <c r="AF36" i="116"/>
  <c r="AH36" i="116"/>
  <c r="AI36" i="116"/>
  <c r="AJ36" i="116"/>
  <c r="AK36" i="116"/>
  <c r="AW36" i="116"/>
  <c r="AX36" i="116"/>
  <c r="AY36" i="116"/>
  <c r="BB36" i="116"/>
  <c r="BC36" i="116"/>
  <c r="BD36" i="116"/>
  <c r="BE36" i="116"/>
  <c r="BH36" i="116"/>
  <c r="BI36" i="116"/>
  <c r="B37" i="116"/>
  <c r="C37" i="116"/>
  <c r="F37" i="116"/>
  <c r="H37" i="116"/>
  <c r="J37" i="116"/>
  <c r="L37" i="116"/>
  <c r="N37" i="116"/>
  <c r="P37" i="116"/>
  <c r="Q37" i="116"/>
  <c r="R37" i="116"/>
  <c r="S37" i="116"/>
  <c r="U37" i="116"/>
  <c r="W37" i="116"/>
  <c r="Y37" i="116"/>
  <c r="AC37" i="116"/>
  <c r="AD37" i="116"/>
  <c r="AF37" i="116"/>
  <c r="AH37" i="116"/>
  <c r="AI37" i="116"/>
  <c r="AJ37" i="116"/>
  <c r="AK37" i="116"/>
  <c r="AW37" i="116"/>
  <c r="AX37" i="116"/>
  <c r="AY37" i="116"/>
  <c r="BB37" i="116"/>
  <c r="BC37" i="116"/>
  <c r="BD37" i="116"/>
  <c r="BE37" i="116"/>
  <c r="BH37" i="116"/>
  <c r="BI37" i="116"/>
  <c r="B38" i="116"/>
  <c r="C38" i="116"/>
  <c r="F38" i="116"/>
  <c r="H38" i="116"/>
  <c r="J38" i="116"/>
  <c r="L38" i="116"/>
  <c r="N38" i="116"/>
  <c r="P38" i="116"/>
  <c r="Q38" i="116"/>
  <c r="R38" i="116"/>
  <c r="S38" i="116"/>
  <c r="U38" i="116"/>
  <c r="W38" i="116"/>
  <c r="Y38" i="116"/>
  <c r="AC38" i="116"/>
  <c r="AD38" i="116"/>
  <c r="AF38" i="116"/>
  <c r="AH38" i="116"/>
  <c r="AI38" i="116"/>
  <c r="AJ38" i="116"/>
  <c r="AK38" i="116"/>
  <c r="AW38" i="116"/>
  <c r="AX38" i="116"/>
  <c r="AY38" i="116"/>
  <c r="BB38" i="116"/>
  <c r="BC38" i="116"/>
  <c r="BD38" i="116"/>
  <c r="BE38" i="116"/>
  <c r="BH38" i="116"/>
  <c r="BI38" i="116"/>
  <c r="B39" i="116"/>
  <c r="C39" i="116"/>
  <c r="F39" i="116"/>
  <c r="H39" i="116"/>
  <c r="J39" i="116"/>
  <c r="L39" i="116"/>
  <c r="N39" i="116"/>
  <c r="P39" i="116"/>
  <c r="Q39" i="116"/>
  <c r="R39" i="116"/>
  <c r="S39" i="116"/>
  <c r="U39" i="116"/>
  <c r="W39" i="116"/>
  <c r="Y39" i="116"/>
  <c r="AC39" i="116"/>
  <c r="AD39" i="116"/>
  <c r="AF39" i="116"/>
  <c r="AH39" i="116"/>
  <c r="AI39" i="116"/>
  <c r="AJ39" i="116"/>
  <c r="AK39" i="116"/>
  <c r="AW39" i="116"/>
  <c r="AX39" i="116"/>
  <c r="AY39" i="116"/>
  <c r="BB39" i="116"/>
  <c r="BC39" i="116"/>
  <c r="BD39" i="116"/>
  <c r="BE39" i="116"/>
  <c r="BH39" i="116"/>
  <c r="BI39" i="116"/>
  <c r="B40" i="116"/>
  <c r="C40" i="116"/>
  <c r="F40" i="116"/>
  <c r="H40" i="116"/>
  <c r="J40" i="116"/>
  <c r="L40" i="116"/>
  <c r="N40" i="116"/>
  <c r="P40" i="116"/>
  <c r="Q40" i="116"/>
  <c r="R40" i="116"/>
  <c r="S40" i="116"/>
  <c r="U40" i="116"/>
  <c r="W40" i="116"/>
  <c r="Y40" i="116"/>
  <c r="AC40" i="116"/>
  <c r="AD40" i="116"/>
  <c r="AF40" i="116"/>
  <c r="AH40" i="116"/>
  <c r="AI40" i="116"/>
  <c r="AJ40" i="116"/>
  <c r="AK40" i="116"/>
  <c r="AW40" i="116"/>
  <c r="AX40" i="116"/>
  <c r="AY40" i="116"/>
  <c r="BB40" i="116"/>
  <c r="BC40" i="116"/>
  <c r="BD40" i="116"/>
  <c r="BE40" i="116"/>
  <c r="BH40" i="116"/>
  <c r="BI40" i="116"/>
  <c r="B41" i="116"/>
  <c r="C41" i="116"/>
  <c r="F41" i="116"/>
  <c r="H41" i="116"/>
  <c r="J41" i="116"/>
  <c r="L41" i="116"/>
  <c r="N41" i="116"/>
  <c r="P41" i="116"/>
  <c r="Q41" i="116"/>
  <c r="R41" i="116"/>
  <c r="S41" i="116"/>
  <c r="U41" i="116"/>
  <c r="W41" i="116"/>
  <c r="Y41" i="116"/>
  <c r="AC41" i="116"/>
  <c r="AD41" i="116"/>
  <c r="AF41" i="116"/>
  <c r="AH41" i="116"/>
  <c r="AI41" i="116"/>
  <c r="AJ41" i="116"/>
  <c r="AK41" i="116"/>
  <c r="AW41" i="116"/>
  <c r="AX41" i="116"/>
  <c r="AY41" i="116"/>
  <c r="BB41" i="116"/>
  <c r="BC41" i="116"/>
  <c r="BD41" i="116"/>
  <c r="BE41" i="116"/>
  <c r="BH41" i="116"/>
  <c r="BI41" i="116"/>
  <c r="B42" i="116"/>
  <c r="C42" i="116"/>
  <c r="F42" i="116"/>
  <c r="H42" i="116"/>
  <c r="J42" i="116"/>
  <c r="L42" i="116"/>
  <c r="N42" i="116"/>
  <c r="P42" i="116"/>
  <c r="Q42" i="116"/>
  <c r="R42" i="116"/>
  <c r="S42" i="116"/>
  <c r="U42" i="116"/>
  <c r="W42" i="116"/>
  <c r="Y42" i="116"/>
  <c r="AC42" i="116"/>
  <c r="AD42" i="116"/>
  <c r="AF42" i="116"/>
  <c r="AH42" i="116"/>
  <c r="AI42" i="116"/>
  <c r="AJ42" i="116"/>
  <c r="AK42" i="116"/>
  <c r="AW42" i="116"/>
  <c r="AX42" i="116"/>
  <c r="AY42" i="116"/>
  <c r="BB42" i="116"/>
  <c r="BC42" i="116"/>
  <c r="BD42" i="116"/>
  <c r="BE42" i="116"/>
  <c r="BH42" i="116"/>
  <c r="BI42" i="116"/>
  <c r="B43" i="116"/>
  <c r="C43" i="116"/>
  <c r="F43" i="116"/>
  <c r="H43" i="116"/>
  <c r="J43" i="116"/>
  <c r="L43" i="116"/>
  <c r="N43" i="116"/>
  <c r="P43" i="116"/>
  <c r="Q43" i="116"/>
  <c r="R43" i="116"/>
  <c r="S43" i="116"/>
  <c r="U43" i="116"/>
  <c r="W43" i="116"/>
  <c r="Y43" i="116"/>
  <c r="AC43" i="116"/>
  <c r="AD43" i="116"/>
  <c r="AF43" i="116"/>
  <c r="AH43" i="116"/>
  <c r="AI43" i="116"/>
  <c r="AJ43" i="116"/>
  <c r="AK43" i="116"/>
  <c r="AW43" i="116"/>
  <c r="AX43" i="116"/>
  <c r="AY43" i="116"/>
  <c r="BB43" i="116"/>
  <c r="BC43" i="116"/>
  <c r="BD43" i="116"/>
  <c r="BE43" i="116"/>
  <c r="BH43" i="116"/>
  <c r="BI43" i="116"/>
  <c r="B44" i="116"/>
  <c r="C44" i="116"/>
  <c r="F44" i="116"/>
  <c r="H44" i="116"/>
  <c r="J44" i="116"/>
  <c r="L44" i="116"/>
  <c r="N44" i="116"/>
  <c r="P44" i="116"/>
  <c r="Q44" i="116"/>
  <c r="R44" i="116"/>
  <c r="S44" i="116"/>
  <c r="U44" i="116"/>
  <c r="W44" i="116"/>
  <c r="Y44" i="116"/>
  <c r="AC44" i="116"/>
  <c r="AD44" i="116"/>
  <c r="AF44" i="116"/>
  <c r="AH44" i="116"/>
  <c r="AI44" i="116"/>
  <c r="AJ44" i="116"/>
  <c r="AK44" i="116"/>
  <c r="AW44" i="116"/>
  <c r="AX44" i="116"/>
  <c r="AY44" i="116"/>
  <c r="BB44" i="116"/>
  <c r="BC44" i="116"/>
  <c r="BD44" i="116"/>
  <c r="BE44" i="116"/>
  <c r="BH44" i="116"/>
  <c r="BI44" i="116"/>
  <c r="B45" i="116"/>
  <c r="C45" i="116"/>
  <c r="F45" i="116"/>
  <c r="H45" i="116"/>
  <c r="J45" i="116"/>
  <c r="L45" i="116"/>
  <c r="N45" i="116"/>
  <c r="P45" i="116"/>
  <c r="Q45" i="116"/>
  <c r="R45" i="116"/>
  <c r="S45" i="116"/>
  <c r="U45" i="116"/>
  <c r="W45" i="116"/>
  <c r="Y45" i="116"/>
  <c r="AC45" i="116"/>
  <c r="AD45" i="116"/>
  <c r="AF45" i="116"/>
  <c r="AH45" i="116"/>
  <c r="AI45" i="116"/>
  <c r="AJ45" i="116"/>
  <c r="AK45" i="116"/>
  <c r="AW45" i="116"/>
  <c r="AX45" i="116"/>
  <c r="AY45" i="116"/>
  <c r="BB45" i="116"/>
  <c r="BC45" i="116"/>
  <c r="BD45" i="116"/>
  <c r="BE45" i="116"/>
  <c r="BH45" i="116"/>
  <c r="BI45" i="116"/>
  <c r="B46" i="116"/>
  <c r="C46" i="116"/>
  <c r="F46" i="116"/>
  <c r="H46" i="116"/>
  <c r="J46" i="116"/>
  <c r="L46" i="116"/>
  <c r="N46" i="116"/>
  <c r="P46" i="116"/>
  <c r="Q46" i="116"/>
  <c r="R46" i="116"/>
  <c r="S46" i="116"/>
  <c r="U46" i="116"/>
  <c r="W46" i="116"/>
  <c r="Y46" i="116"/>
  <c r="AC46" i="116"/>
  <c r="AD46" i="116"/>
  <c r="AF46" i="116"/>
  <c r="AH46" i="116"/>
  <c r="AI46" i="116"/>
  <c r="AJ46" i="116"/>
  <c r="AK46" i="116"/>
  <c r="AW46" i="116"/>
  <c r="AX46" i="116"/>
  <c r="AY46" i="116"/>
  <c r="BB46" i="116"/>
  <c r="BC46" i="116"/>
  <c r="BD46" i="116"/>
  <c r="BE46" i="116"/>
  <c r="BH46" i="116"/>
  <c r="BI46" i="116"/>
  <c r="B47" i="116"/>
  <c r="C47" i="116"/>
  <c r="F47" i="116"/>
  <c r="H47" i="116"/>
  <c r="J47" i="116"/>
  <c r="L47" i="116"/>
  <c r="N47" i="116"/>
  <c r="P47" i="116"/>
  <c r="Q47" i="116"/>
  <c r="R47" i="116"/>
  <c r="S47" i="116"/>
  <c r="U47" i="116"/>
  <c r="W47" i="116"/>
  <c r="Y47" i="116"/>
  <c r="AC47" i="116"/>
  <c r="AD47" i="116"/>
  <c r="AF47" i="116"/>
  <c r="AH47" i="116"/>
  <c r="AI47" i="116"/>
  <c r="AJ47" i="116"/>
  <c r="AK47" i="116"/>
  <c r="AW47" i="116"/>
  <c r="AX47" i="116"/>
  <c r="AY47" i="116"/>
  <c r="BB47" i="116"/>
  <c r="BC47" i="116"/>
  <c r="BD47" i="116"/>
  <c r="BE47" i="116"/>
  <c r="BH47" i="116"/>
  <c r="BI47" i="116"/>
  <c r="B48" i="116"/>
  <c r="C48" i="116"/>
  <c r="F48" i="116"/>
  <c r="H48" i="116"/>
  <c r="J48" i="116"/>
  <c r="L48" i="116"/>
  <c r="N48" i="116"/>
  <c r="P48" i="116"/>
  <c r="Q48" i="116"/>
  <c r="R48" i="116"/>
  <c r="S48" i="116"/>
  <c r="U48" i="116"/>
  <c r="W48" i="116"/>
  <c r="Y48" i="116"/>
  <c r="AC48" i="116"/>
  <c r="AD48" i="116"/>
  <c r="AF48" i="116"/>
  <c r="AH48" i="116"/>
  <c r="AI48" i="116"/>
  <c r="AJ48" i="116"/>
  <c r="AK48" i="116"/>
  <c r="AW48" i="116"/>
  <c r="AX48" i="116"/>
  <c r="AY48" i="116"/>
  <c r="BB48" i="116"/>
  <c r="BC48" i="116"/>
  <c r="BD48" i="116"/>
  <c r="BE48" i="116"/>
  <c r="BH48" i="116"/>
  <c r="BI48" i="116"/>
  <c r="B49" i="116"/>
  <c r="C49" i="116"/>
  <c r="F49" i="116"/>
  <c r="H49" i="116"/>
  <c r="J49" i="116"/>
  <c r="L49" i="116"/>
  <c r="N49" i="116"/>
  <c r="P49" i="116"/>
  <c r="Q49" i="116"/>
  <c r="R49" i="116"/>
  <c r="S49" i="116"/>
  <c r="U49" i="116"/>
  <c r="W49" i="116"/>
  <c r="Y49" i="116"/>
  <c r="AC49" i="116"/>
  <c r="AD49" i="116"/>
  <c r="AF49" i="116"/>
  <c r="AH49" i="116"/>
  <c r="AI49" i="116"/>
  <c r="AJ49" i="116"/>
  <c r="AK49" i="116"/>
  <c r="AW49" i="116"/>
  <c r="AX49" i="116"/>
  <c r="AY49" i="116"/>
  <c r="BB49" i="116"/>
  <c r="BC49" i="116"/>
  <c r="BD49" i="116"/>
  <c r="BE49" i="116"/>
  <c r="BH49" i="116"/>
  <c r="BI49" i="116"/>
  <c r="B50" i="116"/>
  <c r="C50" i="116"/>
  <c r="F50" i="116"/>
  <c r="H50" i="116"/>
  <c r="J50" i="116"/>
  <c r="L50" i="116"/>
  <c r="N50" i="116"/>
  <c r="P50" i="116"/>
  <c r="Q50" i="116"/>
  <c r="R50" i="116"/>
  <c r="S50" i="116"/>
  <c r="U50" i="116"/>
  <c r="W50" i="116"/>
  <c r="Y50" i="116"/>
  <c r="AC50" i="116"/>
  <c r="AD50" i="116"/>
  <c r="AF50" i="116"/>
  <c r="AH50" i="116"/>
  <c r="AI50" i="116"/>
  <c r="AJ50" i="116"/>
  <c r="AK50" i="116"/>
  <c r="AW50" i="116"/>
  <c r="AX50" i="116"/>
  <c r="AY50" i="116"/>
  <c r="BB50" i="116"/>
  <c r="BC50" i="116"/>
  <c r="BD50" i="116"/>
  <c r="BE50" i="116"/>
  <c r="BH50" i="116"/>
  <c r="BI50" i="116"/>
  <c r="C51" i="116"/>
  <c r="D51" i="116"/>
  <c r="E51" i="116"/>
  <c r="F51" i="116"/>
  <c r="G51" i="116"/>
  <c r="H51" i="116"/>
  <c r="I51" i="116"/>
  <c r="J51" i="116"/>
  <c r="K51" i="116"/>
  <c r="L51" i="116"/>
  <c r="M51" i="116"/>
  <c r="N51" i="116"/>
  <c r="O51" i="116"/>
  <c r="P51" i="116"/>
  <c r="Q51" i="116"/>
  <c r="R51" i="116"/>
  <c r="S51" i="116"/>
  <c r="T51" i="116"/>
  <c r="U51" i="116"/>
  <c r="V51" i="116"/>
  <c r="W51" i="116"/>
  <c r="X51" i="116"/>
  <c r="Y51" i="116"/>
  <c r="AD51" i="116"/>
  <c r="AE51" i="116"/>
  <c r="AF51" i="116"/>
  <c r="AG51" i="116"/>
  <c r="AH51" i="116"/>
  <c r="AI51" i="116"/>
  <c r="AJ51" i="116"/>
  <c r="AK51" i="116"/>
  <c r="AX51" i="116"/>
  <c r="AY51" i="116"/>
  <c r="AZ51" i="116"/>
  <c r="BA51" i="116"/>
  <c r="BB51" i="116"/>
  <c r="BC51" i="116"/>
  <c r="BD51" i="116"/>
  <c r="BE51" i="116"/>
  <c r="BF51" i="116"/>
  <c r="BG51" i="116"/>
  <c r="BH51" i="116"/>
  <c r="BI51" i="116"/>
  <c r="AN10" i="115"/>
  <c r="AO10" i="115"/>
  <c r="AQ10" i="115"/>
  <c r="AS10" i="115"/>
  <c r="AT10" i="115"/>
  <c r="B11" i="115"/>
  <c r="C11" i="115"/>
  <c r="F11" i="115"/>
  <c r="H11" i="115"/>
  <c r="J11" i="115"/>
  <c r="L11" i="115"/>
  <c r="N11" i="115"/>
  <c r="P11" i="115"/>
  <c r="Q11" i="115"/>
  <c r="R11" i="115"/>
  <c r="S11" i="115"/>
  <c r="U11" i="115"/>
  <c r="W11" i="115"/>
  <c r="Y11" i="115"/>
  <c r="AC11" i="115"/>
  <c r="AD11" i="115"/>
  <c r="AF11" i="115"/>
  <c r="AH11" i="115"/>
  <c r="AI11" i="115"/>
  <c r="AJ11" i="115"/>
  <c r="AK11" i="115"/>
  <c r="AN11" i="115"/>
  <c r="AO11" i="115"/>
  <c r="AQ11" i="115"/>
  <c r="AS11" i="115"/>
  <c r="AT11" i="115"/>
  <c r="AW11" i="115"/>
  <c r="AX11" i="115"/>
  <c r="AY11" i="115"/>
  <c r="BB11" i="115"/>
  <c r="BC11" i="115"/>
  <c r="BD11" i="115"/>
  <c r="BE11" i="115"/>
  <c r="BH11" i="115"/>
  <c r="BI11" i="115"/>
  <c r="B12" i="115"/>
  <c r="C12" i="115"/>
  <c r="F12" i="115"/>
  <c r="H12" i="115"/>
  <c r="J12" i="115"/>
  <c r="L12" i="115"/>
  <c r="N12" i="115"/>
  <c r="P12" i="115"/>
  <c r="Q12" i="115"/>
  <c r="R12" i="115"/>
  <c r="S12" i="115"/>
  <c r="U12" i="115"/>
  <c r="W12" i="115"/>
  <c r="Y12" i="115"/>
  <c r="AC12" i="115"/>
  <c r="AD12" i="115"/>
  <c r="AF12" i="115"/>
  <c r="AH12" i="115"/>
  <c r="AI12" i="115"/>
  <c r="AJ12" i="115"/>
  <c r="AK12" i="115"/>
  <c r="AN12" i="115"/>
  <c r="AO12" i="115"/>
  <c r="AQ12" i="115"/>
  <c r="AS12" i="115"/>
  <c r="AT12" i="115"/>
  <c r="AW12" i="115"/>
  <c r="AX12" i="115"/>
  <c r="AY12" i="115"/>
  <c r="BB12" i="115"/>
  <c r="BC12" i="115"/>
  <c r="BD12" i="115"/>
  <c r="BE12" i="115"/>
  <c r="BH12" i="115"/>
  <c r="BI12" i="115"/>
  <c r="B13" i="115"/>
  <c r="C13" i="115"/>
  <c r="F13" i="115"/>
  <c r="H13" i="115"/>
  <c r="J13" i="115"/>
  <c r="L13" i="115"/>
  <c r="N13" i="115"/>
  <c r="P13" i="115"/>
  <c r="Q13" i="115"/>
  <c r="R13" i="115"/>
  <c r="S13" i="115"/>
  <c r="U13" i="115"/>
  <c r="W13" i="115"/>
  <c r="Y13" i="115"/>
  <c r="AC13" i="115"/>
  <c r="AD13" i="115"/>
  <c r="AF13" i="115"/>
  <c r="AH13" i="115"/>
  <c r="AI13" i="115"/>
  <c r="AJ13" i="115"/>
  <c r="AK13" i="115"/>
  <c r="AO13" i="115"/>
  <c r="AP13" i="115"/>
  <c r="AQ13" i="115"/>
  <c r="AR13" i="115"/>
  <c r="AS13" i="115"/>
  <c r="AT13" i="115"/>
  <c r="AW13" i="115"/>
  <c r="AX13" i="115"/>
  <c r="AY13" i="115"/>
  <c r="BB13" i="115"/>
  <c r="BC13" i="115"/>
  <c r="BD13" i="115"/>
  <c r="BE13" i="115"/>
  <c r="BH13" i="115"/>
  <c r="BI13" i="115"/>
  <c r="B14" i="115"/>
  <c r="C14" i="115"/>
  <c r="F14" i="115"/>
  <c r="H14" i="115"/>
  <c r="J14" i="115"/>
  <c r="L14" i="115"/>
  <c r="N14" i="115"/>
  <c r="P14" i="115"/>
  <c r="Q14" i="115"/>
  <c r="R14" i="115"/>
  <c r="S14" i="115"/>
  <c r="U14" i="115"/>
  <c r="W14" i="115"/>
  <c r="Y14" i="115"/>
  <c r="AC14" i="115"/>
  <c r="AD14" i="115"/>
  <c r="AF14" i="115"/>
  <c r="AH14" i="115"/>
  <c r="AI14" i="115"/>
  <c r="AJ14" i="115"/>
  <c r="AK14" i="115"/>
  <c r="AT14" i="115"/>
  <c r="AW14" i="115"/>
  <c r="AX14" i="115"/>
  <c r="AY14" i="115"/>
  <c r="BB14" i="115"/>
  <c r="BC14" i="115"/>
  <c r="BD14" i="115"/>
  <c r="BE14" i="115"/>
  <c r="BH14" i="115"/>
  <c r="BI14" i="115"/>
  <c r="B15" i="115"/>
  <c r="C15" i="115"/>
  <c r="F15" i="115"/>
  <c r="H15" i="115"/>
  <c r="J15" i="115"/>
  <c r="L15" i="115"/>
  <c r="N15" i="115"/>
  <c r="P15" i="115"/>
  <c r="Q15" i="115"/>
  <c r="R15" i="115"/>
  <c r="S15" i="115"/>
  <c r="U15" i="115"/>
  <c r="W15" i="115"/>
  <c r="Y15" i="115"/>
  <c r="AC15" i="115"/>
  <c r="AD15" i="115"/>
  <c r="AF15" i="115"/>
  <c r="AH15" i="115"/>
  <c r="AI15" i="115"/>
  <c r="AJ15" i="115"/>
  <c r="AK15" i="115"/>
  <c r="AW15" i="115"/>
  <c r="AX15" i="115"/>
  <c r="AY15" i="115"/>
  <c r="BB15" i="115"/>
  <c r="BC15" i="115"/>
  <c r="BD15" i="115"/>
  <c r="BE15" i="115"/>
  <c r="BH15" i="115"/>
  <c r="BI15" i="115"/>
  <c r="B16" i="115"/>
  <c r="C16" i="115"/>
  <c r="F16" i="115"/>
  <c r="H16" i="115"/>
  <c r="J16" i="115"/>
  <c r="L16" i="115"/>
  <c r="N16" i="115"/>
  <c r="P16" i="115"/>
  <c r="Q16" i="115"/>
  <c r="R16" i="115"/>
  <c r="S16" i="115"/>
  <c r="U16" i="115"/>
  <c r="W16" i="115"/>
  <c r="Y16" i="115"/>
  <c r="AC16" i="115"/>
  <c r="AD16" i="115"/>
  <c r="AF16" i="115"/>
  <c r="AH16" i="115"/>
  <c r="AI16" i="115"/>
  <c r="AJ16" i="115"/>
  <c r="AK16" i="115"/>
  <c r="AW16" i="115"/>
  <c r="AX16" i="115"/>
  <c r="AY16" i="115"/>
  <c r="BB16" i="115"/>
  <c r="BC16" i="115"/>
  <c r="BD16" i="115"/>
  <c r="BE16" i="115"/>
  <c r="BH16" i="115"/>
  <c r="BI16" i="115"/>
  <c r="B17" i="115"/>
  <c r="C17" i="115"/>
  <c r="F17" i="115"/>
  <c r="H17" i="115"/>
  <c r="J17" i="115"/>
  <c r="L17" i="115"/>
  <c r="N17" i="115"/>
  <c r="P17" i="115"/>
  <c r="Q17" i="115"/>
  <c r="R17" i="115"/>
  <c r="S17" i="115"/>
  <c r="U17" i="115"/>
  <c r="W17" i="115"/>
  <c r="Y17" i="115"/>
  <c r="AC17" i="115"/>
  <c r="AD17" i="115"/>
  <c r="AF17" i="115"/>
  <c r="AH17" i="115"/>
  <c r="AI17" i="115"/>
  <c r="AJ17" i="115"/>
  <c r="AK17" i="115"/>
  <c r="AW17" i="115"/>
  <c r="AX17" i="115"/>
  <c r="AY17" i="115"/>
  <c r="BB17" i="115"/>
  <c r="BC17" i="115"/>
  <c r="BD17" i="115"/>
  <c r="BE17" i="115"/>
  <c r="BH17" i="115"/>
  <c r="BI17" i="115"/>
  <c r="B18" i="115"/>
  <c r="C18" i="115"/>
  <c r="F18" i="115"/>
  <c r="H18" i="115"/>
  <c r="J18" i="115"/>
  <c r="L18" i="115"/>
  <c r="N18" i="115"/>
  <c r="P18" i="115"/>
  <c r="Q18" i="115"/>
  <c r="R18" i="115"/>
  <c r="S18" i="115"/>
  <c r="U18" i="115"/>
  <c r="W18" i="115"/>
  <c r="Y18" i="115"/>
  <c r="AC18" i="115"/>
  <c r="AD18" i="115"/>
  <c r="AF18" i="115"/>
  <c r="AH18" i="115"/>
  <c r="AI18" i="115"/>
  <c r="AJ18" i="115"/>
  <c r="AK18" i="115"/>
  <c r="AW18" i="115"/>
  <c r="AX18" i="115"/>
  <c r="AY18" i="115"/>
  <c r="BB18" i="115"/>
  <c r="BC18" i="115"/>
  <c r="BD18" i="115"/>
  <c r="BE18" i="115"/>
  <c r="BH18" i="115"/>
  <c r="BI18" i="115"/>
  <c r="B19" i="115"/>
  <c r="C19" i="115"/>
  <c r="F19" i="115"/>
  <c r="H19" i="115"/>
  <c r="J19" i="115"/>
  <c r="L19" i="115"/>
  <c r="N19" i="115"/>
  <c r="P19" i="115"/>
  <c r="Q19" i="115"/>
  <c r="R19" i="115"/>
  <c r="S19" i="115"/>
  <c r="U19" i="115"/>
  <c r="W19" i="115"/>
  <c r="Y19" i="115"/>
  <c r="AC19" i="115"/>
  <c r="AD19" i="115"/>
  <c r="AF19" i="115"/>
  <c r="AH19" i="115"/>
  <c r="AI19" i="115"/>
  <c r="AJ19" i="115"/>
  <c r="AK19" i="115"/>
  <c r="AW19" i="115"/>
  <c r="AX19" i="115"/>
  <c r="AY19" i="115"/>
  <c r="BB19" i="115"/>
  <c r="BC19" i="115"/>
  <c r="BD19" i="115"/>
  <c r="BE19" i="115"/>
  <c r="BH19" i="115"/>
  <c r="BI19" i="115"/>
  <c r="B20" i="115"/>
  <c r="C20" i="115"/>
  <c r="F20" i="115"/>
  <c r="H20" i="115"/>
  <c r="J20" i="115"/>
  <c r="L20" i="115"/>
  <c r="N20" i="115"/>
  <c r="P20" i="115"/>
  <c r="Q20" i="115"/>
  <c r="R20" i="115"/>
  <c r="S20" i="115"/>
  <c r="U20" i="115"/>
  <c r="W20" i="115"/>
  <c r="Y20" i="115"/>
  <c r="AC20" i="115"/>
  <c r="AD20" i="115"/>
  <c r="AF20" i="115"/>
  <c r="AH20" i="115"/>
  <c r="AI20" i="115"/>
  <c r="AJ20" i="115"/>
  <c r="AK20" i="115"/>
  <c r="AW20" i="115"/>
  <c r="AX20" i="115"/>
  <c r="AY20" i="115"/>
  <c r="BB20" i="115"/>
  <c r="BC20" i="115"/>
  <c r="BD20" i="115"/>
  <c r="BE20" i="115"/>
  <c r="BH20" i="115"/>
  <c r="BI20" i="115"/>
  <c r="B21" i="115"/>
  <c r="C21" i="115"/>
  <c r="F21" i="115"/>
  <c r="H21" i="115"/>
  <c r="J21" i="115"/>
  <c r="L21" i="115"/>
  <c r="N21" i="115"/>
  <c r="P21" i="115"/>
  <c r="Q21" i="115"/>
  <c r="R21" i="115"/>
  <c r="S21" i="115"/>
  <c r="U21" i="115"/>
  <c r="W21" i="115"/>
  <c r="Y21" i="115"/>
  <c r="AC21" i="115"/>
  <c r="AD21" i="115"/>
  <c r="AF21" i="115"/>
  <c r="AH21" i="115"/>
  <c r="AI21" i="115"/>
  <c r="AJ21" i="115"/>
  <c r="AK21" i="115"/>
  <c r="AW21" i="115"/>
  <c r="AX21" i="115"/>
  <c r="AY21" i="115"/>
  <c r="BB21" i="115"/>
  <c r="BC21" i="115"/>
  <c r="BD21" i="115"/>
  <c r="BE21" i="115"/>
  <c r="BH21" i="115"/>
  <c r="BI21" i="115"/>
  <c r="B22" i="115"/>
  <c r="C22" i="115"/>
  <c r="F22" i="115"/>
  <c r="H22" i="115"/>
  <c r="J22" i="115"/>
  <c r="L22" i="115"/>
  <c r="N22" i="115"/>
  <c r="P22" i="115"/>
  <c r="Q22" i="115"/>
  <c r="R22" i="115"/>
  <c r="S22" i="115"/>
  <c r="U22" i="115"/>
  <c r="W22" i="115"/>
  <c r="Y22" i="115"/>
  <c r="AC22" i="115"/>
  <c r="AD22" i="115"/>
  <c r="AF22" i="115"/>
  <c r="AH22" i="115"/>
  <c r="AI22" i="115"/>
  <c r="AJ22" i="115"/>
  <c r="AK22" i="115"/>
  <c r="AW22" i="115"/>
  <c r="AX22" i="115"/>
  <c r="AY22" i="115"/>
  <c r="BB22" i="115"/>
  <c r="BC22" i="115"/>
  <c r="BD22" i="115"/>
  <c r="BE22" i="115"/>
  <c r="BH22" i="115"/>
  <c r="BI22" i="115"/>
  <c r="B23" i="115"/>
  <c r="C23" i="115"/>
  <c r="F23" i="115"/>
  <c r="H23" i="115"/>
  <c r="J23" i="115"/>
  <c r="L23" i="115"/>
  <c r="N23" i="115"/>
  <c r="P23" i="115"/>
  <c r="Q23" i="115"/>
  <c r="R23" i="115"/>
  <c r="S23" i="115"/>
  <c r="U23" i="115"/>
  <c r="W23" i="115"/>
  <c r="Y23" i="115"/>
  <c r="AC23" i="115"/>
  <c r="AD23" i="115"/>
  <c r="AF23" i="115"/>
  <c r="AH23" i="115"/>
  <c r="AI23" i="115"/>
  <c r="AJ23" i="115"/>
  <c r="AK23" i="115"/>
  <c r="AW23" i="115"/>
  <c r="AX23" i="115"/>
  <c r="AY23" i="115"/>
  <c r="BB23" i="115"/>
  <c r="BC23" i="115"/>
  <c r="BD23" i="115"/>
  <c r="BE23" i="115"/>
  <c r="BH23" i="115"/>
  <c r="BI23" i="115"/>
  <c r="B24" i="115"/>
  <c r="C24" i="115"/>
  <c r="F24" i="115"/>
  <c r="H24" i="115"/>
  <c r="J24" i="115"/>
  <c r="L24" i="115"/>
  <c r="N24" i="115"/>
  <c r="P24" i="115"/>
  <c r="Q24" i="115"/>
  <c r="R24" i="115"/>
  <c r="S24" i="115"/>
  <c r="U24" i="115"/>
  <c r="W24" i="115"/>
  <c r="Y24" i="115"/>
  <c r="AC24" i="115"/>
  <c r="AD24" i="115"/>
  <c r="AF24" i="115"/>
  <c r="AH24" i="115"/>
  <c r="AI24" i="115"/>
  <c r="AJ24" i="115"/>
  <c r="AK24" i="115"/>
  <c r="AW24" i="115"/>
  <c r="AX24" i="115"/>
  <c r="AY24" i="115"/>
  <c r="BB24" i="115"/>
  <c r="BC24" i="115"/>
  <c r="BD24" i="115"/>
  <c r="BE24" i="115"/>
  <c r="BH24" i="115"/>
  <c r="BI24" i="115"/>
  <c r="B25" i="115"/>
  <c r="C25" i="115"/>
  <c r="F25" i="115"/>
  <c r="H25" i="115"/>
  <c r="J25" i="115"/>
  <c r="L25" i="115"/>
  <c r="N25" i="115"/>
  <c r="P25" i="115"/>
  <c r="Q25" i="115"/>
  <c r="R25" i="115"/>
  <c r="S25" i="115"/>
  <c r="U25" i="115"/>
  <c r="W25" i="115"/>
  <c r="Y25" i="115"/>
  <c r="AC25" i="115"/>
  <c r="AD25" i="115"/>
  <c r="AF25" i="115"/>
  <c r="AH25" i="115"/>
  <c r="AI25" i="115"/>
  <c r="AJ25" i="115"/>
  <c r="AK25" i="115"/>
  <c r="AW25" i="115"/>
  <c r="AX25" i="115"/>
  <c r="AY25" i="115"/>
  <c r="BB25" i="115"/>
  <c r="BC25" i="115"/>
  <c r="BD25" i="115"/>
  <c r="BE25" i="115"/>
  <c r="BH25" i="115"/>
  <c r="BI25" i="115"/>
  <c r="B26" i="115"/>
  <c r="C26" i="115"/>
  <c r="F26" i="115"/>
  <c r="H26" i="115"/>
  <c r="J26" i="115"/>
  <c r="L26" i="115"/>
  <c r="N26" i="115"/>
  <c r="P26" i="115"/>
  <c r="Q26" i="115"/>
  <c r="R26" i="115"/>
  <c r="S26" i="115"/>
  <c r="U26" i="115"/>
  <c r="W26" i="115"/>
  <c r="Y26" i="115"/>
  <c r="AC26" i="115"/>
  <c r="AD26" i="115"/>
  <c r="AF26" i="115"/>
  <c r="AH26" i="115"/>
  <c r="AI26" i="115"/>
  <c r="AJ26" i="115"/>
  <c r="AK26" i="115"/>
  <c r="AW26" i="115"/>
  <c r="AX26" i="115"/>
  <c r="AY26" i="115"/>
  <c r="BB26" i="115"/>
  <c r="BC26" i="115"/>
  <c r="BD26" i="115"/>
  <c r="BE26" i="115"/>
  <c r="BH26" i="115"/>
  <c r="BI26" i="115"/>
  <c r="B27" i="115"/>
  <c r="C27" i="115"/>
  <c r="F27" i="115"/>
  <c r="H27" i="115"/>
  <c r="J27" i="115"/>
  <c r="L27" i="115"/>
  <c r="N27" i="115"/>
  <c r="P27" i="115"/>
  <c r="Q27" i="115"/>
  <c r="R27" i="115"/>
  <c r="S27" i="115"/>
  <c r="U27" i="115"/>
  <c r="W27" i="115"/>
  <c r="Y27" i="115"/>
  <c r="AC27" i="115"/>
  <c r="AD27" i="115"/>
  <c r="AF27" i="115"/>
  <c r="AH27" i="115"/>
  <c r="AI27" i="115"/>
  <c r="AJ27" i="115"/>
  <c r="AK27" i="115"/>
  <c r="AW27" i="115"/>
  <c r="AX27" i="115"/>
  <c r="AY27" i="115"/>
  <c r="BB27" i="115"/>
  <c r="BC27" i="115"/>
  <c r="BD27" i="115"/>
  <c r="BE27" i="115"/>
  <c r="BH27" i="115"/>
  <c r="BI27" i="115"/>
  <c r="B28" i="115"/>
  <c r="C28" i="115"/>
  <c r="F28" i="115"/>
  <c r="H28" i="115"/>
  <c r="J28" i="115"/>
  <c r="L28" i="115"/>
  <c r="N28" i="115"/>
  <c r="P28" i="115"/>
  <c r="Q28" i="115"/>
  <c r="R28" i="115"/>
  <c r="S28" i="115"/>
  <c r="U28" i="115"/>
  <c r="W28" i="115"/>
  <c r="Y28" i="115"/>
  <c r="AC28" i="115"/>
  <c r="AD28" i="115"/>
  <c r="AF28" i="115"/>
  <c r="AH28" i="115"/>
  <c r="AI28" i="115"/>
  <c r="AJ28" i="115"/>
  <c r="AK28" i="115"/>
  <c r="AW28" i="115"/>
  <c r="AX28" i="115"/>
  <c r="AY28" i="115"/>
  <c r="BB28" i="115"/>
  <c r="BC28" i="115"/>
  <c r="BD28" i="115"/>
  <c r="BE28" i="115"/>
  <c r="BH28" i="115"/>
  <c r="BI28" i="115"/>
  <c r="B29" i="115"/>
  <c r="C29" i="115"/>
  <c r="F29" i="115"/>
  <c r="H29" i="115"/>
  <c r="J29" i="115"/>
  <c r="L29" i="115"/>
  <c r="N29" i="115"/>
  <c r="P29" i="115"/>
  <c r="Q29" i="115"/>
  <c r="R29" i="115"/>
  <c r="S29" i="115"/>
  <c r="U29" i="115"/>
  <c r="W29" i="115"/>
  <c r="Y29" i="115"/>
  <c r="AC29" i="115"/>
  <c r="AD29" i="115"/>
  <c r="AF29" i="115"/>
  <c r="AH29" i="115"/>
  <c r="AI29" i="115"/>
  <c r="AJ29" i="115"/>
  <c r="AK29" i="115"/>
  <c r="AW29" i="115"/>
  <c r="AX29" i="115"/>
  <c r="AY29" i="115"/>
  <c r="BB29" i="115"/>
  <c r="BC29" i="115"/>
  <c r="BD29" i="115"/>
  <c r="BE29" i="115"/>
  <c r="BH29" i="115"/>
  <c r="BI29" i="115"/>
  <c r="B30" i="115"/>
  <c r="C30" i="115"/>
  <c r="F30" i="115"/>
  <c r="H30" i="115"/>
  <c r="J30" i="115"/>
  <c r="L30" i="115"/>
  <c r="N30" i="115"/>
  <c r="P30" i="115"/>
  <c r="Q30" i="115"/>
  <c r="R30" i="115"/>
  <c r="S30" i="115"/>
  <c r="U30" i="115"/>
  <c r="W30" i="115"/>
  <c r="Y30" i="115"/>
  <c r="AC30" i="115"/>
  <c r="AD30" i="115"/>
  <c r="AF30" i="115"/>
  <c r="AH30" i="115"/>
  <c r="AI30" i="115"/>
  <c r="AJ30" i="115"/>
  <c r="AK30" i="115"/>
  <c r="AW30" i="115"/>
  <c r="AX30" i="115"/>
  <c r="AY30" i="115"/>
  <c r="BB30" i="115"/>
  <c r="BC30" i="115"/>
  <c r="BD30" i="115"/>
  <c r="BE30" i="115"/>
  <c r="BH30" i="115"/>
  <c r="BI30" i="115"/>
  <c r="B31" i="115"/>
  <c r="C31" i="115"/>
  <c r="F31" i="115"/>
  <c r="H31" i="115"/>
  <c r="J31" i="115"/>
  <c r="L31" i="115"/>
  <c r="N31" i="115"/>
  <c r="P31" i="115"/>
  <c r="Q31" i="115"/>
  <c r="R31" i="115"/>
  <c r="S31" i="115"/>
  <c r="U31" i="115"/>
  <c r="W31" i="115"/>
  <c r="Y31" i="115"/>
  <c r="AC31" i="115"/>
  <c r="AD31" i="115"/>
  <c r="AF31" i="115"/>
  <c r="AH31" i="115"/>
  <c r="AI31" i="115"/>
  <c r="AJ31" i="115"/>
  <c r="AK31" i="115"/>
  <c r="AW31" i="115"/>
  <c r="AX31" i="115"/>
  <c r="AY31" i="115"/>
  <c r="BB31" i="115"/>
  <c r="BC31" i="115"/>
  <c r="BD31" i="115"/>
  <c r="BE31" i="115"/>
  <c r="BH31" i="115"/>
  <c r="BI31" i="115"/>
  <c r="B32" i="115"/>
  <c r="C32" i="115"/>
  <c r="F32" i="115"/>
  <c r="H32" i="115"/>
  <c r="J32" i="115"/>
  <c r="L32" i="115"/>
  <c r="N32" i="115"/>
  <c r="P32" i="115"/>
  <c r="Q32" i="115"/>
  <c r="R32" i="115"/>
  <c r="S32" i="115"/>
  <c r="U32" i="115"/>
  <c r="W32" i="115"/>
  <c r="Y32" i="115"/>
  <c r="AC32" i="115"/>
  <c r="AD32" i="115"/>
  <c r="AF32" i="115"/>
  <c r="AH32" i="115"/>
  <c r="AI32" i="115"/>
  <c r="AJ32" i="115"/>
  <c r="AK32" i="115"/>
  <c r="AW32" i="115"/>
  <c r="AX32" i="115"/>
  <c r="AY32" i="115"/>
  <c r="BB32" i="115"/>
  <c r="BC32" i="115"/>
  <c r="BD32" i="115"/>
  <c r="BE32" i="115"/>
  <c r="BH32" i="115"/>
  <c r="BI32" i="115"/>
  <c r="B33" i="115"/>
  <c r="C33" i="115"/>
  <c r="F33" i="115"/>
  <c r="H33" i="115"/>
  <c r="J33" i="115"/>
  <c r="L33" i="115"/>
  <c r="N33" i="115"/>
  <c r="P33" i="115"/>
  <c r="Q33" i="115"/>
  <c r="R33" i="115"/>
  <c r="S33" i="115"/>
  <c r="U33" i="115"/>
  <c r="W33" i="115"/>
  <c r="Y33" i="115"/>
  <c r="AC33" i="115"/>
  <c r="AD33" i="115"/>
  <c r="AF33" i="115"/>
  <c r="AH33" i="115"/>
  <c r="AI33" i="115"/>
  <c r="AJ33" i="115"/>
  <c r="AK33" i="115"/>
  <c r="AW33" i="115"/>
  <c r="AX33" i="115"/>
  <c r="AY33" i="115"/>
  <c r="BB33" i="115"/>
  <c r="BC33" i="115"/>
  <c r="BD33" i="115"/>
  <c r="BE33" i="115"/>
  <c r="BH33" i="115"/>
  <c r="BI33" i="115"/>
  <c r="B34" i="115"/>
  <c r="C34" i="115"/>
  <c r="F34" i="115"/>
  <c r="H34" i="115"/>
  <c r="J34" i="115"/>
  <c r="L34" i="115"/>
  <c r="N34" i="115"/>
  <c r="P34" i="115"/>
  <c r="Q34" i="115"/>
  <c r="R34" i="115"/>
  <c r="S34" i="115"/>
  <c r="U34" i="115"/>
  <c r="W34" i="115"/>
  <c r="Y34" i="115"/>
  <c r="AC34" i="115"/>
  <c r="AD34" i="115"/>
  <c r="AF34" i="115"/>
  <c r="AH34" i="115"/>
  <c r="AI34" i="115"/>
  <c r="AJ34" i="115"/>
  <c r="AK34" i="115"/>
  <c r="AW34" i="115"/>
  <c r="AX34" i="115"/>
  <c r="AY34" i="115"/>
  <c r="BB34" i="115"/>
  <c r="BC34" i="115"/>
  <c r="BD34" i="115"/>
  <c r="BE34" i="115"/>
  <c r="BH34" i="115"/>
  <c r="BI34" i="115"/>
  <c r="B35" i="115"/>
  <c r="C35" i="115"/>
  <c r="F35" i="115"/>
  <c r="H35" i="115"/>
  <c r="J35" i="115"/>
  <c r="L35" i="115"/>
  <c r="N35" i="115"/>
  <c r="P35" i="115"/>
  <c r="Q35" i="115"/>
  <c r="R35" i="115"/>
  <c r="S35" i="115"/>
  <c r="U35" i="115"/>
  <c r="W35" i="115"/>
  <c r="Y35" i="115"/>
  <c r="AC35" i="115"/>
  <c r="AD35" i="115"/>
  <c r="AF35" i="115"/>
  <c r="AH35" i="115"/>
  <c r="AI35" i="115"/>
  <c r="AJ35" i="115"/>
  <c r="AK35" i="115"/>
  <c r="AW35" i="115"/>
  <c r="AX35" i="115"/>
  <c r="AY35" i="115"/>
  <c r="BB35" i="115"/>
  <c r="BC35" i="115"/>
  <c r="BD35" i="115"/>
  <c r="BE35" i="115"/>
  <c r="BH35" i="115"/>
  <c r="BI35" i="115"/>
  <c r="B36" i="115"/>
  <c r="C36" i="115"/>
  <c r="F36" i="115"/>
  <c r="H36" i="115"/>
  <c r="J36" i="115"/>
  <c r="L36" i="115"/>
  <c r="N36" i="115"/>
  <c r="P36" i="115"/>
  <c r="Q36" i="115"/>
  <c r="R36" i="115"/>
  <c r="S36" i="115"/>
  <c r="U36" i="115"/>
  <c r="W36" i="115"/>
  <c r="Y36" i="115"/>
  <c r="AC36" i="115"/>
  <c r="AD36" i="115"/>
  <c r="AF36" i="115"/>
  <c r="AH36" i="115"/>
  <c r="AI36" i="115"/>
  <c r="AJ36" i="115"/>
  <c r="AK36" i="115"/>
  <c r="AW36" i="115"/>
  <c r="AX36" i="115"/>
  <c r="AY36" i="115"/>
  <c r="BB36" i="115"/>
  <c r="BC36" i="115"/>
  <c r="BD36" i="115"/>
  <c r="BE36" i="115"/>
  <c r="BH36" i="115"/>
  <c r="BI36" i="115"/>
  <c r="B37" i="115"/>
  <c r="C37" i="115"/>
  <c r="F37" i="115"/>
  <c r="H37" i="115"/>
  <c r="J37" i="115"/>
  <c r="L37" i="115"/>
  <c r="N37" i="115"/>
  <c r="P37" i="115"/>
  <c r="Q37" i="115"/>
  <c r="R37" i="115"/>
  <c r="S37" i="115"/>
  <c r="U37" i="115"/>
  <c r="W37" i="115"/>
  <c r="Y37" i="115"/>
  <c r="AC37" i="115"/>
  <c r="AD37" i="115"/>
  <c r="AF37" i="115"/>
  <c r="AH37" i="115"/>
  <c r="AI37" i="115"/>
  <c r="AJ37" i="115"/>
  <c r="AK37" i="115"/>
  <c r="AW37" i="115"/>
  <c r="AX37" i="115"/>
  <c r="AY37" i="115"/>
  <c r="BB37" i="115"/>
  <c r="BC37" i="115"/>
  <c r="BD37" i="115"/>
  <c r="BE37" i="115"/>
  <c r="BH37" i="115"/>
  <c r="BI37" i="115"/>
  <c r="B38" i="115"/>
  <c r="C38" i="115"/>
  <c r="F38" i="115"/>
  <c r="H38" i="115"/>
  <c r="J38" i="115"/>
  <c r="L38" i="115"/>
  <c r="N38" i="115"/>
  <c r="P38" i="115"/>
  <c r="Q38" i="115"/>
  <c r="R38" i="115"/>
  <c r="S38" i="115"/>
  <c r="U38" i="115"/>
  <c r="W38" i="115"/>
  <c r="Y38" i="115"/>
  <c r="AC38" i="115"/>
  <c r="AD38" i="115"/>
  <c r="AF38" i="115"/>
  <c r="AH38" i="115"/>
  <c r="AI38" i="115"/>
  <c r="AJ38" i="115"/>
  <c r="AK38" i="115"/>
  <c r="AW38" i="115"/>
  <c r="AX38" i="115"/>
  <c r="AY38" i="115"/>
  <c r="BB38" i="115"/>
  <c r="BC38" i="115"/>
  <c r="BD38" i="115"/>
  <c r="BE38" i="115"/>
  <c r="BH38" i="115"/>
  <c r="BI38" i="115"/>
  <c r="B39" i="115"/>
  <c r="C39" i="115"/>
  <c r="F39" i="115"/>
  <c r="H39" i="115"/>
  <c r="J39" i="115"/>
  <c r="L39" i="115"/>
  <c r="N39" i="115"/>
  <c r="P39" i="115"/>
  <c r="Q39" i="115"/>
  <c r="R39" i="115"/>
  <c r="S39" i="115"/>
  <c r="U39" i="115"/>
  <c r="W39" i="115"/>
  <c r="Y39" i="115"/>
  <c r="AC39" i="115"/>
  <c r="AD39" i="115"/>
  <c r="AF39" i="115"/>
  <c r="AH39" i="115"/>
  <c r="AI39" i="115"/>
  <c r="AJ39" i="115"/>
  <c r="AK39" i="115"/>
  <c r="AW39" i="115"/>
  <c r="AX39" i="115"/>
  <c r="AY39" i="115"/>
  <c r="BB39" i="115"/>
  <c r="BC39" i="115"/>
  <c r="BD39" i="115"/>
  <c r="BE39" i="115"/>
  <c r="BH39" i="115"/>
  <c r="BI39" i="115"/>
  <c r="B40" i="115"/>
  <c r="C40" i="115"/>
  <c r="F40" i="115"/>
  <c r="H40" i="115"/>
  <c r="J40" i="115"/>
  <c r="L40" i="115"/>
  <c r="N40" i="115"/>
  <c r="P40" i="115"/>
  <c r="Q40" i="115"/>
  <c r="R40" i="115"/>
  <c r="S40" i="115"/>
  <c r="U40" i="115"/>
  <c r="W40" i="115"/>
  <c r="Y40" i="115"/>
  <c r="AC40" i="115"/>
  <c r="AD40" i="115"/>
  <c r="AF40" i="115"/>
  <c r="AH40" i="115"/>
  <c r="AI40" i="115"/>
  <c r="AJ40" i="115"/>
  <c r="AK40" i="115"/>
  <c r="AW40" i="115"/>
  <c r="AX40" i="115"/>
  <c r="AY40" i="115"/>
  <c r="BB40" i="115"/>
  <c r="BC40" i="115"/>
  <c r="BD40" i="115"/>
  <c r="BE40" i="115"/>
  <c r="BH40" i="115"/>
  <c r="BI40" i="115"/>
  <c r="B41" i="115"/>
  <c r="C41" i="115"/>
  <c r="F41" i="115"/>
  <c r="H41" i="115"/>
  <c r="J41" i="115"/>
  <c r="L41" i="115"/>
  <c r="N41" i="115"/>
  <c r="P41" i="115"/>
  <c r="Q41" i="115"/>
  <c r="R41" i="115"/>
  <c r="S41" i="115"/>
  <c r="U41" i="115"/>
  <c r="W41" i="115"/>
  <c r="Y41" i="115"/>
  <c r="AC41" i="115"/>
  <c r="AD41" i="115"/>
  <c r="AF41" i="115"/>
  <c r="AH41" i="115"/>
  <c r="AI41" i="115"/>
  <c r="AJ41" i="115"/>
  <c r="AK41" i="115"/>
  <c r="AW41" i="115"/>
  <c r="AX41" i="115"/>
  <c r="AY41" i="115"/>
  <c r="BB41" i="115"/>
  <c r="BC41" i="115"/>
  <c r="BD41" i="115"/>
  <c r="BE41" i="115"/>
  <c r="BH41" i="115"/>
  <c r="BI41" i="115"/>
  <c r="B42" i="115"/>
  <c r="C42" i="115"/>
  <c r="F42" i="115"/>
  <c r="H42" i="115"/>
  <c r="J42" i="115"/>
  <c r="L42" i="115"/>
  <c r="N42" i="115"/>
  <c r="P42" i="115"/>
  <c r="Q42" i="115"/>
  <c r="R42" i="115"/>
  <c r="S42" i="115"/>
  <c r="U42" i="115"/>
  <c r="W42" i="115"/>
  <c r="Y42" i="115"/>
  <c r="AC42" i="115"/>
  <c r="AD42" i="115"/>
  <c r="AF42" i="115"/>
  <c r="AH42" i="115"/>
  <c r="AI42" i="115"/>
  <c r="AJ42" i="115"/>
  <c r="AK42" i="115"/>
  <c r="AW42" i="115"/>
  <c r="AX42" i="115"/>
  <c r="AY42" i="115"/>
  <c r="BB42" i="115"/>
  <c r="BC42" i="115"/>
  <c r="BD42" i="115"/>
  <c r="BE42" i="115"/>
  <c r="BH42" i="115"/>
  <c r="BI42" i="115"/>
  <c r="B43" i="115"/>
  <c r="C43" i="115"/>
  <c r="F43" i="115"/>
  <c r="H43" i="115"/>
  <c r="J43" i="115"/>
  <c r="L43" i="115"/>
  <c r="N43" i="115"/>
  <c r="P43" i="115"/>
  <c r="Q43" i="115"/>
  <c r="R43" i="115"/>
  <c r="S43" i="115"/>
  <c r="U43" i="115"/>
  <c r="W43" i="115"/>
  <c r="Y43" i="115"/>
  <c r="AC43" i="115"/>
  <c r="AD43" i="115"/>
  <c r="AF43" i="115"/>
  <c r="AH43" i="115"/>
  <c r="AI43" i="115"/>
  <c r="AJ43" i="115"/>
  <c r="AK43" i="115"/>
  <c r="AW43" i="115"/>
  <c r="AX43" i="115"/>
  <c r="AY43" i="115"/>
  <c r="BB43" i="115"/>
  <c r="BC43" i="115"/>
  <c r="BD43" i="115"/>
  <c r="BE43" i="115"/>
  <c r="BH43" i="115"/>
  <c r="BI43" i="115"/>
  <c r="B44" i="115"/>
  <c r="C44" i="115"/>
  <c r="F44" i="115"/>
  <c r="H44" i="115"/>
  <c r="J44" i="115"/>
  <c r="L44" i="115"/>
  <c r="N44" i="115"/>
  <c r="P44" i="115"/>
  <c r="Q44" i="115"/>
  <c r="R44" i="115"/>
  <c r="S44" i="115"/>
  <c r="U44" i="115"/>
  <c r="W44" i="115"/>
  <c r="Y44" i="115"/>
  <c r="AC44" i="115"/>
  <c r="AD44" i="115"/>
  <c r="AF44" i="115"/>
  <c r="AH44" i="115"/>
  <c r="AI44" i="115"/>
  <c r="AJ44" i="115"/>
  <c r="AK44" i="115"/>
  <c r="AW44" i="115"/>
  <c r="AX44" i="115"/>
  <c r="AY44" i="115"/>
  <c r="BB44" i="115"/>
  <c r="BC44" i="115"/>
  <c r="BD44" i="115"/>
  <c r="BE44" i="115"/>
  <c r="BH44" i="115"/>
  <c r="BI44" i="115"/>
  <c r="B45" i="115"/>
  <c r="C45" i="115"/>
  <c r="F45" i="115"/>
  <c r="H45" i="115"/>
  <c r="J45" i="115"/>
  <c r="L45" i="115"/>
  <c r="N45" i="115"/>
  <c r="P45" i="115"/>
  <c r="Q45" i="115"/>
  <c r="R45" i="115"/>
  <c r="S45" i="115"/>
  <c r="U45" i="115"/>
  <c r="W45" i="115"/>
  <c r="Y45" i="115"/>
  <c r="AC45" i="115"/>
  <c r="AD45" i="115"/>
  <c r="AF45" i="115"/>
  <c r="AH45" i="115"/>
  <c r="AI45" i="115"/>
  <c r="AJ45" i="115"/>
  <c r="AK45" i="115"/>
  <c r="AW45" i="115"/>
  <c r="AX45" i="115"/>
  <c r="AY45" i="115"/>
  <c r="BB45" i="115"/>
  <c r="BC45" i="115"/>
  <c r="BD45" i="115"/>
  <c r="BE45" i="115"/>
  <c r="BH45" i="115"/>
  <c r="BI45" i="115"/>
  <c r="B46" i="115"/>
  <c r="C46" i="115"/>
  <c r="F46" i="115"/>
  <c r="H46" i="115"/>
  <c r="J46" i="115"/>
  <c r="L46" i="115"/>
  <c r="N46" i="115"/>
  <c r="P46" i="115"/>
  <c r="Q46" i="115"/>
  <c r="R46" i="115"/>
  <c r="S46" i="115"/>
  <c r="U46" i="115"/>
  <c r="W46" i="115"/>
  <c r="Y46" i="115"/>
  <c r="AC46" i="115"/>
  <c r="AD46" i="115"/>
  <c r="AF46" i="115"/>
  <c r="AH46" i="115"/>
  <c r="AI46" i="115"/>
  <c r="AJ46" i="115"/>
  <c r="AK46" i="115"/>
  <c r="AW46" i="115"/>
  <c r="AX46" i="115"/>
  <c r="AY46" i="115"/>
  <c r="BB46" i="115"/>
  <c r="BC46" i="115"/>
  <c r="BD46" i="115"/>
  <c r="BE46" i="115"/>
  <c r="BH46" i="115"/>
  <c r="BI46" i="115"/>
  <c r="B47" i="115"/>
  <c r="C47" i="115"/>
  <c r="F47" i="115"/>
  <c r="H47" i="115"/>
  <c r="J47" i="115"/>
  <c r="L47" i="115"/>
  <c r="N47" i="115"/>
  <c r="P47" i="115"/>
  <c r="Q47" i="115"/>
  <c r="R47" i="115"/>
  <c r="S47" i="115"/>
  <c r="U47" i="115"/>
  <c r="W47" i="115"/>
  <c r="Y47" i="115"/>
  <c r="AC47" i="115"/>
  <c r="AD47" i="115"/>
  <c r="AF47" i="115"/>
  <c r="AH47" i="115"/>
  <c r="AI47" i="115"/>
  <c r="AJ47" i="115"/>
  <c r="AK47" i="115"/>
  <c r="AW47" i="115"/>
  <c r="AX47" i="115"/>
  <c r="AY47" i="115"/>
  <c r="BB47" i="115"/>
  <c r="BC47" i="115"/>
  <c r="BD47" i="115"/>
  <c r="BE47" i="115"/>
  <c r="BH47" i="115"/>
  <c r="BI47" i="115"/>
  <c r="B48" i="115"/>
  <c r="C48" i="115"/>
  <c r="F48" i="115"/>
  <c r="H48" i="115"/>
  <c r="J48" i="115"/>
  <c r="L48" i="115"/>
  <c r="N48" i="115"/>
  <c r="P48" i="115"/>
  <c r="Q48" i="115"/>
  <c r="R48" i="115"/>
  <c r="S48" i="115"/>
  <c r="U48" i="115"/>
  <c r="W48" i="115"/>
  <c r="Y48" i="115"/>
  <c r="AC48" i="115"/>
  <c r="AD48" i="115"/>
  <c r="AF48" i="115"/>
  <c r="AH48" i="115"/>
  <c r="AI48" i="115"/>
  <c r="AJ48" i="115"/>
  <c r="AK48" i="115"/>
  <c r="AW48" i="115"/>
  <c r="AX48" i="115"/>
  <c r="AY48" i="115"/>
  <c r="BB48" i="115"/>
  <c r="BC48" i="115"/>
  <c r="BD48" i="115"/>
  <c r="BE48" i="115"/>
  <c r="BH48" i="115"/>
  <c r="BI48" i="115"/>
  <c r="B49" i="115"/>
  <c r="C49" i="115"/>
  <c r="F49" i="115"/>
  <c r="H49" i="115"/>
  <c r="J49" i="115"/>
  <c r="L49" i="115"/>
  <c r="N49" i="115"/>
  <c r="P49" i="115"/>
  <c r="Q49" i="115"/>
  <c r="R49" i="115"/>
  <c r="S49" i="115"/>
  <c r="U49" i="115"/>
  <c r="W49" i="115"/>
  <c r="Y49" i="115"/>
  <c r="AC49" i="115"/>
  <c r="AD49" i="115"/>
  <c r="AF49" i="115"/>
  <c r="AH49" i="115"/>
  <c r="AI49" i="115"/>
  <c r="AJ49" i="115"/>
  <c r="AK49" i="115"/>
  <c r="AW49" i="115"/>
  <c r="AX49" i="115"/>
  <c r="AY49" i="115"/>
  <c r="BB49" i="115"/>
  <c r="BC49" i="115"/>
  <c r="BD49" i="115"/>
  <c r="BE49" i="115"/>
  <c r="BH49" i="115"/>
  <c r="BI49" i="115"/>
  <c r="B50" i="115"/>
  <c r="C50" i="115"/>
  <c r="F50" i="115"/>
  <c r="H50" i="115"/>
  <c r="J50" i="115"/>
  <c r="L50" i="115"/>
  <c r="N50" i="115"/>
  <c r="P50" i="115"/>
  <c r="Q50" i="115"/>
  <c r="R50" i="115"/>
  <c r="S50" i="115"/>
  <c r="U50" i="115"/>
  <c r="W50" i="115"/>
  <c r="Y50" i="115"/>
  <c r="AC50" i="115"/>
  <c r="AD50" i="115"/>
  <c r="AF50" i="115"/>
  <c r="AH50" i="115"/>
  <c r="AI50" i="115"/>
  <c r="AJ50" i="115"/>
  <c r="AK50" i="115"/>
  <c r="AW50" i="115"/>
  <c r="AX50" i="115"/>
  <c r="AY50" i="115"/>
  <c r="BB50" i="115"/>
  <c r="BC50" i="115"/>
  <c r="BD50" i="115"/>
  <c r="BE50" i="115"/>
  <c r="BH50" i="115"/>
  <c r="BI50" i="115"/>
  <c r="C51" i="115"/>
  <c r="D51" i="115"/>
  <c r="E51" i="115"/>
  <c r="F51" i="115"/>
  <c r="G51" i="115"/>
  <c r="H51" i="115"/>
  <c r="I51" i="115"/>
  <c r="J51" i="115"/>
  <c r="K51" i="115"/>
  <c r="L51" i="115"/>
  <c r="M51" i="115"/>
  <c r="N51" i="115"/>
  <c r="O51" i="115"/>
  <c r="P51" i="115"/>
  <c r="Q51" i="115"/>
  <c r="R51" i="115"/>
  <c r="S51" i="115"/>
  <c r="T51" i="115"/>
  <c r="U51" i="115"/>
  <c r="V51" i="115"/>
  <c r="W51" i="115"/>
  <c r="X51" i="115"/>
  <c r="Y51" i="115"/>
  <c r="AD51" i="115"/>
  <c r="AE51" i="115"/>
  <c r="AF51" i="115"/>
  <c r="AG51" i="115"/>
  <c r="AH51" i="115"/>
  <c r="AI51" i="115"/>
  <c r="AJ51" i="115"/>
  <c r="AK51" i="115"/>
  <c r="AX51" i="115"/>
  <c r="AY51" i="115"/>
  <c r="AZ51" i="115"/>
  <c r="BA51" i="115"/>
  <c r="BB51" i="115"/>
  <c r="BC51" i="115"/>
  <c r="BD51" i="115"/>
  <c r="BE51" i="115"/>
  <c r="BF51" i="115"/>
  <c r="BG51" i="115"/>
  <c r="BH51" i="115"/>
  <c r="BI51" i="115"/>
  <c r="AN10" i="114"/>
  <c r="AO10" i="114"/>
  <c r="AQ10" i="114"/>
  <c r="AS10" i="114"/>
  <c r="AT10" i="114"/>
  <c r="B11" i="114"/>
  <c r="C11" i="114"/>
  <c r="F11" i="114"/>
  <c r="H11" i="114"/>
  <c r="J11" i="114"/>
  <c r="L11" i="114"/>
  <c r="N11" i="114"/>
  <c r="P11" i="114"/>
  <c r="Q11" i="114"/>
  <c r="R11" i="114"/>
  <c r="S11" i="114"/>
  <c r="U11" i="114"/>
  <c r="W11" i="114"/>
  <c r="Y11" i="114"/>
  <c r="AC11" i="114"/>
  <c r="AD11" i="114"/>
  <c r="AF11" i="114"/>
  <c r="AH11" i="114"/>
  <c r="AI11" i="114"/>
  <c r="AJ11" i="114"/>
  <c r="AK11" i="114"/>
  <c r="AN11" i="114"/>
  <c r="AO11" i="114"/>
  <c r="AQ11" i="114"/>
  <c r="AS11" i="114"/>
  <c r="AT11" i="114"/>
  <c r="AW11" i="114"/>
  <c r="AX11" i="114"/>
  <c r="AY11" i="114"/>
  <c r="BB11" i="114"/>
  <c r="BC11" i="114"/>
  <c r="BD11" i="114"/>
  <c r="BE11" i="114"/>
  <c r="BH11" i="114"/>
  <c r="BI11" i="114"/>
  <c r="B12" i="114"/>
  <c r="C12" i="114"/>
  <c r="F12" i="114"/>
  <c r="H12" i="114"/>
  <c r="J12" i="114"/>
  <c r="L12" i="114"/>
  <c r="N12" i="114"/>
  <c r="P12" i="114"/>
  <c r="Q12" i="114"/>
  <c r="R12" i="114"/>
  <c r="S12" i="114"/>
  <c r="U12" i="114"/>
  <c r="W12" i="114"/>
  <c r="Y12" i="114"/>
  <c r="AC12" i="114"/>
  <c r="AD12" i="114"/>
  <c r="AF12" i="114"/>
  <c r="AH12" i="114"/>
  <c r="AI12" i="114"/>
  <c r="AJ12" i="114"/>
  <c r="AK12" i="114"/>
  <c r="AN12" i="114"/>
  <c r="AO12" i="114"/>
  <c r="AQ12" i="114"/>
  <c r="AS12" i="114"/>
  <c r="AT12" i="114"/>
  <c r="AW12" i="114"/>
  <c r="AX12" i="114"/>
  <c r="AY12" i="114"/>
  <c r="BB12" i="114"/>
  <c r="BC12" i="114"/>
  <c r="BD12" i="114"/>
  <c r="BE12" i="114"/>
  <c r="BH12" i="114"/>
  <c r="BI12" i="114"/>
  <c r="B13" i="114"/>
  <c r="C13" i="114"/>
  <c r="F13" i="114"/>
  <c r="H13" i="114"/>
  <c r="J13" i="114"/>
  <c r="L13" i="114"/>
  <c r="N13" i="114"/>
  <c r="P13" i="114"/>
  <c r="Q13" i="114"/>
  <c r="R13" i="114"/>
  <c r="S13" i="114"/>
  <c r="U13" i="114"/>
  <c r="W13" i="114"/>
  <c r="Y13" i="114"/>
  <c r="AC13" i="114"/>
  <c r="AD13" i="114"/>
  <c r="AF13" i="114"/>
  <c r="AH13" i="114"/>
  <c r="AI13" i="114"/>
  <c r="AJ13" i="114"/>
  <c r="AK13" i="114"/>
  <c r="AO13" i="114"/>
  <c r="AP13" i="114"/>
  <c r="AQ13" i="114"/>
  <c r="AR13" i="114"/>
  <c r="AS13" i="114"/>
  <c r="AT13" i="114"/>
  <c r="AW13" i="114"/>
  <c r="AX13" i="114"/>
  <c r="AY13" i="114"/>
  <c r="BB13" i="114"/>
  <c r="BC13" i="114"/>
  <c r="BD13" i="114"/>
  <c r="BE13" i="114"/>
  <c r="BH13" i="114"/>
  <c r="BI13" i="114"/>
  <c r="B14" i="114"/>
  <c r="C14" i="114"/>
  <c r="F14" i="114"/>
  <c r="H14" i="114"/>
  <c r="J14" i="114"/>
  <c r="L14" i="114"/>
  <c r="N14" i="114"/>
  <c r="P14" i="114"/>
  <c r="Q14" i="114"/>
  <c r="R14" i="114"/>
  <c r="S14" i="114"/>
  <c r="U14" i="114"/>
  <c r="W14" i="114"/>
  <c r="Y14" i="114"/>
  <c r="AC14" i="114"/>
  <c r="AD14" i="114"/>
  <c r="AF14" i="114"/>
  <c r="AH14" i="114"/>
  <c r="AI14" i="114"/>
  <c r="AJ14" i="114"/>
  <c r="AK14" i="114"/>
  <c r="AT14" i="114"/>
  <c r="AW14" i="114"/>
  <c r="AX14" i="114"/>
  <c r="AY14" i="114"/>
  <c r="BB14" i="114"/>
  <c r="BC14" i="114"/>
  <c r="BD14" i="114"/>
  <c r="BE14" i="114"/>
  <c r="BH14" i="114"/>
  <c r="BI14" i="114"/>
  <c r="B15" i="114"/>
  <c r="C15" i="114"/>
  <c r="F15" i="114"/>
  <c r="H15" i="114"/>
  <c r="J15" i="114"/>
  <c r="L15" i="114"/>
  <c r="N15" i="114"/>
  <c r="P15" i="114"/>
  <c r="Q15" i="114"/>
  <c r="R15" i="114"/>
  <c r="S15" i="114"/>
  <c r="U15" i="114"/>
  <c r="W15" i="114"/>
  <c r="Y15" i="114"/>
  <c r="AC15" i="114"/>
  <c r="AD15" i="114"/>
  <c r="AF15" i="114"/>
  <c r="AH15" i="114"/>
  <c r="AI15" i="114"/>
  <c r="AJ15" i="114"/>
  <c r="AK15" i="114"/>
  <c r="AW15" i="114"/>
  <c r="AX15" i="114"/>
  <c r="AY15" i="114"/>
  <c r="BB15" i="114"/>
  <c r="BC15" i="114"/>
  <c r="BD15" i="114"/>
  <c r="BE15" i="114"/>
  <c r="BH15" i="114"/>
  <c r="BI15" i="114"/>
  <c r="B16" i="114"/>
  <c r="C16" i="114"/>
  <c r="F16" i="114"/>
  <c r="H16" i="114"/>
  <c r="J16" i="114"/>
  <c r="L16" i="114"/>
  <c r="N16" i="114"/>
  <c r="P16" i="114"/>
  <c r="Q16" i="114"/>
  <c r="R16" i="114"/>
  <c r="S16" i="114"/>
  <c r="U16" i="114"/>
  <c r="W16" i="114"/>
  <c r="Y16" i="114"/>
  <c r="AC16" i="114"/>
  <c r="AD16" i="114"/>
  <c r="AF16" i="114"/>
  <c r="AH16" i="114"/>
  <c r="AI16" i="114"/>
  <c r="AJ16" i="114"/>
  <c r="AK16" i="114"/>
  <c r="AW16" i="114"/>
  <c r="AX16" i="114"/>
  <c r="AY16" i="114"/>
  <c r="BB16" i="114"/>
  <c r="BC16" i="114"/>
  <c r="BD16" i="114"/>
  <c r="BE16" i="114"/>
  <c r="BH16" i="114"/>
  <c r="BI16" i="114"/>
  <c r="B17" i="114"/>
  <c r="C17" i="114"/>
  <c r="F17" i="114"/>
  <c r="H17" i="114"/>
  <c r="J17" i="114"/>
  <c r="L17" i="114"/>
  <c r="N17" i="114"/>
  <c r="P17" i="114"/>
  <c r="Q17" i="114"/>
  <c r="R17" i="114"/>
  <c r="S17" i="114"/>
  <c r="U17" i="114"/>
  <c r="W17" i="114"/>
  <c r="Y17" i="114"/>
  <c r="AC17" i="114"/>
  <c r="AD17" i="114"/>
  <c r="AF17" i="114"/>
  <c r="AH17" i="114"/>
  <c r="AI17" i="114"/>
  <c r="AJ17" i="114"/>
  <c r="AK17" i="114"/>
  <c r="AW17" i="114"/>
  <c r="AX17" i="114"/>
  <c r="AY17" i="114"/>
  <c r="BB17" i="114"/>
  <c r="BC17" i="114"/>
  <c r="BD17" i="114"/>
  <c r="BE17" i="114"/>
  <c r="BH17" i="114"/>
  <c r="BI17" i="114"/>
  <c r="B18" i="114"/>
  <c r="C18" i="114"/>
  <c r="F18" i="114"/>
  <c r="H18" i="114"/>
  <c r="J18" i="114"/>
  <c r="L18" i="114"/>
  <c r="N18" i="114"/>
  <c r="P18" i="114"/>
  <c r="Q18" i="114"/>
  <c r="R18" i="114"/>
  <c r="S18" i="114"/>
  <c r="U18" i="114"/>
  <c r="W18" i="114"/>
  <c r="Y18" i="114"/>
  <c r="AC18" i="114"/>
  <c r="AD18" i="114"/>
  <c r="AF18" i="114"/>
  <c r="AH18" i="114"/>
  <c r="AI18" i="114"/>
  <c r="AJ18" i="114"/>
  <c r="AK18" i="114"/>
  <c r="AW18" i="114"/>
  <c r="AX18" i="114"/>
  <c r="AY18" i="114"/>
  <c r="BB18" i="114"/>
  <c r="BC18" i="114"/>
  <c r="BD18" i="114"/>
  <c r="BE18" i="114"/>
  <c r="BH18" i="114"/>
  <c r="BI18" i="114"/>
  <c r="B19" i="114"/>
  <c r="C19" i="114"/>
  <c r="F19" i="114"/>
  <c r="H19" i="114"/>
  <c r="J19" i="114"/>
  <c r="L19" i="114"/>
  <c r="N19" i="114"/>
  <c r="P19" i="114"/>
  <c r="Q19" i="114"/>
  <c r="R19" i="114"/>
  <c r="S19" i="114"/>
  <c r="U19" i="114"/>
  <c r="W19" i="114"/>
  <c r="Y19" i="114"/>
  <c r="AC19" i="114"/>
  <c r="AD19" i="114"/>
  <c r="AF19" i="114"/>
  <c r="AH19" i="114"/>
  <c r="AI19" i="114"/>
  <c r="AJ19" i="114"/>
  <c r="AK19" i="114"/>
  <c r="AW19" i="114"/>
  <c r="AX19" i="114"/>
  <c r="AY19" i="114"/>
  <c r="BB19" i="114"/>
  <c r="BC19" i="114"/>
  <c r="BD19" i="114"/>
  <c r="BE19" i="114"/>
  <c r="BH19" i="114"/>
  <c r="BI19" i="114"/>
  <c r="B20" i="114"/>
  <c r="C20" i="114"/>
  <c r="F20" i="114"/>
  <c r="H20" i="114"/>
  <c r="J20" i="114"/>
  <c r="L20" i="114"/>
  <c r="N20" i="114"/>
  <c r="P20" i="114"/>
  <c r="Q20" i="114"/>
  <c r="R20" i="114"/>
  <c r="S20" i="114"/>
  <c r="U20" i="114"/>
  <c r="W20" i="114"/>
  <c r="Y20" i="114"/>
  <c r="AC20" i="114"/>
  <c r="AD20" i="114"/>
  <c r="AF20" i="114"/>
  <c r="AH20" i="114"/>
  <c r="AI20" i="114"/>
  <c r="AJ20" i="114"/>
  <c r="AK20" i="114"/>
  <c r="AW20" i="114"/>
  <c r="AX20" i="114"/>
  <c r="AY20" i="114"/>
  <c r="BB20" i="114"/>
  <c r="BC20" i="114"/>
  <c r="BD20" i="114"/>
  <c r="BE20" i="114"/>
  <c r="BH20" i="114"/>
  <c r="BI20" i="114"/>
  <c r="B21" i="114"/>
  <c r="C21" i="114"/>
  <c r="F21" i="114"/>
  <c r="H21" i="114"/>
  <c r="J21" i="114"/>
  <c r="L21" i="114"/>
  <c r="N21" i="114"/>
  <c r="P21" i="114"/>
  <c r="Q21" i="114"/>
  <c r="R21" i="114"/>
  <c r="S21" i="114"/>
  <c r="U21" i="114"/>
  <c r="W21" i="114"/>
  <c r="Y21" i="114"/>
  <c r="AC21" i="114"/>
  <c r="AD21" i="114"/>
  <c r="AF21" i="114"/>
  <c r="AH21" i="114"/>
  <c r="AI21" i="114"/>
  <c r="AJ21" i="114"/>
  <c r="AK21" i="114"/>
  <c r="AW21" i="114"/>
  <c r="AX21" i="114"/>
  <c r="AY21" i="114"/>
  <c r="BB21" i="114"/>
  <c r="BC21" i="114"/>
  <c r="BD21" i="114"/>
  <c r="BE21" i="114"/>
  <c r="BH21" i="114"/>
  <c r="BI21" i="114"/>
  <c r="B22" i="114"/>
  <c r="C22" i="114"/>
  <c r="F22" i="114"/>
  <c r="H22" i="114"/>
  <c r="J22" i="114"/>
  <c r="L22" i="114"/>
  <c r="N22" i="114"/>
  <c r="P22" i="114"/>
  <c r="Q22" i="114"/>
  <c r="R22" i="114"/>
  <c r="S22" i="114"/>
  <c r="U22" i="114"/>
  <c r="W22" i="114"/>
  <c r="Y22" i="114"/>
  <c r="AC22" i="114"/>
  <c r="AD22" i="114"/>
  <c r="AF22" i="114"/>
  <c r="AH22" i="114"/>
  <c r="AI22" i="114"/>
  <c r="AJ22" i="114"/>
  <c r="AK22" i="114"/>
  <c r="AW22" i="114"/>
  <c r="AX22" i="114"/>
  <c r="AY22" i="114"/>
  <c r="BB22" i="114"/>
  <c r="BC22" i="114"/>
  <c r="BD22" i="114"/>
  <c r="BE22" i="114"/>
  <c r="BH22" i="114"/>
  <c r="BI22" i="114"/>
  <c r="B23" i="114"/>
  <c r="C23" i="114"/>
  <c r="F23" i="114"/>
  <c r="H23" i="114"/>
  <c r="J23" i="114"/>
  <c r="L23" i="114"/>
  <c r="N23" i="114"/>
  <c r="P23" i="114"/>
  <c r="Q23" i="114"/>
  <c r="R23" i="114"/>
  <c r="S23" i="114"/>
  <c r="U23" i="114"/>
  <c r="W23" i="114"/>
  <c r="Y23" i="114"/>
  <c r="AC23" i="114"/>
  <c r="AD23" i="114"/>
  <c r="AF23" i="114"/>
  <c r="AH23" i="114"/>
  <c r="AI23" i="114"/>
  <c r="AJ23" i="114"/>
  <c r="AK23" i="114"/>
  <c r="AW23" i="114"/>
  <c r="AX23" i="114"/>
  <c r="AY23" i="114"/>
  <c r="BB23" i="114"/>
  <c r="BC23" i="114"/>
  <c r="BD23" i="114"/>
  <c r="BE23" i="114"/>
  <c r="BH23" i="114"/>
  <c r="BI23" i="114"/>
  <c r="B24" i="114"/>
  <c r="C24" i="114"/>
  <c r="F24" i="114"/>
  <c r="H24" i="114"/>
  <c r="J24" i="114"/>
  <c r="L24" i="114"/>
  <c r="N24" i="114"/>
  <c r="P24" i="114"/>
  <c r="Q24" i="114"/>
  <c r="R24" i="114"/>
  <c r="S24" i="114"/>
  <c r="U24" i="114"/>
  <c r="W24" i="114"/>
  <c r="Y24" i="114"/>
  <c r="AC24" i="114"/>
  <c r="AD24" i="114"/>
  <c r="AF24" i="114"/>
  <c r="AH24" i="114"/>
  <c r="AI24" i="114"/>
  <c r="AJ24" i="114"/>
  <c r="AK24" i="114"/>
  <c r="AW24" i="114"/>
  <c r="AX24" i="114"/>
  <c r="AY24" i="114"/>
  <c r="BB24" i="114"/>
  <c r="BC24" i="114"/>
  <c r="BD24" i="114"/>
  <c r="BE24" i="114"/>
  <c r="BH24" i="114"/>
  <c r="BI24" i="114"/>
  <c r="B25" i="114"/>
  <c r="C25" i="114"/>
  <c r="F25" i="114"/>
  <c r="H25" i="114"/>
  <c r="J25" i="114"/>
  <c r="L25" i="114"/>
  <c r="N25" i="114"/>
  <c r="P25" i="114"/>
  <c r="Q25" i="114"/>
  <c r="R25" i="114"/>
  <c r="S25" i="114"/>
  <c r="U25" i="114"/>
  <c r="W25" i="114"/>
  <c r="Y25" i="114"/>
  <c r="AC25" i="114"/>
  <c r="AD25" i="114"/>
  <c r="AF25" i="114"/>
  <c r="AH25" i="114"/>
  <c r="AI25" i="114"/>
  <c r="AJ25" i="114"/>
  <c r="AK25" i="114"/>
  <c r="AW25" i="114"/>
  <c r="AX25" i="114"/>
  <c r="AY25" i="114"/>
  <c r="BB25" i="114"/>
  <c r="BC25" i="114"/>
  <c r="BD25" i="114"/>
  <c r="BE25" i="114"/>
  <c r="BH25" i="114"/>
  <c r="BI25" i="114"/>
  <c r="B26" i="114"/>
  <c r="C26" i="114"/>
  <c r="F26" i="114"/>
  <c r="H26" i="114"/>
  <c r="J26" i="114"/>
  <c r="L26" i="114"/>
  <c r="N26" i="114"/>
  <c r="P26" i="114"/>
  <c r="Q26" i="114"/>
  <c r="R26" i="114"/>
  <c r="S26" i="114"/>
  <c r="U26" i="114"/>
  <c r="W26" i="114"/>
  <c r="Y26" i="114"/>
  <c r="AC26" i="114"/>
  <c r="AD26" i="114"/>
  <c r="AF26" i="114"/>
  <c r="AH26" i="114"/>
  <c r="AI26" i="114"/>
  <c r="AJ26" i="114"/>
  <c r="AK26" i="114"/>
  <c r="AW26" i="114"/>
  <c r="AX26" i="114"/>
  <c r="AY26" i="114"/>
  <c r="BB26" i="114"/>
  <c r="BC26" i="114"/>
  <c r="BD26" i="114"/>
  <c r="BE26" i="114"/>
  <c r="BH26" i="114"/>
  <c r="BI26" i="114"/>
  <c r="B27" i="114"/>
  <c r="C27" i="114"/>
  <c r="F27" i="114"/>
  <c r="H27" i="114"/>
  <c r="J27" i="114"/>
  <c r="L27" i="114"/>
  <c r="N27" i="114"/>
  <c r="P27" i="114"/>
  <c r="Q27" i="114"/>
  <c r="R27" i="114"/>
  <c r="S27" i="114"/>
  <c r="U27" i="114"/>
  <c r="W27" i="114"/>
  <c r="Y27" i="114"/>
  <c r="AC27" i="114"/>
  <c r="AD27" i="114"/>
  <c r="AF27" i="114"/>
  <c r="AH27" i="114"/>
  <c r="AI27" i="114"/>
  <c r="AJ27" i="114"/>
  <c r="AK27" i="114"/>
  <c r="AW27" i="114"/>
  <c r="AX27" i="114"/>
  <c r="AY27" i="114"/>
  <c r="BB27" i="114"/>
  <c r="BC27" i="114"/>
  <c r="BD27" i="114"/>
  <c r="BE27" i="114"/>
  <c r="BH27" i="114"/>
  <c r="BI27" i="114"/>
  <c r="B28" i="114"/>
  <c r="C28" i="114"/>
  <c r="F28" i="114"/>
  <c r="H28" i="114"/>
  <c r="J28" i="114"/>
  <c r="L28" i="114"/>
  <c r="N28" i="114"/>
  <c r="P28" i="114"/>
  <c r="Q28" i="114"/>
  <c r="R28" i="114"/>
  <c r="S28" i="114"/>
  <c r="U28" i="114"/>
  <c r="W28" i="114"/>
  <c r="Y28" i="114"/>
  <c r="AC28" i="114"/>
  <c r="AD28" i="114"/>
  <c r="AF28" i="114"/>
  <c r="AH28" i="114"/>
  <c r="AI28" i="114"/>
  <c r="AJ28" i="114"/>
  <c r="AK28" i="114"/>
  <c r="AW28" i="114"/>
  <c r="AX28" i="114"/>
  <c r="AY28" i="114"/>
  <c r="BB28" i="114"/>
  <c r="BC28" i="114"/>
  <c r="BD28" i="114"/>
  <c r="BE28" i="114"/>
  <c r="BH28" i="114"/>
  <c r="BI28" i="114"/>
  <c r="B29" i="114"/>
  <c r="C29" i="114"/>
  <c r="F29" i="114"/>
  <c r="H29" i="114"/>
  <c r="J29" i="114"/>
  <c r="L29" i="114"/>
  <c r="N29" i="114"/>
  <c r="P29" i="114"/>
  <c r="Q29" i="114"/>
  <c r="R29" i="114"/>
  <c r="S29" i="114"/>
  <c r="U29" i="114"/>
  <c r="W29" i="114"/>
  <c r="Y29" i="114"/>
  <c r="AC29" i="114"/>
  <c r="AD29" i="114"/>
  <c r="AF29" i="114"/>
  <c r="AH29" i="114"/>
  <c r="AI29" i="114"/>
  <c r="AJ29" i="114"/>
  <c r="AK29" i="114"/>
  <c r="AW29" i="114"/>
  <c r="AX29" i="114"/>
  <c r="AY29" i="114"/>
  <c r="BB29" i="114"/>
  <c r="BC29" i="114"/>
  <c r="BD29" i="114"/>
  <c r="BE29" i="114"/>
  <c r="BH29" i="114"/>
  <c r="BI29" i="114"/>
  <c r="B30" i="114"/>
  <c r="C30" i="114"/>
  <c r="F30" i="114"/>
  <c r="H30" i="114"/>
  <c r="J30" i="114"/>
  <c r="L30" i="114"/>
  <c r="N30" i="114"/>
  <c r="P30" i="114"/>
  <c r="Q30" i="114"/>
  <c r="R30" i="114"/>
  <c r="S30" i="114"/>
  <c r="U30" i="114"/>
  <c r="W30" i="114"/>
  <c r="Y30" i="114"/>
  <c r="AC30" i="114"/>
  <c r="AD30" i="114"/>
  <c r="AF30" i="114"/>
  <c r="AH30" i="114"/>
  <c r="AI30" i="114"/>
  <c r="AJ30" i="114"/>
  <c r="AK30" i="114"/>
  <c r="AW30" i="114"/>
  <c r="AX30" i="114"/>
  <c r="AY30" i="114"/>
  <c r="BB30" i="114"/>
  <c r="BC30" i="114"/>
  <c r="BD30" i="114"/>
  <c r="BE30" i="114"/>
  <c r="BH30" i="114"/>
  <c r="BI30" i="114"/>
  <c r="B31" i="114"/>
  <c r="C31" i="114"/>
  <c r="F31" i="114"/>
  <c r="H31" i="114"/>
  <c r="J31" i="114"/>
  <c r="L31" i="114"/>
  <c r="N31" i="114"/>
  <c r="P31" i="114"/>
  <c r="Q31" i="114"/>
  <c r="R31" i="114"/>
  <c r="S31" i="114"/>
  <c r="U31" i="114"/>
  <c r="W31" i="114"/>
  <c r="Y31" i="114"/>
  <c r="AC31" i="114"/>
  <c r="AD31" i="114"/>
  <c r="AF31" i="114"/>
  <c r="AH31" i="114"/>
  <c r="AI31" i="114"/>
  <c r="AJ31" i="114"/>
  <c r="AK31" i="114"/>
  <c r="AW31" i="114"/>
  <c r="AX31" i="114"/>
  <c r="AY31" i="114"/>
  <c r="BB31" i="114"/>
  <c r="BC31" i="114"/>
  <c r="BD31" i="114"/>
  <c r="BE31" i="114"/>
  <c r="BH31" i="114"/>
  <c r="BI31" i="114"/>
  <c r="B32" i="114"/>
  <c r="C32" i="114"/>
  <c r="F32" i="114"/>
  <c r="H32" i="114"/>
  <c r="J32" i="114"/>
  <c r="L32" i="114"/>
  <c r="N32" i="114"/>
  <c r="P32" i="114"/>
  <c r="Q32" i="114"/>
  <c r="R32" i="114"/>
  <c r="S32" i="114"/>
  <c r="U32" i="114"/>
  <c r="W32" i="114"/>
  <c r="Y32" i="114"/>
  <c r="AC32" i="114"/>
  <c r="AD32" i="114"/>
  <c r="AF32" i="114"/>
  <c r="AH32" i="114"/>
  <c r="AI32" i="114"/>
  <c r="AJ32" i="114"/>
  <c r="AK32" i="114"/>
  <c r="AW32" i="114"/>
  <c r="AX32" i="114"/>
  <c r="AY32" i="114"/>
  <c r="BB32" i="114"/>
  <c r="BC32" i="114"/>
  <c r="BD32" i="114"/>
  <c r="BE32" i="114"/>
  <c r="BH32" i="114"/>
  <c r="BI32" i="114"/>
  <c r="B33" i="114"/>
  <c r="C33" i="114"/>
  <c r="F33" i="114"/>
  <c r="H33" i="114"/>
  <c r="J33" i="114"/>
  <c r="L33" i="114"/>
  <c r="N33" i="114"/>
  <c r="P33" i="114"/>
  <c r="Q33" i="114"/>
  <c r="R33" i="114"/>
  <c r="S33" i="114"/>
  <c r="U33" i="114"/>
  <c r="W33" i="114"/>
  <c r="Y33" i="114"/>
  <c r="AC33" i="114"/>
  <c r="AD33" i="114"/>
  <c r="AF33" i="114"/>
  <c r="AH33" i="114"/>
  <c r="AI33" i="114"/>
  <c r="AJ33" i="114"/>
  <c r="AK33" i="114"/>
  <c r="AW33" i="114"/>
  <c r="AX33" i="114"/>
  <c r="AY33" i="114"/>
  <c r="BB33" i="114"/>
  <c r="BC33" i="114"/>
  <c r="BD33" i="114"/>
  <c r="BE33" i="114"/>
  <c r="BH33" i="114"/>
  <c r="BI33" i="114"/>
  <c r="B34" i="114"/>
  <c r="C34" i="114"/>
  <c r="F34" i="114"/>
  <c r="H34" i="114"/>
  <c r="J34" i="114"/>
  <c r="L34" i="114"/>
  <c r="N34" i="114"/>
  <c r="P34" i="114"/>
  <c r="Q34" i="114"/>
  <c r="R34" i="114"/>
  <c r="S34" i="114"/>
  <c r="U34" i="114"/>
  <c r="W34" i="114"/>
  <c r="Y34" i="114"/>
  <c r="AC34" i="114"/>
  <c r="AD34" i="114"/>
  <c r="AF34" i="114"/>
  <c r="AH34" i="114"/>
  <c r="AI34" i="114"/>
  <c r="AJ34" i="114"/>
  <c r="AK34" i="114"/>
  <c r="AW34" i="114"/>
  <c r="AX34" i="114"/>
  <c r="AY34" i="114"/>
  <c r="BB34" i="114"/>
  <c r="BC34" i="114"/>
  <c r="BD34" i="114"/>
  <c r="BE34" i="114"/>
  <c r="BH34" i="114"/>
  <c r="BI34" i="114"/>
  <c r="B35" i="114"/>
  <c r="C35" i="114"/>
  <c r="F35" i="114"/>
  <c r="H35" i="114"/>
  <c r="J35" i="114"/>
  <c r="L35" i="114"/>
  <c r="N35" i="114"/>
  <c r="P35" i="114"/>
  <c r="Q35" i="114"/>
  <c r="R35" i="114"/>
  <c r="S35" i="114"/>
  <c r="U35" i="114"/>
  <c r="W35" i="114"/>
  <c r="Y35" i="114"/>
  <c r="AC35" i="114"/>
  <c r="AD35" i="114"/>
  <c r="AF35" i="114"/>
  <c r="AH35" i="114"/>
  <c r="AI35" i="114"/>
  <c r="AJ35" i="114"/>
  <c r="AK35" i="114"/>
  <c r="AW35" i="114"/>
  <c r="AX35" i="114"/>
  <c r="AY35" i="114"/>
  <c r="BB35" i="114"/>
  <c r="BC35" i="114"/>
  <c r="BD35" i="114"/>
  <c r="BE35" i="114"/>
  <c r="BH35" i="114"/>
  <c r="BI35" i="114"/>
  <c r="B36" i="114"/>
  <c r="C36" i="114"/>
  <c r="F36" i="114"/>
  <c r="H36" i="114"/>
  <c r="J36" i="114"/>
  <c r="L36" i="114"/>
  <c r="N36" i="114"/>
  <c r="P36" i="114"/>
  <c r="Q36" i="114"/>
  <c r="R36" i="114"/>
  <c r="S36" i="114"/>
  <c r="U36" i="114"/>
  <c r="W36" i="114"/>
  <c r="Y36" i="114"/>
  <c r="AC36" i="114"/>
  <c r="AD36" i="114"/>
  <c r="AF36" i="114"/>
  <c r="AH36" i="114"/>
  <c r="AI36" i="114"/>
  <c r="AJ36" i="114"/>
  <c r="AK36" i="114"/>
  <c r="AW36" i="114"/>
  <c r="AX36" i="114"/>
  <c r="AY36" i="114"/>
  <c r="BB36" i="114"/>
  <c r="BC36" i="114"/>
  <c r="BD36" i="114"/>
  <c r="BE36" i="114"/>
  <c r="BH36" i="114"/>
  <c r="BI36" i="114"/>
  <c r="B37" i="114"/>
  <c r="C37" i="114"/>
  <c r="F37" i="114"/>
  <c r="H37" i="114"/>
  <c r="J37" i="114"/>
  <c r="L37" i="114"/>
  <c r="N37" i="114"/>
  <c r="P37" i="114"/>
  <c r="Q37" i="114"/>
  <c r="R37" i="114"/>
  <c r="S37" i="114"/>
  <c r="U37" i="114"/>
  <c r="W37" i="114"/>
  <c r="Y37" i="114"/>
  <c r="AC37" i="114"/>
  <c r="AD37" i="114"/>
  <c r="AF37" i="114"/>
  <c r="AH37" i="114"/>
  <c r="AI37" i="114"/>
  <c r="AJ37" i="114"/>
  <c r="AK37" i="114"/>
  <c r="AW37" i="114"/>
  <c r="AX37" i="114"/>
  <c r="AY37" i="114"/>
  <c r="BB37" i="114"/>
  <c r="BC37" i="114"/>
  <c r="BD37" i="114"/>
  <c r="BE37" i="114"/>
  <c r="BH37" i="114"/>
  <c r="BI37" i="114"/>
  <c r="B38" i="114"/>
  <c r="C38" i="114"/>
  <c r="F38" i="114"/>
  <c r="H38" i="114"/>
  <c r="J38" i="114"/>
  <c r="L38" i="114"/>
  <c r="N38" i="114"/>
  <c r="P38" i="114"/>
  <c r="Q38" i="114"/>
  <c r="R38" i="114"/>
  <c r="S38" i="114"/>
  <c r="U38" i="114"/>
  <c r="W38" i="114"/>
  <c r="Y38" i="114"/>
  <c r="AC38" i="114"/>
  <c r="AD38" i="114"/>
  <c r="AF38" i="114"/>
  <c r="AH38" i="114"/>
  <c r="AI38" i="114"/>
  <c r="AJ38" i="114"/>
  <c r="AK38" i="114"/>
  <c r="AW38" i="114"/>
  <c r="AX38" i="114"/>
  <c r="AY38" i="114"/>
  <c r="BB38" i="114"/>
  <c r="BC38" i="114"/>
  <c r="BD38" i="114"/>
  <c r="BE38" i="114"/>
  <c r="BH38" i="114"/>
  <c r="BI38" i="114"/>
  <c r="B39" i="114"/>
  <c r="C39" i="114"/>
  <c r="F39" i="114"/>
  <c r="H39" i="114"/>
  <c r="J39" i="114"/>
  <c r="L39" i="114"/>
  <c r="N39" i="114"/>
  <c r="P39" i="114"/>
  <c r="Q39" i="114"/>
  <c r="R39" i="114"/>
  <c r="S39" i="114"/>
  <c r="U39" i="114"/>
  <c r="W39" i="114"/>
  <c r="Y39" i="114"/>
  <c r="AC39" i="114"/>
  <c r="AD39" i="114"/>
  <c r="AF39" i="114"/>
  <c r="AH39" i="114"/>
  <c r="AI39" i="114"/>
  <c r="AJ39" i="114"/>
  <c r="AK39" i="114"/>
  <c r="AW39" i="114"/>
  <c r="AX39" i="114"/>
  <c r="AY39" i="114"/>
  <c r="BB39" i="114"/>
  <c r="BC39" i="114"/>
  <c r="BD39" i="114"/>
  <c r="BE39" i="114"/>
  <c r="BH39" i="114"/>
  <c r="BI39" i="114"/>
  <c r="B40" i="114"/>
  <c r="C40" i="114"/>
  <c r="F40" i="114"/>
  <c r="H40" i="114"/>
  <c r="J40" i="114"/>
  <c r="L40" i="114"/>
  <c r="N40" i="114"/>
  <c r="P40" i="114"/>
  <c r="Q40" i="114"/>
  <c r="R40" i="114"/>
  <c r="S40" i="114"/>
  <c r="U40" i="114"/>
  <c r="W40" i="114"/>
  <c r="Y40" i="114"/>
  <c r="AC40" i="114"/>
  <c r="AD40" i="114"/>
  <c r="AF40" i="114"/>
  <c r="AH40" i="114"/>
  <c r="AI40" i="114"/>
  <c r="AJ40" i="114"/>
  <c r="AK40" i="114"/>
  <c r="AW40" i="114"/>
  <c r="AX40" i="114"/>
  <c r="AY40" i="114"/>
  <c r="BB40" i="114"/>
  <c r="BC40" i="114"/>
  <c r="BD40" i="114"/>
  <c r="BE40" i="114"/>
  <c r="BH40" i="114"/>
  <c r="BI40" i="114"/>
  <c r="B41" i="114"/>
  <c r="C41" i="114"/>
  <c r="F41" i="114"/>
  <c r="H41" i="114"/>
  <c r="J41" i="114"/>
  <c r="L41" i="114"/>
  <c r="N41" i="114"/>
  <c r="P41" i="114"/>
  <c r="Q41" i="114"/>
  <c r="R41" i="114"/>
  <c r="S41" i="114"/>
  <c r="U41" i="114"/>
  <c r="W41" i="114"/>
  <c r="Y41" i="114"/>
  <c r="AC41" i="114"/>
  <c r="AD41" i="114"/>
  <c r="AF41" i="114"/>
  <c r="AH41" i="114"/>
  <c r="AI41" i="114"/>
  <c r="AJ41" i="114"/>
  <c r="AK41" i="114"/>
  <c r="AW41" i="114"/>
  <c r="AX41" i="114"/>
  <c r="AY41" i="114"/>
  <c r="BB41" i="114"/>
  <c r="BC41" i="114"/>
  <c r="BD41" i="114"/>
  <c r="BE41" i="114"/>
  <c r="BH41" i="114"/>
  <c r="BI41" i="114"/>
  <c r="B42" i="114"/>
  <c r="C42" i="114"/>
  <c r="F42" i="114"/>
  <c r="H42" i="114"/>
  <c r="J42" i="114"/>
  <c r="L42" i="114"/>
  <c r="N42" i="114"/>
  <c r="P42" i="114"/>
  <c r="Q42" i="114"/>
  <c r="R42" i="114"/>
  <c r="S42" i="114"/>
  <c r="U42" i="114"/>
  <c r="W42" i="114"/>
  <c r="Y42" i="114"/>
  <c r="AC42" i="114"/>
  <c r="AD42" i="114"/>
  <c r="AF42" i="114"/>
  <c r="AH42" i="114"/>
  <c r="AI42" i="114"/>
  <c r="AJ42" i="114"/>
  <c r="AK42" i="114"/>
  <c r="AW42" i="114"/>
  <c r="AX42" i="114"/>
  <c r="AY42" i="114"/>
  <c r="BB42" i="114"/>
  <c r="BC42" i="114"/>
  <c r="BD42" i="114"/>
  <c r="BE42" i="114"/>
  <c r="BH42" i="114"/>
  <c r="BI42" i="114"/>
  <c r="B43" i="114"/>
  <c r="C43" i="114"/>
  <c r="F43" i="114"/>
  <c r="H43" i="114"/>
  <c r="J43" i="114"/>
  <c r="L43" i="114"/>
  <c r="N43" i="114"/>
  <c r="P43" i="114"/>
  <c r="Q43" i="114"/>
  <c r="R43" i="114"/>
  <c r="S43" i="114"/>
  <c r="U43" i="114"/>
  <c r="W43" i="114"/>
  <c r="Y43" i="114"/>
  <c r="AC43" i="114"/>
  <c r="AD43" i="114"/>
  <c r="AF43" i="114"/>
  <c r="AH43" i="114"/>
  <c r="AI43" i="114"/>
  <c r="AJ43" i="114"/>
  <c r="AK43" i="114"/>
  <c r="AW43" i="114"/>
  <c r="AX43" i="114"/>
  <c r="AY43" i="114"/>
  <c r="BB43" i="114"/>
  <c r="BC43" i="114"/>
  <c r="BD43" i="114"/>
  <c r="BE43" i="114"/>
  <c r="BH43" i="114"/>
  <c r="BI43" i="114"/>
  <c r="B44" i="114"/>
  <c r="C44" i="114"/>
  <c r="F44" i="114"/>
  <c r="H44" i="114"/>
  <c r="J44" i="114"/>
  <c r="L44" i="114"/>
  <c r="N44" i="114"/>
  <c r="P44" i="114"/>
  <c r="Q44" i="114"/>
  <c r="R44" i="114"/>
  <c r="S44" i="114"/>
  <c r="U44" i="114"/>
  <c r="W44" i="114"/>
  <c r="Y44" i="114"/>
  <c r="AC44" i="114"/>
  <c r="AD44" i="114"/>
  <c r="AF44" i="114"/>
  <c r="AH44" i="114"/>
  <c r="AI44" i="114"/>
  <c r="AJ44" i="114"/>
  <c r="AK44" i="114"/>
  <c r="AW44" i="114"/>
  <c r="AX44" i="114"/>
  <c r="AY44" i="114"/>
  <c r="BB44" i="114"/>
  <c r="BC44" i="114"/>
  <c r="BD44" i="114"/>
  <c r="BE44" i="114"/>
  <c r="BH44" i="114"/>
  <c r="BI44" i="114"/>
  <c r="B45" i="114"/>
  <c r="C45" i="114"/>
  <c r="F45" i="114"/>
  <c r="H45" i="114"/>
  <c r="J45" i="114"/>
  <c r="L45" i="114"/>
  <c r="N45" i="114"/>
  <c r="P45" i="114"/>
  <c r="Q45" i="114"/>
  <c r="R45" i="114"/>
  <c r="S45" i="114"/>
  <c r="U45" i="114"/>
  <c r="W45" i="114"/>
  <c r="Y45" i="114"/>
  <c r="AC45" i="114"/>
  <c r="AD45" i="114"/>
  <c r="AF45" i="114"/>
  <c r="AH45" i="114"/>
  <c r="AI45" i="114"/>
  <c r="AJ45" i="114"/>
  <c r="AK45" i="114"/>
  <c r="AW45" i="114"/>
  <c r="AX45" i="114"/>
  <c r="AY45" i="114"/>
  <c r="BB45" i="114"/>
  <c r="BC45" i="114"/>
  <c r="BD45" i="114"/>
  <c r="BE45" i="114"/>
  <c r="BH45" i="114"/>
  <c r="BI45" i="114"/>
  <c r="B46" i="114"/>
  <c r="C46" i="114"/>
  <c r="F46" i="114"/>
  <c r="H46" i="114"/>
  <c r="J46" i="114"/>
  <c r="L46" i="114"/>
  <c r="N46" i="114"/>
  <c r="P46" i="114"/>
  <c r="Q46" i="114"/>
  <c r="R46" i="114"/>
  <c r="S46" i="114"/>
  <c r="U46" i="114"/>
  <c r="W46" i="114"/>
  <c r="Y46" i="114"/>
  <c r="AC46" i="114"/>
  <c r="AD46" i="114"/>
  <c r="AF46" i="114"/>
  <c r="AH46" i="114"/>
  <c r="AI46" i="114"/>
  <c r="AJ46" i="114"/>
  <c r="AK46" i="114"/>
  <c r="AW46" i="114"/>
  <c r="AX46" i="114"/>
  <c r="AY46" i="114"/>
  <c r="BB46" i="114"/>
  <c r="BC46" i="114"/>
  <c r="BD46" i="114"/>
  <c r="BE46" i="114"/>
  <c r="BH46" i="114"/>
  <c r="BI46" i="114"/>
  <c r="B47" i="114"/>
  <c r="C47" i="114"/>
  <c r="F47" i="114"/>
  <c r="H47" i="114"/>
  <c r="J47" i="114"/>
  <c r="L47" i="114"/>
  <c r="N47" i="114"/>
  <c r="P47" i="114"/>
  <c r="Q47" i="114"/>
  <c r="R47" i="114"/>
  <c r="S47" i="114"/>
  <c r="U47" i="114"/>
  <c r="W47" i="114"/>
  <c r="Y47" i="114"/>
  <c r="AC47" i="114"/>
  <c r="AD47" i="114"/>
  <c r="AF47" i="114"/>
  <c r="AH47" i="114"/>
  <c r="AI47" i="114"/>
  <c r="AJ47" i="114"/>
  <c r="AK47" i="114"/>
  <c r="AW47" i="114"/>
  <c r="AX47" i="114"/>
  <c r="AY47" i="114"/>
  <c r="BB47" i="114"/>
  <c r="BC47" i="114"/>
  <c r="BD47" i="114"/>
  <c r="BE47" i="114"/>
  <c r="BH47" i="114"/>
  <c r="BI47" i="114"/>
  <c r="B48" i="114"/>
  <c r="C48" i="114"/>
  <c r="F48" i="114"/>
  <c r="H48" i="114"/>
  <c r="J48" i="114"/>
  <c r="L48" i="114"/>
  <c r="N48" i="114"/>
  <c r="P48" i="114"/>
  <c r="Q48" i="114"/>
  <c r="R48" i="114"/>
  <c r="S48" i="114"/>
  <c r="U48" i="114"/>
  <c r="W48" i="114"/>
  <c r="Y48" i="114"/>
  <c r="AC48" i="114"/>
  <c r="AD48" i="114"/>
  <c r="AF48" i="114"/>
  <c r="AH48" i="114"/>
  <c r="AI48" i="114"/>
  <c r="AJ48" i="114"/>
  <c r="AK48" i="114"/>
  <c r="AW48" i="114"/>
  <c r="AX48" i="114"/>
  <c r="AY48" i="114"/>
  <c r="BB48" i="114"/>
  <c r="BC48" i="114"/>
  <c r="BD48" i="114"/>
  <c r="BE48" i="114"/>
  <c r="BH48" i="114"/>
  <c r="BI48" i="114"/>
  <c r="B49" i="114"/>
  <c r="C49" i="114"/>
  <c r="F49" i="114"/>
  <c r="H49" i="114"/>
  <c r="J49" i="114"/>
  <c r="L49" i="114"/>
  <c r="N49" i="114"/>
  <c r="P49" i="114"/>
  <c r="Q49" i="114"/>
  <c r="R49" i="114"/>
  <c r="S49" i="114"/>
  <c r="U49" i="114"/>
  <c r="W49" i="114"/>
  <c r="Y49" i="114"/>
  <c r="AC49" i="114"/>
  <c r="AD49" i="114"/>
  <c r="AF49" i="114"/>
  <c r="AH49" i="114"/>
  <c r="AI49" i="114"/>
  <c r="AJ49" i="114"/>
  <c r="AK49" i="114"/>
  <c r="AW49" i="114"/>
  <c r="AX49" i="114"/>
  <c r="AY49" i="114"/>
  <c r="BB49" i="114"/>
  <c r="BC49" i="114"/>
  <c r="BD49" i="114"/>
  <c r="BE49" i="114"/>
  <c r="BH49" i="114"/>
  <c r="BI49" i="114"/>
  <c r="B50" i="114"/>
  <c r="C50" i="114"/>
  <c r="F50" i="114"/>
  <c r="H50" i="114"/>
  <c r="J50" i="114"/>
  <c r="L50" i="114"/>
  <c r="N50" i="114"/>
  <c r="P50" i="114"/>
  <c r="Q50" i="114"/>
  <c r="R50" i="114"/>
  <c r="S50" i="114"/>
  <c r="U50" i="114"/>
  <c r="W50" i="114"/>
  <c r="Y50" i="114"/>
  <c r="AC50" i="114"/>
  <c r="AD50" i="114"/>
  <c r="AF50" i="114"/>
  <c r="AH50" i="114"/>
  <c r="AI50" i="114"/>
  <c r="AJ50" i="114"/>
  <c r="AK50" i="114"/>
  <c r="AW50" i="114"/>
  <c r="AX50" i="114"/>
  <c r="AY50" i="114"/>
  <c r="BB50" i="114"/>
  <c r="BC50" i="114"/>
  <c r="BD50" i="114"/>
  <c r="BE50" i="114"/>
  <c r="BH50" i="114"/>
  <c r="BI50" i="114"/>
  <c r="C51" i="114"/>
  <c r="D51" i="114"/>
  <c r="E51" i="114"/>
  <c r="F51" i="114"/>
  <c r="G51" i="114"/>
  <c r="H51" i="114"/>
  <c r="I51" i="114"/>
  <c r="J51" i="114"/>
  <c r="K51" i="114"/>
  <c r="L51" i="114"/>
  <c r="M51" i="114"/>
  <c r="N51" i="114"/>
  <c r="O51" i="114"/>
  <c r="P51" i="114"/>
  <c r="Q51" i="114"/>
  <c r="R51" i="114"/>
  <c r="S51" i="114"/>
  <c r="T51" i="114"/>
  <c r="U51" i="114"/>
  <c r="V51" i="114"/>
  <c r="W51" i="114"/>
  <c r="X51" i="114"/>
  <c r="Y51" i="114"/>
  <c r="AD51" i="114"/>
  <c r="AE51" i="114"/>
  <c r="AF51" i="114"/>
  <c r="AG51" i="114"/>
  <c r="AH51" i="114"/>
  <c r="AI51" i="114"/>
  <c r="AJ51" i="114"/>
  <c r="AK51" i="114"/>
  <c r="AX51" i="114"/>
  <c r="AY51" i="114"/>
  <c r="AZ51" i="114"/>
  <c r="BA51" i="114"/>
  <c r="BB51" i="114"/>
  <c r="BC51" i="114"/>
  <c r="BD51" i="114"/>
  <c r="BE51" i="114"/>
  <c r="BF51" i="114"/>
  <c r="BG51" i="114"/>
  <c r="BH51" i="114"/>
  <c r="BI51" i="114"/>
  <c r="AN10" i="113"/>
  <c r="AO10" i="113"/>
  <c r="AQ10" i="113"/>
  <c r="AS10" i="113"/>
  <c r="AT10" i="113"/>
  <c r="B11" i="113"/>
  <c r="C11" i="113"/>
  <c r="F11" i="113"/>
  <c r="H11" i="113"/>
  <c r="J11" i="113"/>
  <c r="L11" i="113"/>
  <c r="N11" i="113"/>
  <c r="P11" i="113"/>
  <c r="Q11" i="113"/>
  <c r="R11" i="113"/>
  <c r="S11" i="113"/>
  <c r="U11" i="113"/>
  <c r="W11" i="113"/>
  <c r="Y11" i="113"/>
  <c r="AC11" i="113"/>
  <c r="AD11" i="113"/>
  <c r="AF11" i="113"/>
  <c r="AH11" i="113"/>
  <c r="AI11" i="113"/>
  <c r="AJ11" i="113"/>
  <c r="AK11" i="113"/>
  <c r="AN11" i="113"/>
  <c r="AO11" i="113"/>
  <c r="AQ11" i="113"/>
  <c r="AS11" i="113"/>
  <c r="AT11" i="113"/>
  <c r="AW11" i="113"/>
  <c r="AX11" i="113"/>
  <c r="AY11" i="113"/>
  <c r="BB11" i="113"/>
  <c r="BC11" i="113"/>
  <c r="BD11" i="113"/>
  <c r="BE11" i="113"/>
  <c r="BH11" i="113"/>
  <c r="BI11" i="113"/>
  <c r="B12" i="113"/>
  <c r="C12" i="113"/>
  <c r="F12" i="113"/>
  <c r="H12" i="113"/>
  <c r="J12" i="113"/>
  <c r="L12" i="113"/>
  <c r="N12" i="113"/>
  <c r="P12" i="113"/>
  <c r="Q12" i="113"/>
  <c r="R12" i="113"/>
  <c r="S12" i="113"/>
  <c r="U12" i="113"/>
  <c r="W12" i="113"/>
  <c r="Y12" i="113"/>
  <c r="AC12" i="113"/>
  <c r="AD12" i="113"/>
  <c r="AF12" i="113"/>
  <c r="AH12" i="113"/>
  <c r="AI12" i="113"/>
  <c r="AJ12" i="113"/>
  <c r="AK12" i="113"/>
  <c r="AN12" i="113"/>
  <c r="AO12" i="113"/>
  <c r="AQ12" i="113"/>
  <c r="AS12" i="113"/>
  <c r="AT12" i="113"/>
  <c r="AW12" i="113"/>
  <c r="AX12" i="113"/>
  <c r="AY12" i="113"/>
  <c r="BB12" i="113"/>
  <c r="BC12" i="113"/>
  <c r="BD12" i="113"/>
  <c r="BE12" i="113"/>
  <c r="BH12" i="113"/>
  <c r="BI12" i="113"/>
  <c r="B13" i="113"/>
  <c r="C13" i="113"/>
  <c r="F13" i="113"/>
  <c r="H13" i="113"/>
  <c r="J13" i="113"/>
  <c r="L13" i="113"/>
  <c r="N13" i="113"/>
  <c r="P13" i="113"/>
  <c r="Q13" i="113"/>
  <c r="R13" i="113"/>
  <c r="S13" i="113"/>
  <c r="U13" i="113"/>
  <c r="W13" i="113"/>
  <c r="Y13" i="113"/>
  <c r="AC13" i="113"/>
  <c r="AD13" i="113"/>
  <c r="AF13" i="113"/>
  <c r="AH13" i="113"/>
  <c r="AI13" i="113"/>
  <c r="AJ13" i="113"/>
  <c r="AK13" i="113"/>
  <c r="AO13" i="113"/>
  <c r="AP13" i="113"/>
  <c r="AQ13" i="113"/>
  <c r="AR13" i="113"/>
  <c r="AS13" i="113"/>
  <c r="AT13" i="113"/>
  <c r="AW13" i="113"/>
  <c r="AX13" i="113"/>
  <c r="AY13" i="113"/>
  <c r="BB13" i="113"/>
  <c r="BC13" i="113"/>
  <c r="BD13" i="113"/>
  <c r="BE13" i="113"/>
  <c r="BH13" i="113"/>
  <c r="BI13" i="113"/>
  <c r="B14" i="113"/>
  <c r="C14" i="113"/>
  <c r="F14" i="113"/>
  <c r="H14" i="113"/>
  <c r="J14" i="113"/>
  <c r="L14" i="113"/>
  <c r="N14" i="113"/>
  <c r="P14" i="113"/>
  <c r="Q14" i="113"/>
  <c r="R14" i="113"/>
  <c r="S14" i="113"/>
  <c r="U14" i="113"/>
  <c r="W14" i="113"/>
  <c r="Y14" i="113"/>
  <c r="AC14" i="113"/>
  <c r="AD14" i="113"/>
  <c r="AF14" i="113"/>
  <c r="AH14" i="113"/>
  <c r="AI14" i="113"/>
  <c r="AJ14" i="113"/>
  <c r="AK14" i="113"/>
  <c r="AT14" i="113"/>
  <c r="AW14" i="113"/>
  <c r="AX14" i="113"/>
  <c r="AY14" i="113"/>
  <c r="BB14" i="113"/>
  <c r="BC14" i="113"/>
  <c r="BD14" i="113"/>
  <c r="BE14" i="113"/>
  <c r="BH14" i="113"/>
  <c r="BI14" i="113"/>
  <c r="B15" i="113"/>
  <c r="C15" i="113"/>
  <c r="F15" i="113"/>
  <c r="H15" i="113"/>
  <c r="J15" i="113"/>
  <c r="L15" i="113"/>
  <c r="N15" i="113"/>
  <c r="P15" i="113"/>
  <c r="Q15" i="113"/>
  <c r="R15" i="113"/>
  <c r="S15" i="113"/>
  <c r="U15" i="113"/>
  <c r="W15" i="113"/>
  <c r="Y15" i="113"/>
  <c r="AC15" i="113"/>
  <c r="AD15" i="113"/>
  <c r="AF15" i="113"/>
  <c r="AH15" i="113"/>
  <c r="AI15" i="113"/>
  <c r="AJ15" i="113"/>
  <c r="AK15" i="113"/>
  <c r="AW15" i="113"/>
  <c r="AX15" i="113"/>
  <c r="AY15" i="113"/>
  <c r="BB15" i="113"/>
  <c r="BC15" i="113"/>
  <c r="BD15" i="113"/>
  <c r="BE15" i="113"/>
  <c r="BH15" i="113"/>
  <c r="BI15" i="113"/>
  <c r="B16" i="113"/>
  <c r="C16" i="113"/>
  <c r="F16" i="113"/>
  <c r="H16" i="113"/>
  <c r="J16" i="113"/>
  <c r="L16" i="113"/>
  <c r="N16" i="113"/>
  <c r="P16" i="113"/>
  <c r="Q16" i="113"/>
  <c r="R16" i="113"/>
  <c r="S16" i="113"/>
  <c r="U16" i="113"/>
  <c r="W16" i="113"/>
  <c r="Y16" i="113"/>
  <c r="AC16" i="113"/>
  <c r="AD16" i="113"/>
  <c r="AF16" i="113"/>
  <c r="AH16" i="113"/>
  <c r="AI16" i="113"/>
  <c r="AJ16" i="113"/>
  <c r="AK16" i="113"/>
  <c r="AW16" i="113"/>
  <c r="AX16" i="113"/>
  <c r="AY16" i="113"/>
  <c r="BB16" i="113"/>
  <c r="BC16" i="113"/>
  <c r="BD16" i="113"/>
  <c r="BE16" i="113"/>
  <c r="BH16" i="113"/>
  <c r="BI16" i="113"/>
  <c r="B17" i="113"/>
  <c r="C17" i="113"/>
  <c r="F17" i="113"/>
  <c r="H17" i="113"/>
  <c r="J17" i="113"/>
  <c r="L17" i="113"/>
  <c r="N17" i="113"/>
  <c r="P17" i="113"/>
  <c r="Q17" i="113"/>
  <c r="R17" i="113"/>
  <c r="S17" i="113"/>
  <c r="U17" i="113"/>
  <c r="W17" i="113"/>
  <c r="Y17" i="113"/>
  <c r="AC17" i="113"/>
  <c r="AD17" i="113"/>
  <c r="AF17" i="113"/>
  <c r="AH17" i="113"/>
  <c r="AI17" i="113"/>
  <c r="AJ17" i="113"/>
  <c r="AK17" i="113"/>
  <c r="AW17" i="113"/>
  <c r="AX17" i="113"/>
  <c r="AY17" i="113"/>
  <c r="BB17" i="113"/>
  <c r="BC17" i="113"/>
  <c r="BD17" i="113"/>
  <c r="BE17" i="113"/>
  <c r="BH17" i="113"/>
  <c r="BI17" i="113"/>
  <c r="B18" i="113"/>
  <c r="C18" i="113"/>
  <c r="F18" i="113"/>
  <c r="H18" i="113"/>
  <c r="J18" i="113"/>
  <c r="L18" i="113"/>
  <c r="N18" i="113"/>
  <c r="P18" i="113"/>
  <c r="Q18" i="113"/>
  <c r="R18" i="113"/>
  <c r="S18" i="113"/>
  <c r="U18" i="113"/>
  <c r="W18" i="113"/>
  <c r="Y18" i="113"/>
  <c r="AC18" i="113"/>
  <c r="AD18" i="113"/>
  <c r="AF18" i="113"/>
  <c r="AH18" i="113"/>
  <c r="AI18" i="113"/>
  <c r="AJ18" i="113"/>
  <c r="AK18" i="113"/>
  <c r="AW18" i="113"/>
  <c r="AX18" i="113"/>
  <c r="AY18" i="113"/>
  <c r="BB18" i="113"/>
  <c r="BC18" i="113"/>
  <c r="BD18" i="113"/>
  <c r="BE18" i="113"/>
  <c r="BH18" i="113"/>
  <c r="BI18" i="113"/>
  <c r="B19" i="113"/>
  <c r="C19" i="113"/>
  <c r="F19" i="113"/>
  <c r="H19" i="113"/>
  <c r="J19" i="113"/>
  <c r="L19" i="113"/>
  <c r="N19" i="113"/>
  <c r="P19" i="113"/>
  <c r="Q19" i="113"/>
  <c r="R19" i="113"/>
  <c r="S19" i="113"/>
  <c r="U19" i="113"/>
  <c r="W19" i="113"/>
  <c r="Y19" i="113"/>
  <c r="AC19" i="113"/>
  <c r="AD19" i="113"/>
  <c r="AF19" i="113"/>
  <c r="AH19" i="113"/>
  <c r="AI19" i="113"/>
  <c r="AJ19" i="113"/>
  <c r="AK19" i="113"/>
  <c r="AW19" i="113"/>
  <c r="AX19" i="113"/>
  <c r="AY19" i="113"/>
  <c r="BB19" i="113"/>
  <c r="BC19" i="113"/>
  <c r="BD19" i="113"/>
  <c r="BE19" i="113"/>
  <c r="BH19" i="113"/>
  <c r="BI19" i="113"/>
  <c r="B20" i="113"/>
  <c r="C20" i="113"/>
  <c r="F20" i="113"/>
  <c r="H20" i="113"/>
  <c r="J20" i="113"/>
  <c r="L20" i="113"/>
  <c r="N20" i="113"/>
  <c r="P20" i="113"/>
  <c r="Q20" i="113"/>
  <c r="R20" i="113"/>
  <c r="S20" i="113"/>
  <c r="U20" i="113"/>
  <c r="W20" i="113"/>
  <c r="Y20" i="113"/>
  <c r="AC20" i="113"/>
  <c r="AD20" i="113"/>
  <c r="AF20" i="113"/>
  <c r="AH20" i="113"/>
  <c r="AI20" i="113"/>
  <c r="AJ20" i="113"/>
  <c r="AK20" i="113"/>
  <c r="AW20" i="113"/>
  <c r="AX20" i="113"/>
  <c r="AY20" i="113"/>
  <c r="BB20" i="113"/>
  <c r="BC20" i="113"/>
  <c r="BD20" i="113"/>
  <c r="BE20" i="113"/>
  <c r="BH20" i="113"/>
  <c r="BI20" i="113"/>
  <c r="B21" i="113"/>
  <c r="C21" i="113"/>
  <c r="F21" i="113"/>
  <c r="H21" i="113"/>
  <c r="J21" i="113"/>
  <c r="L21" i="113"/>
  <c r="N21" i="113"/>
  <c r="P21" i="113"/>
  <c r="Q21" i="113"/>
  <c r="R21" i="113"/>
  <c r="S21" i="113"/>
  <c r="U21" i="113"/>
  <c r="W21" i="113"/>
  <c r="Y21" i="113"/>
  <c r="AC21" i="113"/>
  <c r="AD21" i="113"/>
  <c r="AF21" i="113"/>
  <c r="AH21" i="113"/>
  <c r="AI21" i="113"/>
  <c r="AJ21" i="113"/>
  <c r="AK21" i="113"/>
  <c r="AW21" i="113"/>
  <c r="AX21" i="113"/>
  <c r="AY21" i="113"/>
  <c r="BB21" i="113"/>
  <c r="BC21" i="113"/>
  <c r="BD21" i="113"/>
  <c r="BE21" i="113"/>
  <c r="BH21" i="113"/>
  <c r="BI21" i="113"/>
  <c r="B22" i="113"/>
  <c r="C22" i="113"/>
  <c r="F22" i="113"/>
  <c r="H22" i="113"/>
  <c r="J22" i="113"/>
  <c r="L22" i="113"/>
  <c r="N22" i="113"/>
  <c r="P22" i="113"/>
  <c r="Q22" i="113"/>
  <c r="R22" i="113"/>
  <c r="S22" i="113"/>
  <c r="U22" i="113"/>
  <c r="W22" i="113"/>
  <c r="Y22" i="113"/>
  <c r="AC22" i="113"/>
  <c r="AD22" i="113"/>
  <c r="AF22" i="113"/>
  <c r="AH22" i="113"/>
  <c r="AI22" i="113"/>
  <c r="AJ22" i="113"/>
  <c r="AK22" i="113"/>
  <c r="AW22" i="113"/>
  <c r="AX22" i="113"/>
  <c r="AY22" i="113"/>
  <c r="BB22" i="113"/>
  <c r="BC22" i="113"/>
  <c r="BD22" i="113"/>
  <c r="BE22" i="113"/>
  <c r="BH22" i="113"/>
  <c r="BI22" i="113"/>
  <c r="B23" i="113"/>
  <c r="C23" i="113"/>
  <c r="F23" i="113"/>
  <c r="H23" i="113"/>
  <c r="J23" i="113"/>
  <c r="L23" i="113"/>
  <c r="N23" i="113"/>
  <c r="P23" i="113"/>
  <c r="Q23" i="113"/>
  <c r="R23" i="113"/>
  <c r="S23" i="113"/>
  <c r="U23" i="113"/>
  <c r="W23" i="113"/>
  <c r="Y23" i="113"/>
  <c r="AC23" i="113"/>
  <c r="AD23" i="113"/>
  <c r="AF23" i="113"/>
  <c r="AH23" i="113"/>
  <c r="AI23" i="113"/>
  <c r="AJ23" i="113"/>
  <c r="AK23" i="113"/>
  <c r="AW23" i="113"/>
  <c r="AX23" i="113"/>
  <c r="AY23" i="113"/>
  <c r="BB23" i="113"/>
  <c r="BC23" i="113"/>
  <c r="BD23" i="113"/>
  <c r="BE23" i="113"/>
  <c r="BH23" i="113"/>
  <c r="BI23" i="113"/>
  <c r="B24" i="113"/>
  <c r="C24" i="113"/>
  <c r="F24" i="113"/>
  <c r="H24" i="113"/>
  <c r="J24" i="113"/>
  <c r="L24" i="113"/>
  <c r="N24" i="113"/>
  <c r="P24" i="113"/>
  <c r="Q24" i="113"/>
  <c r="R24" i="113"/>
  <c r="S24" i="113"/>
  <c r="U24" i="113"/>
  <c r="W24" i="113"/>
  <c r="Y24" i="113"/>
  <c r="AC24" i="113"/>
  <c r="AD24" i="113"/>
  <c r="AF24" i="113"/>
  <c r="AH24" i="113"/>
  <c r="AI24" i="113"/>
  <c r="AJ24" i="113"/>
  <c r="AK24" i="113"/>
  <c r="AW24" i="113"/>
  <c r="AX24" i="113"/>
  <c r="AY24" i="113"/>
  <c r="BB24" i="113"/>
  <c r="BC24" i="113"/>
  <c r="BD24" i="113"/>
  <c r="BE24" i="113"/>
  <c r="BH24" i="113"/>
  <c r="BI24" i="113"/>
  <c r="B25" i="113"/>
  <c r="C25" i="113"/>
  <c r="F25" i="113"/>
  <c r="H25" i="113"/>
  <c r="J25" i="113"/>
  <c r="L25" i="113"/>
  <c r="N25" i="113"/>
  <c r="P25" i="113"/>
  <c r="Q25" i="113"/>
  <c r="R25" i="113"/>
  <c r="S25" i="113"/>
  <c r="U25" i="113"/>
  <c r="W25" i="113"/>
  <c r="Y25" i="113"/>
  <c r="AC25" i="113"/>
  <c r="AD25" i="113"/>
  <c r="AF25" i="113"/>
  <c r="AH25" i="113"/>
  <c r="AI25" i="113"/>
  <c r="AJ25" i="113"/>
  <c r="AK25" i="113"/>
  <c r="AW25" i="113"/>
  <c r="AX25" i="113"/>
  <c r="AY25" i="113"/>
  <c r="BB25" i="113"/>
  <c r="BC25" i="113"/>
  <c r="BD25" i="113"/>
  <c r="BE25" i="113"/>
  <c r="BH25" i="113"/>
  <c r="BI25" i="113"/>
  <c r="B26" i="113"/>
  <c r="C26" i="113"/>
  <c r="F26" i="113"/>
  <c r="H26" i="113"/>
  <c r="J26" i="113"/>
  <c r="L26" i="113"/>
  <c r="N26" i="113"/>
  <c r="P26" i="113"/>
  <c r="Q26" i="113"/>
  <c r="R26" i="113"/>
  <c r="S26" i="113"/>
  <c r="U26" i="113"/>
  <c r="W26" i="113"/>
  <c r="Y26" i="113"/>
  <c r="AC26" i="113"/>
  <c r="AD26" i="113"/>
  <c r="AF26" i="113"/>
  <c r="AH26" i="113"/>
  <c r="AI26" i="113"/>
  <c r="AJ26" i="113"/>
  <c r="AK26" i="113"/>
  <c r="AW26" i="113"/>
  <c r="AX26" i="113"/>
  <c r="AY26" i="113"/>
  <c r="BB26" i="113"/>
  <c r="BC26" i="113"/>
  <c r="BD26" i="113"/>
  <c r="BE26" i="113"/>
  <c r="BH26" i="113"/>
  <c r="BI26" i="113"/>
  <c r="B27" i="113"/>
  <c r="C27" i="113"/>
  <c r="F27" i="113"/>
  <c r="H27" i="113"/>
  <c r="J27" i="113"/>
  <c r="L27" i="113"/>
  <c r="N27" i="113"/>
  <c r="P27" i="113"/>
  <c r="Q27" i="113"/>
  <c r="R27" i="113"/>
  <c r="S27" i="113"/>
  <c r="U27" i="113"/>
  <c r="W27" i="113"/>
  <c r="Y27" i="113"/>
  <c r="AC27" i="113"/>
  <c r="AD27" i="113"/>
  <c r="AF27" i="113"/>
  <c r="AH27" i="113"/>
  <c r="AI27" i="113"/>
  <c r="AJ27" i="113"/>
  <c r="AK27" i="113"/>
  <c r="AW27" i="113"/>
  <c r="AX27" i="113"/>
  <c r="AY27" i="113"/>
  <c r="BB27" i="113"/>
  <c r="BC27" i="113"/>
  <c r="BD27" i="113"/>
  <c r="BE27" i="113"/>
  <c r="BH27" i="113"/>
  <c r="BI27" i="113"/>
  <c r="B28" i="113"/>
  <c r="C28" i="113"/>
  <c r="F28" i="113"/>
  <c r="H28" i="113"/>
  <c r="J28" i="113"/>
  <c r="L28" i="113"/>
  <c r="N28" i="113"/>
  <c r="P28" i="113"/>
  <c r="Q28" i="113"/>
  <c r="R28" i="113"/>
  <c r="S28" i="113"/>
  <c r="U28" i="113"/>
  <c r="W28" i="113"/>
  <c r="Y28" i="113"/>
  <c r="AC28" i="113"/>
  <c r="AD28" i="113"/>
  <c r="AF28" i="113"/>
  <c r="AH28" i="113"/>
  <c r="AI28" i="113"/>
  <c r="AJ28" i="113"/>
  <c r="AK28" i="113"/>
  <c r="AW28" i="113"/>
  <c r="AX28" i="113"/>
  <c r="AY28" i="113"/>
  <c r="BB28" i="113"/>
  <c r="BC28" i="113"/>
  <c r="BD28" i="113"/>
  <c r="BE28" i="113"/>
  <c r="BH28" i="113"/>
  <c r="BI28" i="113"/>
  <c r="B29" i="113"/>
  <c r="C29" i="113"/>
  <c r="F29" i="113"/>
  <c r="H29" i="113"/>
  <c r="J29" i="113"/>
  <c r="L29" i="113"/>
  <c r="N29" i="113"/>
  <c r="P29" i="113"/>
  <c r="Q29" i="113"/>
  <c r="R29" i="113"/>
  <c r="S29" i="113"/>
  <c r="U29" i="113"/>
  <c r="W29" i="113"/>
  <c r="Y29" i="113"/>
  <c r="AC29" i="113"/>
  <c r="AD29" i="113"/>
  <c r="AF29" i="113"/>
  <c r="AH29" i="113"/>
  <c r="AI29" i="113"/>
  <c r="AJ29" i="113"/>
  <c r="AK29" i="113"/>
  <c r="AW29" i="113"/>
  <c r="AX29" i="113"/>
  <c r="AY29" i="113"/>
  <c r="BB29" i="113"/>
  <c r="BC29" i="113"/>
  <c r="BD29" i="113"/>
  <c r="BE29" i="113"/>
  <c r="BH29" i="113"/>
  <c r="BI29" i="113"/>
  <c r="B30" i="113"/>
  <c r="C30" i="113"/>
  <c r="F30" i="113"/>
  <c r="H30" i="113"/>
  <c r="J30" i="113"/>
  <c r="L30" i="113"/>
  <c r="N30" i="113"/>
  <c r="P30" i="113"/>
  <c r="Q30" i="113"/>
  <c r="R30" i="113"/>
  <c r="S30" i="113"/>
  <c r="U30" i="113"/>
  <c r="W30" i="113"/>
  <c r="Y30" i="113"/>
  <c r="AC30" i="113"/>
  <c r="AD30" i="113"/>
  <c r="AF30" i="113"/>
  <c r="AH30" i="113"/>
  <c r="AI30" i="113"/>
  <c r="AJ30" i="113"/>
  <c r="AK30" i="113"/>
  <c r="AW30" i="113"/>
  <c r="AX30" i="113"/>
  <c r="AY30" i="113"/>
  <c r="BB30" i="113"/>
  <c r="BC30" i="113"/>
  <c r="BD30" i="113"/>
  <c r="BE30" i="113"/>
  <c r="BH30" i="113"/>
  <c r="BI30" i="113"/>
  <c r="B31" i="113"/>
  <c r="C31" i="113"/>
  <c r="F31" i="113"/>
  <c r="H31" i="113"/>
  <c r="J31" i="113"/>
  <c r="L31" i="113"/>
  <c r="N31" i="113"/>
  <c r="P31" i="113"/>
  <c r="Q31" i="113"/>
  <c r="R31" i="113"/>
  <c r="S31" i="113"/>
  <c r="U31" i="113"/>
  <c r="W31" i="113"/>
  <c r="Y31" i="113"/>
  <c r="AC31" i="113"/>
  <c r="AD31" i="113"/>
  <c r="AF31" i="113"/>
  <c r="AH31" i="113"/>
  <c r="AI31" i="113"/>
  <c r="AJ31" i="113"/>
  <c r="AK31" i="113"/>
  <c r="AW31" i="113"/>
  <c r="AX31" i="113"/>
  <c r="AY31" i="113"/>
  <c r="BB31" i="113"/>
  <c r="BC31" i="113"/>
  <c r="BD31" i="113"/>
  <c r="BE31" i="113"/>
  <c r="BH31" i="113"/>
  <c r="BI31" i="113"/>
  <c r="B32" i="113"/>
  <c r="C32" i="113"/>
  <c r="F32" i="113"/>
  <c r="H32" i="113"/>
  <c r="J32" i="113"/>
  <c r="L32" i="113"/>
  <c r="N32" i="113"/>
  <c r="P32" i="113"/>
  <c r="Q32" i="113"/>
  <c r="R32" i="113"/>
  <c r="S32" i="113"/>
  <c r="U32" i="113"/>
  <c r="W32" i="113"/>
  <c r="Y32" i="113"/>
  <c r="AC32" i="113"/>
  <c r="AD32" i="113"/>
  <c r="AF32" i="113"/>
  <c r="AH32" i="113"/>
  <c r="AI32" i="113"/>
  <c r="AJ32" i="113"/>
  <c r="AK32" i="113"/>
  <c r="AW32" i="113"/>
  <c r="AX32" i="113"/>
  <c r="AY32" i="113"/>
  <c r="BB32" i="113"/>
  <c r="BC32" i="113"/>
  <c r="BD32" i="113"/>
  <c r="BE32" i="113"/>
  <c r="BH32" i="113"/>
  <c r="BI32" i="113"/>
  <c r="B33" i="113"/>
  <c r="C33" i="113"/>
  <c r="F33" i="113"/>
  <c r="H33" i="113"/>
  <c r="J33" i="113"/>
  <c r="L33" i="113"/>
  <c r="N33" i="113"/>
  <c r="P33" i="113"/>
  <c r="Q33" i="113"/>
  <c r="R33" i="113"/>
  <c r="S33" i="113"/>
  <c r="U33" i="113"/>
  <c r="W33" i="113"/>
  <c r="Y33" i="113"/>
  <c r="AC33" i="113"/>
  <c r="AD33" i="113"/>
  <c r="AF33" i="113"/>
  <c r="AH33" i="113"/>
  <c r="AI33" i="113"/>
  <c r="AJ33" i="113"/>
  <c r="AK33" i="113"/>
  <c r="AW33" i="113"/>
  <c r="AX33" i="113"/>
  <c r="AY33" i="113"/>
  <c r="BB33" i="113"/>
  <c r="BC33" i="113"/>
  <c r="BD33" i="113"/>
  <c r="BE33" i="113"/>
  <c r="BH33" i="113"/>
  <c r="BI33" i="113"/>
  <c r="B34" i="113"/>
  <c r="C34" i="113"/>
  <c r="F34" i="113"/>
  <c r="H34" i="113"/>
  <c r="J34" i="113"/>
  <c r="L34" i="113"/>
  <c r="N34" i="113"/>
  <c r="P34" i="113"/>
  <c r="Q34" i="113"/>
  <c r="R34" i="113"/>
  <c r="S34" i="113"/>
  <c r="U34" i="113"/>
  <c r="W34" i="113"/>
  <c r="Y34" i="113"/>
  <c r="AC34" i="113"/>
  <c r="AD34" i="113"/>
  <c r="AF34" i="113"/>
  <c r="AH34" i="113"/>
  <c r="AI34" i="113"/>
  <c r="AJ34" i="113"/>
  <c r="AK34" i="113"/>
  <c r="AW34" i="113"/>
  <c r="AX34" i="113"/>
  <c r="AY34" i="113"/>
  <c r="BB34" i="113"/>
  <c r="BC34" i="113"/>
  <c r="BD34" i="113"/>
  <c r="BE34" i="113"/>
  <c r="BH34" i="113"/>
  <c r="BI34" i="113"/>
  <c r="B35" i="113"/>
  <c r="C35" i="113"/>
  <c r="F35" i="113"/>
  <c r="H35" i="113"/>
  <c r="J35" i="113"/>
  <c r="L35" i="113"/>
  <c r="N35" i="113"/>
  <c r="P35" i="113"/>
  <c r="Q35" i="113"/>
  <c r="R35" i="113"/>
  <c r="S35" i="113"/>
  <c r="U35" i="113"/>
  <c r="W35" i="113"/>
  <c r="Y35" i="113"/>
  <c r="AC35" i="113"/>
  <c r="AD35" i="113"/>
  <c r="AF35" i="113"/>
  <c r="AH35" i="113"/>
  <c r="AI35" i="113"/>
  <c r="AJ35" i="113"/>
  <c r="AK35" i="113"/>
  <c r="AW35" i="113"/>
  <c r="AX35" i="113"/>
  <c r="AY35" i="113"/>
  <c r="BB35" i="113"/>
  <c r="BC35" i="113"/>
  <c r="BD35" i="113"/>
  <c r="BE35" i="113"/>
  <c r="BH35" i="113"/>
  <c r="BI35" i="113"/>
  <c r="B36" i="113"/>
  <c r="C36" i="113"/>
  <c r="F36" i="113"/>
  <c r="H36" i="113"/>
  <c r="J36" i="113"/>
  <c r="L36" i="113"/>
  <c r="N36" i="113"/>
  <c r="P36" i="113"/>
  <c r="Q36" i="113"/>
  <c r="R36" i="113"/>
  <c r="S36" i="113"/>
  <c r="U36" i="113"/>
  <c r="W36" i="113"/>
  <c r="Y36" i="113"/>
  <c r="AC36" i="113"/>
  <c r="AD36" i="113"/>
  <c r="AF36" i="113"/>
  <c r="AH36" i="113"/>
  <c r="AI36" i="113"/>
  <c r="AJ36" i="113"/>
  <c r="AK36" i="113"/>
  <c r="AW36" i="113"/>
  <c r="AX36" i="113"/>
  <c r="AY36" i="113"/>
  <c r="BB36" i="113"/>
  <c r="BC36" i="113"/>
  <c r="BD36" i="113"/>
  <c r="BE36" i="113"/>
  <c r="BH36" i="113"/>
  <c r="BI36" i="113"/>
  <c r="B37" i="113"/>
  <c r="C37" i="113"/>
  <c r="F37" i="113"/>
  <c r="H37" i="113"/>
  <c r="J37" i="113"/>
  <c r="L37" i="113"/>
  <c r="N37" i="113"/>
  <c r="P37" i="113"/>
  <c r="Q37" i="113"/>
  <c r="R37" i="113"/>
  <c r="S37" i="113"/>
  <c r="U37" i="113"/>
  <c r="W37" i="113"/>
  <c r="Y37" i="113"/>
  <c r="AC37" i="113"/>
  <c r="AD37" i="113"/>
  <c r="AF37" i="113"/>
  <c r="AH37" i="113"/>
  <c r="AI37" i="113"/>
  <c r="AJ37" i="113"/>
  <c r="AK37" i="113"/>
  <c r="AW37" i="113"/>
  <c r="AX37" i="113"/>
  <c r="AY37" i="113"/>
  <c r="BB37" i="113"/>
  <c r="BC37" i="113"/>
  <c r="BD37" i="113"/>
  <c r="BE37" i="113"/>
  <c r="BH37" i="113"/>
  <c r="BI37" i="113"/>
  <c r="B38" i="113"/>
  <c r="C38" i="113"/>
  <c r="F38" i="113"/>
  <c r="H38" i="113"/>
  <c r="J38" i="113"/>
  <c r="L38" i="113"/>
  <c r="N38" i="113"/>
  <c r="P38" i="113"/>
  <c r="Q38" i="113"/>
  <c r="R38" i="113"/>
  <c r="S38" i="113"/>
  <c r="U38" i="113"/>
  <c r="W38" i="113"/>
  <c r="Y38" i="113"/>
  <c r="AC38" i="113"/>
  <c r="AD38" i="113"/>
  <c r="AF38" i="113"/>
  <c r="AH38" i="113"/>
  <c r="AI38" i="113"/>
  <c r="AJ38" i="113"/>
  <c r="AK38" i="113"/>
  <c r="AW38" i="113"/>
  <c r="AX38" i="113"/>
  <c r="AY38" i="113"/>
  <c r="BB38" i="113"/>
  <c r="BC38" i="113"/>
  <c r="BD38" i="113"/>
  <c r="BE38" i="113"/>
  <c r="BH38" i="113"/>
  <c r="BI38" i="113"/>
  <c r="B39" i="113"/>
  <c r="C39" i="113"/>
  <c r="F39" i="113"/>
  <c r="H39" i="113"/>
  <c r="J39" i="113"/>
  <c r="L39" i="113"/>
  <c r="N39" i="113"/>
  <c r="P39" i="113"/>
  <c r="Q39" i="113"/>
  <c r="R39" i="113"/>
  <c r="S39" i="113"/>
  <c r="U39" i="113"/>
  <c r="W39" i="113"/>
  <c r="Y39" i="113"/>
  <c r="AC39" i="113"/>
  <c r="AD39" i="113"/>
  <c r="AF39" i="113"/>
  <c r="AH39" i="113"/>
  <c r="AI39" i="113"/>
  <c r="AJ39" i="113"/>
  <c r="AK39" i="113"/>
  <c r="AW39" i="113"/>
  <c r="AX39" i="113"/>
  <c r="AY39" i="113"/>
  <c r="BB39" i="113"/>
  <c r="BC39" i="113"/>
  <c r="BD39" i="113"/>
  <c r="BE39" i="113"/>
  <c r="BH39" i="113"/>
  <c r="BI39" i="113"/>
  <c r="B40" i="113"/>
  <c r="C40" i="113"/>
  <c r="F40" i="113"/>
  <c r="H40" i="113"/>
  <c r="J40" i="113"/>
  <c r="L40" i="113"/>
  <c r="N40" i="113"/>
  <c r="P40" i="113"/>
  <c r="Q40" i="113"/>
  <c r="R40" i="113"/>
  <c r="S40" i="113"/>
  <c r="U40" i="113"/>
  <c r="W40" i="113"/>
  <c r="Y40" i="113"/>
  <c r="AC40" i="113"/>
  <c r="AD40" i="113"/>
  <c r="AF40" i="113"/>
  <c r="AH40" i="113"/>
  <c r="AI40" i="113"/>
  <c r="AJ40" i="113"/>
  <c r="AK40" i="113"/>
  <c r="AW40" i="113"/>
  <c r="AX40" i="113"/>
  <c r="AY40" i="113"/>
  <c r="BB40" i="113"/>
  <c r="BC40" i="113"/>
  <c r="BD40" i="113"/>
  <c r="BE40" i="113"/>
  <c r="BH40" i="113"/>
  <c r="BI40" i="113"/>
  <c r="B41" i="113"/>
  <c r="C41" i="113"/>
  <c r="F41" i="113"/>
  <c r="H41" i="113"/>
  <c r="J41" i="113"/>
  <c r="L41" i="113"/>
  <c r="N41" i="113"/>
  <c r="P41" i="113"/>
  <c r="Q41" i="113"/>
  <c r="R41" i="113"/>
  <c r="S41" i="113"/>
  <c r="U41" i="113"/>
  <c r="W41" i="113"/>
  <c r="Y41" i="113"/>
  <c r="AC41" i="113"/>
  <c r="AD41" i="113"/>
  <c r="AF41" i="113"/>
  <c r="AH41" i="113"/>
  <c r="AI41" i="113"/>
  <c r="AJ41" i="113"/>
  <c r="AK41" i="113"/>
  <c r="AW41" i="113"/>
  <c r="AX41" i="113"/>
  <c r="AY41" i="113"/>
  <c r="BB41" i="113"/>
  <c r="BC41" i="113"/>
  <c r="BD41" i="113"/>
  <c r="BE41" i="113"/>
  <c r="BH41" i="113"/>
  <c r="BI41" i="113"/>
  <c r="B42" i="113"/>
  <c r="C42" i="113"/>
  <c r="F42" i="113"/>
  <c r="H42" i="113"/>
  <c r="J42" i="113"/>
  <c r="L42" i="113"/>
  <c r="N42" i="113"/>
  <c r="P42" i="113"/>
  <c r="Q42" i="113"/>
  <c r="R42" i="113"/>
  <c r="S42" i="113"/>
  <c r="U42" i="113"/>
  <c r="W42" i="113"/>
  <c r="Y42" i="113"/>
  <c r="AC42" i="113"/>
  <c r="AD42" i="113"/>
  <c r="AF42" i="113"/>
  <c r="AH42" i="113"/>
  <c r="AI42" i="113"/>
  <c r="AJ42" i="113"/>
  <c r="AK42" i="113"/>
  <c r="AW42" i="113"/>
  <c r="AX42" i="113"/>
  <c r="AY42" i="113"/>
  <c r="BB42" i="113"/>
  <c r="BC42" i="113"/>
  <c r="BD42" i="113"/>
  <c r="BE42" i="113"/>
  <c r="BH42" i="113"/>
  <c r="BI42" i="113"/>
  <c r="B43" i="113"/>
  <c r="C43" i="113"/>
  <c r="F43" i="113"/>
  <c r="H43" i="113"/>
  <c r="J43" i="113"/>
  <c r="L43" i="113"/>
  <c r="N43" i="113"/>
  <c r="P43" i="113"/>
  <c r="Q43" i="113"/>
  <c r="R43" i="113"/>
  <c r="S43" i="113"/>
  <c r="U43" i="113"/>
  <c r="W43" i="113"/>
  <c r="Y43" i="113"/>
  <c r="AC43" i="113"/>
  <c r="AD43" i="113"/>
  <c r="AF43" i="113"/>
  <c r="AH43" i="113"/>
  <c r="AI43" i="113"/>
  <c r="AJ43" i="113"/>
  <c r="AK43" i="113"/>
  <c r="AW43" i="113"/>
  <c r="AX43" i="113"/>
  <c r="AY43" i="113"/>
  <c r="BB43" i="113"/>
  <c r="BC43" i="113"/>
  <c r="BD43" i="113"/>
  <c r="BE43" i="113"/>
  <c r="BH43" i="113"/>
  <c r="BI43" i="113"/>
  <c r="B44" i="113"/>
  <c r="C44" i="113"/>
  <c r="F44" i="113"/>
  <c r="H44" i="113"/>
  <c r="J44" i="113"/>
  <c r="L44" i="113"/>
  <c r="N44" i="113"/>
  <c r="P44" i="113"/>
  <c r="Q44" i="113"/>
  <c r="R44" i="113"/>
  <c r="S44" i="113"/>
  <c r="U44" i="113"/>
  <c r="W44" i="113"/>
  <c r="Y44" i="113"/>
  <c r="AC44" i="113"/>
  <c r="AD44" i="113"/>
  <c r="AF44" i="113"/>
  <c r="AH44" i="113"/>
  <c r="AI44" i="113"/>
  <c r="AJ44" i="113"/>
  <c r="AK44" i="113"/>
  <c r="AW44" i="113"/>
  <c r="AX44" i="113"/>
  <c r="AY44" i="113"/>
  <c r="BB44" i="113"/>
  <c r="BC44" i="113"/>
  <c r="BD44" i="113"/>
  <c r="BE44" i="113"/>
  <c r="BH44" i="113"/>
  <c r="BI44" i="113"/>
  <c r="B45" i="113"/>
  <c r="C45" i="113"/>
  <c r="F45" i="113"/>
  <c r="H45" i="113"/>
  <c r="J45" i="113"/>
  <c r="L45" i="113"/>
  <c r="N45" i="113"/>
  <c r="P45" i="113"/>
  <c r="Q45" i="113"/>
  <c r="R45" i="113"/>
  <c r="S45" i="113"/>
  <c r="U45" i="113"/>
  <c r="W45" i="113"/>
  <c r="Y45" i="113"/>
  <c r="AC45" i="113"/>
  <c r="AD45" i="113"/>
  <c r="AF45" i="113"/>
  <c r="AH45" i="113"/>
  <c r="AI45" i="113"/>
  <c r="AJ45" i="113"/>
  <c r="AK45" i="113"/>
  <c r="AW45" i="113"/>
  <c r="AX45" i="113"/>
  <c r="AY45" i="113"/>
  <c r="BB45" i="113"/>
  <c r="BC45" i="113"/>
  <c r="BD45" i="113"/>
  <c r="BE45" i="113"/>
  <c r="BH45" i="113"/>
  <c r="BI45" i="113"/>
  <c r="B46" i="113"/>
  <c r="C46" i="113"/>
  <c r="F46" i="113"/>
  <c r="H46" i="113"/>
  <c r="J46" i="113"/>
  <c r="L46" i="113"/>
  <c r="N46" i="113"/>
  <c r="P46" i="113"/>
  <c r="Q46" i="113"/>
  <c r="R46" i="113"/>
  <c r="S46" i="113"/>
  <c r="U46" i="113"/>
  <c r="W46" i="113"/>
  <c r="Y46" i="113"/>
  <c r="AC46" i="113"/>
  <c r="AD46" i="113"/>
  <c r="AF46" i="113"/>
  <c r="AH46" i="113"/>
  <c r="AI46" i="113"/>
  <c r="AJ46" i="113"/>
  <c r="AK46" i="113"/>
  <c r="AW46" i="113"/>
  <c r="AX46" i="113"/>
  <c r="AY46" i="113"/>
  <c r="BB46" i="113"/>
  <c r="BC46" i="113"/>
  <c r="BD46" i="113"/>
  <c r="BE46" i="113"/>
  <c r="BH46" i="113"/>
  <c r="BI46" i="113"/>
  <c r="B47" i="113"/>
  <c r="C47" i="113"/>
  <c r="F47" i="113"/>
  <c r="H47" i="113"/>
  <c r="J47" i="113"/>
  <c r="L47" i="113"/>
  <c r="N47" i="113"/>
  <c r="P47" i="113"/>
  <c r="Q47" i="113"/>
  <c r="R47" i="113"/>
  <c r="S47" i="113"/>
  <c r="U47" i="113"/>
  <c r="W47" i="113"/>
  <c r="Y47" i="113"/>
  <c r="AC47" i="113"/>
  <c r="AD47" i="113"/>
  <c r="AF47" i="113"/>
  <c r="AH47" i="113"/>
  <c r="AI47" i="113"/>
  <c r="AJ47" i="113"/>
  <c r="AK47" i="113"/>
  <c r="AW47" i="113"/>
  <c r="AX47" i="113"/>
  <c r="AY47" i="113"/>
  <c r="BB47" i="113"/>
  <c r="BC47" i="113"/>
  <c r="BD47" i="113"/>
  <c r="BE47" i="113"/>
  <c r="BH47" i="113"/>
  <c r="BI47" i="113"/>
  <c r="B48" i="113"/>
  <c r="C48" i="113"/>
  <c r="F48" i="113"/>
  <c r="H48" i="113"/>
  <c r="J48" i="113"/>
  <c r="L48" i="113"/>
  <c r="N48" i="113"/>
  <c r="P48" i="113"/>
  <c r="Q48" i="113"/>
  <c r="R48" i="113"/>
  <c r="S48" i="113"/>
  <c r="U48" i="113"/>
  <c r="W48" i="113"/>
  <c r="Y48" i="113"/>
  <c r="AC48" i="113"/>
  <c r="AD48" i="113"/>
  <c r="AF48" i="113"/>
  <c r="AH48" i="113"/>
  <c r="AI48" i="113"/>
  <c r="AJ48" i="113"/>
  <c r="AK48" i="113"/>
  <c r="AW48" i="113"/>
  <c r="AX48" i="113"/>
  <c r="AY48" i="113"/>
  <c r="BB48" i="113"/>
  <c r="BC48" i="113"/>
  <c r="BD48" i="113"/>
  <c r="BE48" i="113"/>
  <c r="BH48" i="113"/>
  <c r="BI48" i="113"/>
  <c r="B49" i="113"/>
  <c r="C49" i="113"/>
  <c r="F49" i="113"/>
  <c r="H49" i="113"/>
  <c r="J49" i="113"/>
  <c r="L49" i="113"/>
  <c r="N49" i="113"/>
  <c r="P49" i="113"/>
  <c r="Q49" i="113"/>
  <c r="R49" i="113"/>
  <c r="S49" i="113"/>
  <c r="U49" i="113"/>
  <c r="W49" i="113"/>
  <c r="Y49" i="113"/>
  <c r="AC49" i="113"/>
  <c r="AD49" i="113"/>
  <c r="AF49" i="113"/>
  <c r="AH49" i="113"/>
  <c r="AI49" i="113"/>
  <c r="AJ49" i="113"/>
  <c r="AK49" i="113"/>
  <c r="AW49" i="113"/>
  <c r="AX49" i="113"/>
  <c r="AY49" i="113"/>
  <c r="BB49" i="113"/>
  <c r="BC49" i="113"/>
  <c r="BD49" i="113"/>
  <c r="BE49" i="113"/>
  <c r="BH49" i="113"/>
  <c r="BI49" i="113"/>
  <c r="B50" i="113"/>
  <c r="C50" i="113"/>
  <c r="F50" i="113"/>
  <c r="H50" i="113"/>
  <c r="J50" i="113"/>
  <c r="L50" i="113"/>
  <c r="N50" i="113"/>
  <c r="P50" i="113"/>
  <c r="Q50" i="113"/>
  <c r="R50" i="113"/>
  <c r="S50" i="113"/>
  <c r="U50" i="113"/>
  <c r="W50" i="113"/>
  <c r="Y50" i="113"/>
  <c r="AC50" i="113"/>
  <c r="AD50" i="113"/>
  <c r="AF50" i="113"/>
  <c r="AH50" i="113"/>
  <c r="AI50" i="113"/>
  <c r="AJ50" i="113"/>
  <c r="AK50" i="113"/>
  <c r="AW50" i="113"/>
  <c r="AX50" i="113"/>
  <c r="AY50" i="113"/>
  <c r="BB50" i="113"/>
  <c r="BC50" i="113"/>
  <c r="BD50" i="113"/>
  <c r="BE50" i="113"/>
  <c r="BH50" i="113"/>
  <c r="BI50" i="113"/>
  <c r="C51" i="113"/>
  <c r="D51" i="113"/>
  <c r="E51" i="113"/>
  <c r="F51" i="113"/>
  <c r="G51" i="113"/>
  <c r="H51" i="113"/>
  <c r="I51" i="113"/>
  <c r="J51" i="113"/>
  <c r="K51" i="113"/>
  <c r="L51" i="113"/>
  <c r="M51" i="113"/>
  <c r="N51" i="113"/>
  <c r="O51" i="113"/>
  <c r="P51" i="113"/>
  <c r="Q51" i="113"/>
  <c r="R51" i="113"/>
  <c r="S51" i="113"/>
  <c r="T51" i="113"/>
  <c r="U51" i="113"/>
  <c r="V51" i="113"/>
  <c r="W51" i="113"/>
  <c r="X51" i="113"/>
  <c r="Y51" i="113"/>
  <c r="AD51" i="113"/>
  <c r="AE51" i="113"/>
  <c r="AF51" i="113"/>
  <c r="AG51" i="113"/>
  <c r="AH51" i="113"/>
  <c r="AI51" i="113"/>
  <c r="AJ51" i="113"/>
  <c r="AK51" i="113"/>
  <c r="AX51" i="113"/>
  <c r="AY51" i="113"/>
  <c r="AZ51" i="113"/>
  <c r="BA51" i="113"/>
  <c r="BB51" i="113"/>
  <c r="BC51" i="113"/>
  <c r="BD51" i="113"/>
  <c r="BE51" i="113"/>
  <c r="BF51" i="113"/>
  <c r="BG51" i="113"/>
  <c r="BH51" i="113"/>
  <c r="BI51" i="113"/>
  <c r="AN10" i="112"/>
  <c r="AO10" i="112"/>
  <c r="AQ10" i="112"/>
  <c r="AS10" i="112"/>
  <c r="AT10" i="112"/>
  <c r="B11" i="112"/>
  <c r="C11" i="112"/>
  <c r="F11" i="112"/>
  <c r="H11" i="112"/>
  <c r="J11" i="112"/>
  <c r="L11" i="112"/>
  <c r="N11" i="112"/>
  <c r="P11" i="112"/>
  <c r="Q11" i="112"/>
  <c r="R11" i="112"/>
  <c r="S11" i="112"/>
  <c r="U11" i="112"/>
  <c r="W11" i="112"/>
  <c r="Y11" i="112"/>
  <c r="AC11" i="112"/>
  <c r="AD11" i="112"/>
  <c r="AF11" i="112"/>
  <c r="AH11" i="112"/>
  <c r="AI11" i="112"/>
  <c r="AJ11" i="112"/>
  <c r="AK11" i="112"/>
  <c r="AN11" i="112"/>
  <c r="AO11" i="112"/>
  <c r="AQ11" i="112"/>
  <c r="AS11" i="112"/>
  <c r="AT11" i="112"/>
  <c r="AW11" i="112"/>
  <c r="AX11" i="112"/>
  <c r="AY11" i="112"/>
  <c r="BB11" i="112"/>
  <c r="BC11" i="112"/>
  <c r="BD11" i="112"/>
  <c r="BE11" i="112"/>
  <c r="BH11" i="112"/>
  <c r="BI11" i="112"/>
  <c r="B12" i="112"/>
  <c r="C12" i="112"/>
  <c r="F12" i="112"/>
  <c r="H12" i="112"/>
  <c r="J12" i="112"/>
  <c r="L12" i="112"/>
  <c r="N12" i="112"/>
  <c r="P12" i="112"/>
  <c r="Q12" i="112"/>
  <c r="R12" i="112"/>
  <c r="S12" i="112"/>
  <c r="U12" i="112"/>
  <c r="W12" i="112"/>
  <c r="Y12" i="112"/>
  <c r="AC12" i="112"/>
  <c r="AD12" i="112"/>
  <c r="AF12" i="112"/>
  <c r="AH12" i="112"/>
  <c r="AI12" i="112"/>
  <c r="AJ12" i="112"/>
  <c r="AK12" i="112"/>
  <c r="AN12" i="112"/>
  <c r="AO12" i="112"/>
  <c r="AQ12" i="112"/>
  <c r="AS12" i="112"/>
  <c r="AT12" i="112"/>
  <c r="AW12" i="112"/>
  <c r="AX12" i="112"/>
  <c r="AY12" i="112"/>
  <c r="BB12" i="112"/>
  <c r="BC12" i="112"/>
  <c r="BD12" i="112"/>
  <c r="BE12" i="112"/>
  <c r="BH12" i="112"/>
  <c r="BI12" i="112"/>
  <c r="B13" i="112"/>
  <c r="C13" i="112"/>
  <c r="F13" i="112"/>
  <c r="H13" i="112"/>
  <c r="J13" i="112"/>
  <c r="L13" i="112"/>
  <c r="N13" i="112"/>
  <c r="P13" i="112"/>
  <c r="Q13" i="112"/>
  <c r="R13" i="112"/>
  <c r="S13" i="112"/>
  <c r="U13" i="112"/>
  <c r="W13" i="112"/>
  <c r="Y13" i="112"/>
  <c r="AC13" i="112"/>
  <c r="AD13" i="112"/>
  <c r="AF13" i="112"/>
  <c r="AH13" i="112"/>
  <c r="AI13" i="112"/>
  <c r="AJ13" i="112"/>
  <c r="AK13" i="112"/>
  <c r="AO13" i="112"/>
  <c r="AP13" i="112"/>
  <c r="AQ13" i="112"/>
  <c r="AR13" i="112"/>
  <c r="AS13" i="112"/>
  <c r="AT13" i="112"/>
  <c r="AW13" i="112"/>
  <c r="AX13" i="112"/>
  <c r="AY13" i="112"/>
  <c r="BB13" i="112"/>
  <c r="BC13" i="112"/>
  <c r="BD13" i="112"/>
  <c r="BE13" i="112"/>
  <c r="BH13" i="112"/>
  <c r="BI13" i="112"/>
  <c r="B14" i="112"/>
  <c r="C14" i="112"/>
  <c r="F14" i="112"/>
  <c r="H14" i="112"/>
  <c r="J14" i="112"/>
  <c r="L14" i="112"/>
  <c r="N14" i="112"/>
  <c r="P14" i="112"/>
  <c r="Q14" i="112"/>
  <c r="R14" i="112"/>
  <c r="S14" i="112"/>
  <c r="U14" i="112"/>
  <c r="W14" i="112"/>
  <c r="Y14" i="112"/>
  <c r="AC14" i="112"/>
  <c r="AD14" i="112"/>
  <c r="AF14" i="112"/>
  <c r="AH14" i="112"/>
  <c r="AI14" i="112"/>
  <c r="AJ14" i="112"/>
  <c r="AK14" i="112"/>
  <c r="AT14" i="112"/>
  <c r="AW14" i="112"/>
  <c r="AX14" i="112"/>
  <c r="AY14" i="112"/>
  <c r="BB14" i="112"/>
  <c r="BC14" i="112"/>
  <c r="BD14" i="112"/>
  <c r="BE14" i="112"/>
  <c r="BH14" i="112"/>
  <c r="BI14" i="112"/>
  <c r="B15" i="112"/>
  <c r="C15" i="112"/>
  <c r="F15" i="112"/>
  <c r="H15" i="112"/>
  <c r="J15" i="112"/>
  <c r="L15" i="112"/>
  <c r="N15" i="112"/>
  <c r="P15" i="112"/>
  <c r="Q15" i="112"/>
  <c r="R15" i="112"/>
  <c r="S15" i="112"/>
  <c r="U15" i="112"/>
  <c r="W15" i="112"/>
  <c r="Y15" i="112"/>
  <c r="AC15" i="112"/>
  <c r="AD15" i="112"/>
  <c r="AF15" i="112"/>
  <c r="AH15" i="112"/>
  <c r="AI15" i="112"/>
  <c r="AJ15" i="112"/>
  <c r="AK15" i="112"/>
  <c r="AW15" i="112"/>
  <c r="AX15" i="112"/>
  <c r="AY15" i="112"/>
  <c r="BB15" i="112"/>
  <c r="BC15" i="112"/>
  <c r="BD15" i="112"/>
  <c r="BE15" i="112"/>
  <c r="BH15" i="112"/>
  <c r="BI15" i="112"/>
  <c r="B16" i="112"/>
  <c r="C16" i="112"/>
  <c r="F16" i="112"/>
  <c r="H16" i="112"/>
  <c r="J16" i="112"/>
  <c r="L16" i="112"/>
  <c r="N16" i="112"/>
  <c r="P16" i="112"/>
  <c r="Q16" i="112"/>
  <c r="R16" i="112"/>
  <c r="S16" i="112"/>
  <c r="U16" i="112"/>
  <c r="W16" i="112"/>
  <c r="Y16" i="112"/>
  <c r="AC16" i="112"/>
  <c r="AD16" i="112"/>
  <c r="AF16" i="112"/>
  <c r="AH16" i="112"/>
  <c r="AI16" i="112"/>
  <c r="AJ16" i="112"/>
  <c r="AK16" i="112"/>
  <c r="AW16" i="112"/>
  <c r="AX16" i="112"/>
  <c r="AY16" i="112"/>
  <c r="BB16" i="112"/>
  <c r="BC16" i="112"/>
  <c r="BD16" i="112"/>
  <c r="BE16" i="112"/>
  <c r="BH16" i="112"/>
  <c r="BI16" i="112"/>
  <c r="B17" i="112"/>
  <c r="C17" i="112"/>
  <c r="F17" i="112"/>
  <c r="H17" i="112"/>
  <c r="J17" i="112"/>
  <c r="L17" i="112"/>
  <c r="N17" i="112"/>
  <c r="P17" i="112"/>
  <c r="Q17" i="112"/>
  <c r="R17" i="112"/>
  <c r="S17" i="112"/>
  <c r="U17" i="112"/>
  <c r="W17" i="112"/>
  <c r="Y17" i="112"/>
  <c r="AC17" i="112"/>
  <c r="AD17" i="112"/>
  <c r="AF17" i="112"/>
  <c r="AH17" i="112"/>
  <c r="AI17" i="112"/>
  <c r="AJ17" i="112"/>
  <c r="AK17" i="112"/>
  <c r="AW17" i="112"/>
  <c r="AX17" i="112"/>
  <c r="AY17" i="112"/>
  <c r="BB17" i="112"/>
  <c r="BC17" i="112"/>
  <c r="BD17" i="112"/>
  <c r="BE17" i="112"/>
  <c r="BH17" i="112"/>
  <c r="BI17" i="112"/>
  <c r="B18" i="112"/>
  <c r="C18" i="112"/>
  <c r="F18" i="112"/>
  <c r="H18" i="112"/>
  <c r="J18" i="112"/>
  <c r="L18" i="112"/>
  <c r="N18" i="112"/>
  <c r="P18" i="112"/>
  <c r="Q18" i="112"/>
  <c r="R18" i="112"/>
  <c r="S18" i="112"/>
  <c r="U18" i="112"/>
  <c r="W18" i="112"/>
  <c r="Y18" i="112"/>
  <c r="AC18" i="112"/>
  <c r="AD18" i="112"/>
  <c r="AF18" i="112"/>
  <c r="AH18" i="112"/>
  <c r="AI18" i="112"/>
  <c r="AJ18" i="112"/>
  <c r="AK18" i="112"/>
  <c r="AW18" i="112"/>
  <c r="AX18" i="112"/>
  <c r="AY18" i="112"/>
  <c r="BB18" i="112"/>
  <c r="BC18" i="112"/>
  <c r="BD18" i="112"/>
  <c r="BE18" i="112"/>
  <c r="BH18" i="112"/>
  <c r="BI18" i="112"/>
  <c r="B19" i="112"/>
  <c r="C19" i="112"/>
  <c r="F19" i="112"/>
  <c r="H19" i="112"/>
  <c r="J19" i="112"/>
  <c r="L19" i="112"/>
  <c r="N19" i="112"/>
  <c r="P19" i="112"/>
  <c r="Q19" i="112"/>
  <c r="R19" i="112"/>
  <c r="S19" i="112"/>
  <c r="U19" i="112"/>
  <c r="W19" i="112"/>
  <c r="Y19" i="112"/>
  <c r="AC19" i="112"/>
  <c r="AD19" i="112"/>
  <c r="AF19" i="112"/>
  <c r="AH19" i="112"/>
  <c r="AI19" i="112"/>
  <c r="AJ19" i="112"/>
  <c r="AK19" i="112"/>
  <c r="AW19" i="112"/>
  <c r="AX19" i="112"/>
  <c r="AY19" i="112"/>
  <c r="BB19" i="112"/>
  <c r="BC19" i="112"/>
  <c r="BD19" i="112"/>
  <c r="BE19" i="112"/>
  <c r="BH19" i="112"/>
  <c r="BI19" i="112"/>
  <c r="B20" i="112"/>
  <c r="C20" i="112"/>
  <c r="F20" i="112"/>
  <c r="H20" i="112"/>
  <c r="J20" i="112"/>
  <c r="L20" i="112"/>
  <c r="N20" i="112"/>
  <c r="P20" i="112"/>
  <c r="Q20" i="112"/>
  <c r="R20" i="112"/>
  <c r="S20" i="112"/>
  <c r="U20" i="112"/>
  <c r="W20" i="112"/>
  <c r="Y20" i="112"/>
  <c r="AC20" i="112"/>
  <c r="AD20" i="112"/>
  <c r="AF20" i="112"/>
  <c r="AH20" i="112"/>
  <c r="AI20" i="112"/>
  <c r="AJ20" i="112"/>
  <c r="AK20" i="112"/>
  <c r="AW20" i="112"/>
  <c r="AX20" i="112"/>
  <c r="AY20" i="112"/>
  <c r="BB20" i="112"/>
  <c r="BC20" i="112"/>
  <c r="BD20" i="112"/>
  <c r="BE20" i="112"/>
  <c r="BH20" i="112"/>
  <c r="BI20" i="112"/>
  <c r="B21" i="112"/>
  <c r="C21" i="112"/>
  <c r="F21" i="112"/>
  <c r="H21" i="112"/>
  <c r="J21" i="112"/>
  <c r="L21" i="112"/>
  <c r="N21" i="112"/>
  <c r="P21" i="112"/>
  <c r="Q21" i="112"/>
  <c r="R21" i="112"/>
  <c r="S21" i="112"/>
  <c r="U21" i="112"/>
  <c r="W21" i="112"/>
  <c r="Y21" i="112"/>
  <c r="AC21" i="112"/>
  <c r="AD21" i="112"/>
  <c r="AF21" i="112"/>
  <c r="AH21" i="112"/>
  <c r="AI21" i="112"/>
  <c r="AJ21" i="112"/>
  <c r="AK21" i="112"/>
  <c r="AW21" i="112"/>
  <c r="AX21" i="112"/>
  <c r="AY21" i="112"/>
  <c r="BB21" i="112"/>
  <c r="BC21" i="112"/>
  <c r="BD21" i="112"/>
  <c r="BE21" i="112"/>
  <c r="BH21" i="112"/>
  <c r="BI21" i="112"/>
  <c r="B22" i="112"/>
  <c r="C22" i="112"/>
  <c r="F22" i="112"/>
  <c r="H22" i="112"/>
  <c r="J22" i="112"/>
  <c r="L22" i="112"/>
  <c r="N22" i="112"/>
  <c r="P22" i="112"/>
  <c r="Q22" i="112"/>
  <c r="R22" i="112"/>
  <c r="S22" i="112"/>
  <c r="U22" i="112"/>
  <c r="W22" i="112"/>
  <c r="Y22" i="112"/>
  <c r="AC22" i="112"/>
  <c r="AD22" i="112"/>
  <c r="AF22" i="112"/>
  <c r="AH22" i="112"/>
  <c r="AI22" i="112"/>
  <c r="AJ22" i="112"/>
  <c r="AK22" i="112"/>
  <c r="AW22" i="112"/>
  <c r="AX22" i="112"/>
  <c r="AY22" i="112"/>
  <c r="BB22" i="112"/>
  <c r="BC22" i="112"/>
  <c r="BD22" i="112"/>
  <c r="BE22" i="112"/>
  <c r="BH22" i="112"/>
  <c r="BI22" i="112"/>
  <c r="B23" i="112"/>
  <c r="C23" i="112"/>
  <c r="F23" i="112"/>
  <c r="H23" i="112"/>
  <c r="J23" i="112"/>
  <c r="L23" i="112"/>
  <c r="N23" i="112"/>
  <c r="P23" i="112"/>
  <c r="Q23" i="112"/>
  <c r="R23" i="112"/>
  <c r="S23" i="112"/>
  <c r="U23" i="112"/>
  <c r="W23" i="112"/>
  <c r="Y23" i="112"/>
  <c r="AC23" i="112"/>
  <c r="AD23" i="112"/>
  <c r="AF23" i="112"/>
  <c r="AH23" i="112"/>
  <c r="AI23" i="112"/>
  <c r="AJ23" i="112"/>
  <c r="AK23" i="112"/>
  <c r="AW23" i="112"/>
  <c r="AX23" i="112"/>
  <c r="AY23" i="112"/>
  <c r="BB23" i="112"/>
  <c r="BC23" i="112"/>
  <c r="BD23" i="112"/>
  <c r="BE23" i="112"/>
  <c r="BH23" i="112"/>
  <c r="BI23" i="112"/>
  <c r="B24" i="112"/>
  <c r="C24" i="112"/>
  <c r="F24" i="112"/>
  <c r="H24" i="112"/>
  <c r="J24" i="112"/>
  <c r="L24" i="112"/>
  <c r="N24" i="112"/>
  <c r="P24" i="112"/>
  <c r="Q24" i="112"/>
  <c r="R24" i="112"/>
  <c r="S24" i="112"/>
  <c r="U24" i="112"/>
  <c r="W24" i="112"/>
  <c r="Y24" i="112"/>
  <c r="AC24" i="112"/>
  <c r="AD24" i="112"/>
  <c r="AF24" i="112"/>
  <c r="AH24" i="112"/>
  <c r="AI24" i="112"/>
  <c r="AJ24" i="112"/>
  <c r="AK24" i="112"/>
  <c r="AW24" i="112"/>
  <c r="AX24" i="112"/>
  <c r="AY24" i="112"/>
  <c r="BB24" i="112"/>
  <c r="BC24" i="112"/>
  <c r="BD24" i="112"/>
  <c r="BE24" i="112"/>
  <c r="BH24" i="112"/>
  <c r="BI24" i="112"/>
  <c r="B25" i="112"/>
  <c r="C25" i="112"/>
  <c r="F25" i="112"/>
  <c r="H25" i="112"/>
  <c r="J25" i="112"/>
  <c r="L25" i="112"/>
  <c r="N25" i="112"/>
  <c r="P25" i="112"/>
  <c r="Q25" i="112"/>
  <c r="R25" i="112"/>
  <c r="S25" i="112"/>
  <c r="U25" i="112"/>
  <c r="W25" i="112"/>
  <c r="Y25" i="112"/>
  <c r="AC25" i="112"/>
  <c r="AD25" i="112"/>
  <c r="AF25" i="112"/>
  <c r="AH25" i="112"/>
  <c r="AI25" i="112"/>
  <c r="AJ25" i="112"/>
  <c r="AK25" i="112"/>
  <c r="AW25" i="112"/>
  <c r="AX25" i="112"/>
  <c r="AY25" i="112"/>
  <c r="BB25" i="112"/>
  <c r="BC25" i="112"/>
  <c r="BD25" i="112"/>
  <c r="BE25" i="112"/>
  <c r="BH25" i="112"/>
  <c r="BI25" i="112"/>
  <c r="B26" i="112"/>
  <c r="C26" i="112"/>
  <c r="F26" i="112"/>
  <c r="H26" i="112"/>
  <c r="J26" i="112"/>
  <c r="L26" i="112"/>
  <c r="N26" i="112"/>
  <c r="P26" i="112"/>
  <c r="Q26" i="112"/>
  <c r="R26" i="112"/>
  <c r="S26" i="112"/>
  <c r="U26" i="112"/>
  <c r="W26" i="112"/>
  <c r="Y26" i="112"/>
  <c r="AC26" i="112"/>
  <c r="AD26" i="112"/>
  <c r="AF26" i="112"/>
  <c r="AH26" i="112"/>
  <c r="AI26" i="112"/>
  <c r="AJ26" i="112"/>
  <c r="AK26" i="112"/>
  <c r="AW26" i="112"/>
  <c r="AX26" i="112"/>
  <c r="AY26" i="112"/>
  <c r="BB26" i="112"/>
  <c r="BC26" i="112"/>
  <c r="BD26" i="112"/>
  <c r="BE26" i="112"/>
  <c r="BH26" i="112"/>
  <c r="BI26" i="112"/>
  <c r="B27" i="112"/>
  <c r="C27" i="112"/>
  <c r="F27" i="112"/>
  <c r="H27" i="112"/>
  <c r="J27" i="112"/>
  <c r="L27" i="112"/>
  <c r="N27" i="112"/>
  <c r="P27" i="112"/>
  <c r="Q27" i="112"/>
  <c r="R27" i="112"/>
  <c r="S27" i="112"/>
  <c r="U27" i="112"/>
  <c r="W27" i="112"/>
  <c r="Y27" i="112"/>
  <c r="AC27" i="112"/>
  <c r="AD27" i="112"/>
  <c r="AF27" i="112"/>
  <c r="AH27" i="112"/>
  <c r="AI27" i="112"/>
  <c r="AJ27" i="112"/>
  <c r="AK27" i="112"/>
  <c r="AW27" i="112"/>
  <c r="AX27" i="112"/>
  <c r="AY27" i="112"/>
  <c r="BB27" i="112"/>
  <c r="BC27" i="112"/>
  <c r="BD27" i="112"/>
  <c r="BE27" i="112"/>
  <c r="BH27" i="112"/>
  <c r="BI27" i="112"/>
  <c r="B28" i="112"/>
  <c r="C28" i="112"/>
  <c r="F28" i="112"/>
  <c r="H28" i="112"/>
  <c r="J28" i="112"/>
  <c r="L28" i="112"/>
  <c r="N28" i="112"/>
  <c r="P28" i="112"/>
  <c r="Q28" i="112"/>
  <c r="R28" i="112"/>
  <c r="S28" i="112"/>
  <c r="U28" i="112"/>
  <c r="W28" i="112"/>
  <c r="Y28" i="112"/>
  <c r="AC28" i="112"/>
  <c r="AD28" i="112"/>
  <c r="AF28" i="112"/>
  <c r="AH28" i="112"/>
  <c r="AI28" i="112"/>
  <c r="AJ28" i="112"/>
  <c r="AK28" i="112"/>
  <c r="AW28" i="112"/>
  <c r="AX28" i="112"/>
  <c r="AY28" i="112"/>
  <c r="BB28" i="112"/>
  <c r="BC28" i="112"/>
  <c r="BD28" i="112"/>
  <c r="BE28" i="112"/>
  <c r="BH28" i="112"/>
  <c r="BI28" i="112"/>
  <c r="B29" i="112"/>
  <c r="C29" i="112"/>
  <c r="F29" i="112"/>
  <c r="H29" i="112"/>
  <c r="J29" i="112"/>
  <c r="L29" i="112"/>
  <c r="N29" i="112"/>
  <c r="P29" i="112"/>
  <c r="Q29" i="112"/>
  <c r="R29" i="112"/>
  <c r="S29" i="112"/>
  <c r="U29" i="112"/>
  <c r="W29" i="112"/>
  <c r="Y29" i="112"/>
  <c r="AC29" i="112"/>
  <c r="AD29" i="112"/>
  <c r="AF29" i="112"/>
  <c r="AH29" i="112"/>
  <c r="AI29" i="112"/>
  <c r="AJ29" i="112"/>
  <c r="AK29" i="112"/>
  <c r="AW29" i="112"/>
  <c r="AX29" i="112"/>
  <c r="AY29" i="112"/>
  <c r="BB29" i="112"/>
  <c r="BC29" i="112"/>
  <c r="BD29" i="112"/>
  <c r="BE29" i="112"/>
  <c r="BH29" i="112"/>
  <c r="BI29" i="112"/>
  <c r="B30" i="112"/>
  <c r="C30" i="112"/>
  <c r="F30" i="112"/>
  <c r="H30" i="112"/>
  <c r="J30" i="112"/>
  <c r="L30" i="112"/>
  <c r="N30" i="112"/>
  <c r="P30" i="112"/>
  <c r="Q30" i="112"/>
  <c r="R30" i="112"/>
  <c r="S30" i="112"/>
  <c r="U30" i="112"/>
  <c r="W30" i="112"/>
  <c r="Y30" i="112"/>
  <c r="AC30" i="112"/>
  <c r="AD30" i="112"/>
  <c r="AF30" i="112"/>
  <c r="AH30" i="112"/>
  <c r="AI30" i="112"/>
  <c r="AJ30" i="112"/>
  <c r="AK30" i="112"/>
  <c r="AW30" i="112"/>
  <c r="AX30" i="112"/>
  <c r="AY30" i="112"/>
  <c r="BB30" i="112"/>
  <c r="BC30" i="112"/>
  <c r="BD30" i="112"/>
  <c r="BE30" i="112"/>
  <c r="BH30" i="112"/>
  <c r="BI30" i="112"/>
  <c r="B31" i="112"/>
  <c r="C31" i="112"/>
  <c r="F31" i="112"/>
  <c r="H31" i="112"/>
  <c r="J31" i="112"/>
  <c r="L31" i="112"/>
  <c r="N31" i="112"/>
  <c r="P31" i="112"/>
  <c r="Q31" i="112"/>
  <c r="R31" i="112"/>
  <c r="S31" i="112"/>
  <c r="U31" i="112"/>
  <c r="W31" i="112"/>
  <c r="Y31" i="112"/>
  <c r="AC31" i="112"/>
  <c r="AD31" i="112"/>
  <c r="AF31" i="112"/>
  <c r="AH31" i="112"/>
  <c r="AI31" i="112"/>
  <c r="AJ31" i="112"/>
  <c r="AK31" i="112"/>
  <c r="AW31" i="112"/>
  <c r="AX31" i="112"/>
  <c r="AY31" i="112"/>
  <c r="BB31" i="112"/>
  <c r="BC31" i="112"/>
  <c r="BD31" i="112"/>
  <c r="BE31" i="112"/>
  <c r="BH31" i="112"/>
  <c r="BI31" i="112"/>
  <c r="B32" i="112"/>
  <c r="C32" i="112"/>
  <c r="F32" i="112"/>
  <c r="H32" i="112"/>
  <c r="J32" i="112"/>
  <c r="L32" i="112"/>
  <c r="N32" i="112"/>
  <c r="P32" i="112"/>
  <c r="Q32" i="112"/>
  <c r="R32" i="112"/>
  <c r="S32" i="112"/>
  <c r="U32" i="112"/>
  <c r="W32" i="112"/>
  <c r="Y32" i="112"/>
  <c r="AC32" i="112"/>
  <c r="AD32" i="112"/>
  <c r="AF32" i="112"/>
  <c r="AH32" i="112"/>
  <c r="AI32" i="112"/>
  <c r="AJ32" i="112"/>
  <c r="AK32" i="112"/>
  <c r="AW32" i="112"/>
  <c r="AX32" i="112"/>
  <c r="AY32" i="112"/>
  <c r="BB32" i="112"/>
  <c r="BC32" i="112"/>
  <c r="BD32" i="112"/>
  <c r="BE32" i="112"/>
  <c r="BH32" i="112"/>
  <c r="BI32" i="112"/>
  <c r="B33" i="112"/>
  <c r="C33" i="112"/>
  <c r="F33" i="112"/>
  <c r="H33" i="112"/>
  <c r="J33" i="112"/>
  <c r="L33" i="112"/>
  <c r="N33" i="112"/>
  <c r="P33" i="112"/>
  <c r="Q33" i="112"/>
  <c r="R33" i="112"/>
  <c r="S33" i="112"/>
  <c r="U33" i="112"/>
  <c r="W33" i="112"/>
  <c r="Y33" i="112"/>
  <c r="AC33" i="112"/>
  <c r="AD33" i="112"/>
  <c r="AF33" i="112"/>
  <c r="AH33" i="112"/>
  <c r="AI33" i="112"/>
  <c r="AJ33" i="112"/>
  <c r="AK33" i="112"/>
  <c r="AW33" i="112"/>
  <c r="AX33" i="112"/>
  <c r="AY33" i="112"/>
  <c r="BB33" i="112"/>
  <c r="BC33" i="112"/>
  <c r="BD33" i="112"/>
  <c r="BE33" i="112"/>
  <c r="BH33" i="112"/>
  <c r="BI33" i="112"/>
  <c r="B34" i="112"/>
  <c r="C34" i="112"/>
  <c r="F34" i="112"/>
  <c r="H34" i="112"/>
  <c r="J34" i="112"/>
  <c r="L34" i="112"/>
  <c r="N34" i="112"/>
  <c r="P34" i="112"/>
  <c r="Q34" i="112"/>
  <c r="R34" i="112"/>
  <c r="S34" i="112"/>
  <c r="U34" i="112"/>
  <c r="W34" i="112"/>
  <c r="Y34" i="112"/>
  <c r="AC34" i="112"/>
  <c r="AD34" i="112"/>
  <c r="AF34" i="112"/>
  <c r="AH34" i="112"/>
  <c r="AI34" i="112"/>
  <c r="AJ34" i="112"/>
  <c r="AK34" i="112"/>
  <c r="AW34" i="112"/>
  <c r="AX34" i="112"/>
  <c r="AY34" i="112"/>
  <c r="BB34" i="112"/>
  <c r="BC34" i="112"/>
  <c r="BD34" i="112"/>
  <c r="BE34" i="112"/>
  <c r="BH34" i="112"/>
  <c r="BI34" i="112"/>
  <c r="B35" i="112"/>
  <c r="C35" i="112"/>
  <c r="F35" i="112"/>
  <c r="H35" i="112"/>
  <c r="J35" i="112"/>
  <c r="L35" i="112"/>
  <c r="N35" i="112"/>
  <c r="P35" i="112"/>
  <c r="Q35" i="112"/>
  <c r="R35" i="112"/>
  <c r="S35" i="112"/>
  <c r="U35" i="112"/>
  <c r="W35" i="112"/>
  <c r="Y35" i="112"/>
  <c r="AC35" i="112"/>
  <c r="AD35" i="112"/>
  <c r="AF35" i="112"/>
  <c r="AH35" i="112"/>
  <c r="AI35" i="112"/>
  <c r="AJ35" i="112"/>
  <c r="AK35" i="112"/>
  <c r="AW35" i="112"/>
  <c r="AX35" i="112"/>
  <c r="AY35" i="112"/>
  <c r="BB35" i="112"/>
  <c r="BC35" i="112"/>
  <c r="BD35" i="112"/>
  <c r="BE35" i="112"/>
  <c r="BH35" i="112"/>
  <c r="BI35" i="112"/>
  <c r="B36" i="112"/>
  <c r="C36" i="112"/>
  <c r="F36" i="112"/>
  <c r="H36" i="112"/>
  <c r="J36" i="112"/>
  <c r="L36" i="112"/>
  <c r="N36" i="112"/>
  <c r="P36" i="112"/>
  <c r="Q36" i="112"/>
  <c r="R36" i="112"/>
  <c r="S36" i="112"/>
  <c r="U36" i="112"/>
  <c r="W36" i="112"/>
  <c r="Y36" i="112"/>
  <c r="AC36" i="112"/>
  <c r="AD36" i="112"/>
  <c r="AF36" i="112"/>
  <c r="AH36" i="112"/>
  <c r="AI36" i="112"/>
  <c r="AJ36" i="112"/>
  <c r="AK36" i="112"/>
  <c r="AW36" i="112"/>
  <c r="AX36" i="112"/>
  <c r="AY36" i="112"/>
  <c r="BB36" i="112"/>
  <c r="BC36" i="112"/>
  <c r="BD36" i="112"/>
  <c r="BE36" i="112"/>
  <c r="BH36" i="112"/>
  <c r="BI36" i="112"/>
  <c r="B37" i="112"/>
  <c r="C37" i="112"/>
  <c r="F37" i="112"/>
  <c r="H37" i="112"/>
  <c r="J37" i="112"/>
  <c r="L37" i="112"/>
  <c r="N37" i="112"/>
  <c r="P37" i="112"/>
  <c r="Q37" i="112"/>
  <c r="R37" i="112"/>
  <c r="S37" i="112"/>
  <c r="U37" i="112"/>
  <c r="W37" i="112"/>
  <c r="Y37" i="112"/>
  <c r="AC37" i="112"/>
  <c r="AD37" i="112"/>
  <c r="AF37" i="112"/>
  <c r="AH37" i="112"/>
  <c r="AI37" i="112"/>
  <c r="AJ37" i="112"/>
  <c r="AK37" i="112"/>
  <c r="AW37" i="112"/>
  <c r="AX37" i="112"/>
  <c r="AY37" i="112"/>
  <c r="BB37" i="112"/>
  <c r="BC37" i="112"/>
  <c r="BD37" i="112"/>
  <c r="BE37" i="112"/>
  <c r="BH37" i="112"/>
  <c r="BI37" i="112"/>
  <c r="B38" i="112"/>
  <c r="C38" i="112"/>
  <c r="F38" i="112"/>
  <c r="H38" i="112"/>
  <c r="J38" i="112"/>
  <c r="L38" i="112"/>
  <c r="N38" i="112"/>
  <c r="P38" i="112"/>
  <c r="Q38" i="112"/>
  <c r="R38" i="112"/>
  <c r="S38" i="112"/>
  <c r="U38" i="112"/>
  <c r="W38" i="112"/>
  <c r="Y38" i="112"/>
  <c r="AC38" i="112"/>
  <c r="AD38" i="112"/>
  <c r="AF38" i="112"/>
  <c r="AH38" i="112"/>
  <c r="AI38" i="112"/>
  <c r="AJ38" i="112"/>
  <c r="AK38" i="112"/>
  <c r="AW38" i="112"/>
  <c r="AX38" i="112"/>
  <c r="AY38" i="112"/>
  <c r="BB38" i="112"/>
  <c r="BC38" i="112"/>
  <c r="BD38" i="112"/>
  <c r="BE38" i="112"/>
  <c r="BH38" i="112"/>
  <c r="BI38" i="112"/>
  <c r="B39" i="112"/>
  <c r="C39" i="112"/>
  <c r="F39" i="112"/>
  <c r="H39" i="112"/>
  <c r="J39" i="112"/>
  <c r="L39" i="112"/>
  <c r="N39" i="112"/>
  <c r="P39" i="112"/>
  <c r="Q39" i="112"/>
  <c r="R39" i="112"/>
  <c r="S39" i="112"/>
  <c r="U39" i="112"/>
  <c r="W39" i="112"/>
  <c r="Y39" i="112"/>
  <c r="AC39" i="112"/>
  <c r="AD39" i="112"/>
  <c r="AF39" i="112"/>
  <c r="AH39" i="112"/>
  <c r="AI39" i="112"/>
  <c r="AJ39" i="112"/>
  <c r="AK39" i="112"/>
  <c r="AW39" i="112"/>
  <c r="AX39" i="112"/>
  <c r="AY39" i="112"/>
  <c r="BB39" i="112"/>
  <c r="BC39" i="112"/>
  <c r="BD39" i="112"/>
  <c r="BE39" i="112"/>
  <c r="BH39" i="112"/>
  <c r="BI39" i="112"/>
  <c r="B40" i="112"/>
  <c r="C40" i="112"/>
  <c r="F40" i="112"/>
  <c r="H40" i="112"/>
  <c r="J40" i="112"/>
  <c r="L40" i="112"/>
  <c r="N40" i="112"/>
  <c r="P40" i="112"/>
  <c r="Q40" i="112"/>
  <c r="R40" i="112"/>
  <c r="S40" i="112"/>
  <c r="U40" i="112"/>
  <c r="W40" i="112"/>
  <c r="Y40" i="112"/>
  <c r="AC40" i="112"/>
  <c r="AD40" i="112"/>
  <c r="AF40" i="112"/>
  <c r="AH40" i="112"/>
  <c r="AI40" i="112"/>
  <c r="AJ40" i="112"/>
  <c r="AK40" i="112"/>
  <c r="AW40" i="112"/>
  <c r="AX40" i="112"/>
  <c r="AY40" i="112"/>
  <c r="BB40" i="112"/>
  <c r="BC40" i="112"/>
  <c r="BD40" i="112"/>
  <c r="BE40" i="112"/>
  <c r="BH40" i="112"/>
  <c r="BI40" i="112"/>
  <c r="B41" i="112"/>
  <c r="C41" i="112"/>
  <c r="F41" i="112"/>
  <c r="H41" i="112"/>
  <c r="J41" i="112"/>
  <c r="L41" i="112"/>
  <c r="N41" i="112"/>
  <c r="P41" i="112"/>
  <c r="Q41" i="112"/>
  <c r="R41" i="112"/>
  <c r="S41" i="112"/>
  <c r="U41" i="112"/>
  <c r="W41" i="112"/>
  <c r="Y41" i="112"/>
  <c r="AC41" i="112"/>
  <c r="AD41" i="112"/>
  <c r="AF41" i="112"/>
  <c r="AH41" i="112"/>
  <c r="AI41" i="112"/>
  <c r="AJ41" i="112"/>
  <c r="AK41" i="112"/>
  <c r="AW41" i="112"/>
  <c r="AX41" i="112"/>
  <c r="AY41" i="112"/>
  <c r="BB41" i="112"/>
  <c r="BC41" i="112"/>
  <c r="BD41" i="112"/>
  <c r="BE41" i="112"/>
  <c r="BH41" i="112"/>
  <c r="BI41" i="112"/>
  <c r="B42" i="112"/>
  <c r="C42" i="112"/>
  <c r="F42" i="112"/>
  <c r="H42" i="112"/>
  <c r="J42" i="112"/>
  <c r="L42" i="112"/>
  <c r="N42" i="112"/>
  <c r="P42" i="112"/>
  <c r="Q42" i="112"/>
  <c r="R42" i="112"/>
  <c r="S42" i="112"/>
  <c r="U42" i="112"/>
  <c r="W42" i="112"/>
  <c r="Y42" i="112"/>
  <c r="AC42" i="112"/>
  <c r="AD42" i="112"/>
  <c r="AF42" i="112"/>
  <c r="AH42" i="112"/>
  <c r="AI42" i="112"/>
  <c r="AJ42" i="112"/>
  <c r="AK42" i="112"/>
  <c r="AW42" i="112"/>
  <c r="AX42" i="112"/>
  <c r="AY42" i="112"/>
  <c r="BB42" i="112"/>
  <c r="BC42" i="112"/>
  <c r="BD42" i="112"/>
  <c r="BE42" i="112"/>
  <c r="BH42" i="112"/>
  <c r="BI42" i="112"/>
  <c r="B43" i="112"/>
  <c r="C43" i="112"/>
  <c r="F43" i="112"/>
  <c r="H43" i="112"/>
  <c r="J43" i="112"/>
  <c r="L43" i="112"/>
  <c r="N43" i="112"/>
  <c r="P43" i="112"/>
  <c r="Q43" i="112"/>
  <c r="R43" i="112"/>
  <c r="S43" i="112"/>
  <c r="U43" i="112"/>
  <c r="W43" i="112"/>
  <c r="Y43" i="112"/>
  <c r="AC43" i="112"/>
  <c r="AD43" i="112"/>
  <c r="AF43" i="112"/>
  <c r="AH43" i="112"/>
  <c r="AI43" i="112"/>
  <c r="AJ43" i="112"/>
  <c r="AK43" i="112"/>
  <c r="AW43" i="112"/>
  <c r="AX43" i="112"/>
  <c r="AY43" i="112"/>
  <c r="BB43" i="112"/>
  <c r="BC43" i="112"/>
  <c r="BD43" i="112"/>
  <c r="BE43" i="112"/>
  <c r="BH43" i="112"/>
  <c r="BI43" i="112"/>
  <c r="B44" i="112"/>
  <c r="C44" i="112"/>
  <c r="F44" i="112"/>
  <c r="H44" i="112"/>
  <c r="J44" i="112"/>
  <c r="L44" i="112"/>
  <c r="N44" i="112"/>
  <c r="P44" i="112"/>
  <c r="Q44" i="112"/>
  <c r="R44" i="112"/>
  <c r="S44" i="112"/>
  <c r="U44" i="112"/>
  <c r="W44" i="112"/>
  <c r="Y44" i="112"/>
  <c r="AC44" i="112"/>
  <c r="AD44" i="112"/>
  <c r="AF44" i="112"/>
  <c r="AH44" i="112"/>
  <c r="AI44" i="112"/>
  <c r="AJ44" i="112"/>
  <c r="AK44" i="112"/>
  <c r="AW44" i="112"/>
  <c r="AX44" i="112"/>
  <c r="AY44" i="112"/>
  <c r="BB44" i="112"/>
  <c r="BC44" i="112"/>
  <c r="BD44" i="112"/>
  <c r="BE44" i="112"/>
  <c r="BH44" i="112"/>
  <c r="BI44" i="112"/>
  <c r="B45" i="112"/>
  <c r="C45" i="112"/>
  <c r="F45" i="112"/>
  <c r="H45" i="112"/>
  <c r="J45" i="112"/>
  <c r="L45" i="112"/>
  <c r="N45" i="112"/>
  <c r="P45" i="112"/>
  <c r="Q45" i="112"/>
  <c r="R45" i="112"/>
  <c r="S45" i="112"/>
  <c r="U45" i="112"/>
  <c r="W45" i="112"/>
  <c r="Y45" i="112"/>
  <c r="AC45" i="112"/>
  <c r="AD45" i="112"/>
  <c r="AF45" i="112"/>
  <c r="AH45" i="112"/>
  <c r="AI45" i="112"/>
  <c r="AJ45" i="112"/>
  <c r="AK45" i="112"/>
  <c r="AW45" i="112"/>
  <c r="AX45" i="112"/>
  <c r="AY45" i="112"/>
  <c r="BB45" i="112"/>
  <c r="BC45" i="112"/>
  <c r="BD45" i="112"/>
  <c r="BE45" i="112"/>
  <c r="BH45" i="112"/>
  <c r="BI45" i="112"/>
  <c r="B46" i="112"/>
  <c r="C46" i="112"/>
  <c r="F46" i="112"/>
  <c r="H46" i="112"/>
  <c r="J46" i="112"/>
  <c r="L46" i="112"/>
  <c r="N46" i="112"/>
  <c r="P46" i="112"/>
  <c r="Q46" i="112"/>
  <c r="R46" i="112"/>
  <c r="S46" i="112"/>
  <c r="U46" i="112"/>
  <c r="W46" i="112"/>
  <c r="Y46" i="112"/>
  <c r="AC46" i="112"/>
  <c r="AD46" i="112"/>
  <c r="AF46" i="112"/>
  <c r="AH46" i="112"/>
  <c r="AI46" i="112"/>
  <c r="AJ46" i="112"/>
  <c r="AK46" i="112"/>
  <c r="AW46" i="112"/>
  <c r="AX46" i="112"/>
  <c r="AY46" i="112"/>
  <c r="BB46" i="112"/>
  <c r="BC46" i="112"/>
  <c r="BD46" i="112"/>
  <c r="BE46" i="112"/>
  <c r="BH46" i="112"/>
  <c r="BI46" i="112"/>
  <c r="B47" i="112"/>
  <c r="C47" i="112"/>
  <c r="F47" i="112"/>
  <c r="H47" i="112"/>
  <c r="J47" i="112"/>
  <c r="L47" i="112"/>
  <c r="N47" i="112"/>
  <c r="P47" i="112"/>
  <c r="Q47" i="112"/>
  <c r="R47" i="112"/>
  <c r="S47" i="112"/>
  <c r="U47" i="112"/>
  <c r="W47" i="112"/>
  <c r="Y47" i="112"/>
  <c r="AC47" i="112"/>
  <c r="AD47" i="112"/>
  <c r="AF47" i="112"/>
  <c r="AH47" i="112"/>
  <c r="AI47" i="112"/>
  <c r="AJ47" i="112"/>
  <c r="AK47" i="112"/>
  <c r="AW47" i="112"/>
  <c r="AX47" i="112"/>
  <c r="AY47" i="112"/>
  <c r="BB47" i="112"/>
  <c r="BC47" i="112"/>
  <c r="BD47" i="112"/>
  <c r="BE47" i="112"/>
  <c r="BH47" i="112"/>
  <c r="BI47" i="112"/>
  <c r="B48" i="112"/>
  <c r="C48" i="112"/>
  <c r="F48" i="112"/>
  <c r="H48" i="112"/>
  <c r="J48" i="112"/>
  <c r="L48" i="112"/>
  <c r="N48" i="112"/>
  <c r="P48" i="112"/>
  <c r="Q48" i="112"/>
  <c r="R48" i="112"/>
  <c r="S48" i="112"/>
  <c r="U48" i="112"/>
  <c r="W48" i="112"/>
  <c r="Y48" i="112"/>
  <c r="AC48" i="112"/>
  <c r="AD48" i="112"/>
  <c r="AF48" i="112"/>
  <c r="AH48" i="112"/>
  <c r="AI48" i="112"/>
  <c r="AJ48" i="112"/>
  <c r="AK48" i="112"/>
  <c r="AW48" i="112"/>
  <c r="AX48" i="112"/>
  <c r="AY48" i="112"/>
  <c r="BB48" i="112"/>
  <c r="BC48" i="112"/>
  <c r="BD48" i="112"/>
  <c r="BE48" i="112"/>
  <c r="BH48" i="112"/>
  <c r="BI48" i="112"/>
  <c r="B49" i="112"/>
  <c r="C49" i="112"/>
  <c r="F49" i="112"/>
  <c r="H49" i="112"/>
  <c r="J49" i="112"/>
  <c r="L49" i="112"/>
  <c r="N49" i="112"/>
  <c r="P49" i="112"/>
  <c r="Q49" i="112"/>
  <c r="R49" i="112"/>
  <c r="S49" i="112"/>
  <c r="U49" i="112"/>
  <c r="W49" i="112"/>
  <c r="Y49" i="112"/>
  <c r="AC49" i="112"/>
  <c r="AD49" i="112"/>
  <c r="AF49" i="112"/>
  <c r="AH49" i="112"/>
  <c r="AI49" i="112"/>
  <c r="AJ49" i="112"/>
  <c r="AK49" i="112"/>
  <c r="AW49" i="112"/>
  <c r="AX49" i="112"/>
  <c r="AY49" i="112"/>
  <c r="BB49" i="112"/>
  <c r="BC49" i="112"/>
  <c r="BD49" i="112"/>
  <c r="BE49" i="112"/>
  <c r="BH49" i="112"/>
  <c r="BI49" i="112"/>
  <c r="B50" i="112"/>
  <c r="C50" i="112"/>
  <c r="F50" i="112"/>
  <c r="H50" i="112"/>
  <c r="J50" i="112"/>
  <c r="L50" i="112"/>
  <c r="N50" i="112"/>
  <c r="P50" i="112"/>
  <c r="Q50" i="112"/>
  <c r="R50" i="112"/>
  <c r="S50" i="112"/>
  <c r="U50" i="112"/>
  <c r="W50" i="112"/>
  <c r="Y50" i="112"/>
  <c r="AC50" i="112"/>
  <c r="AD50" i="112"/>
  <c r="AF50" i="112"/>
  <c r="AH50" i="112"/>
  <c r="AI50" i="112"/>
  <c r="AJ50" i="112"/>
  <c r="AK50" i="112"/>
  <c r="AW50" i="112"/>
  <c r="AX50" i="112"/>
  <c r="AY50" i="112"/>
  <c r="BB50" i="112"/>
  <c r="BC50" i="112"/>
  <c r="BD50" i="112"/>
  <c r="BE50" i="112"/>
  <c r="BH50" i="112"/>
  <c r="BI50" i="112"/>
  <c r="C51" i="112"/>
  <c r="D51" i="112"/>
  <c r="E51" i="112"/>
  <c r="F51" i="112"/>
  <c r="G51" i="112"/>
  <c r="H51" i="112"/>
  <c r="I51" i="112"/>
  <c r="J51" i="112"/>
  <c r="K51" i="112"/>
  <c r="L51" i="112"/>
  <c r="M51" i="112"/>
  <c r="N51" i="112"/>
  <c r="O51" i="112"/>
  <c r="P51" i="112"/>
  <c r="Q51" i="112"/>
  <c r="R51" i="112"/>
  <c r="S51" i="112"/>
  <c r="T51" i="112"/>
  <c r="U51" i="112"/>
  <c r="V51" i="112"/>
  <c r="W51" i="112"/>
  <c r="X51" i="112"/>
  <c r="Y51" i="112"/>
  <c r="AD51" i="112"/>
  <c r="AE51" i="112"/>
  <c r="AF51" i="112"/>
  <c r="AG51" i="112"/>
  <c r="AH51" i="112"/>
  <c r="AI51" i="112"/>
  <c r="AJ51" i="112"/>
  <c r="AK51" i="112"/>
  <c r="AX51" i="112"/>
  <c r="AY51" i="112"/>
  <c r="AZ51" i="112"/>
  <c r="BA51" i="112"/>
  <c r="BB51" i="112"/>
  <c r="BC51" i="112"/>
  <c r="BD51" i="112"/>
  <c r="BE51" i="112"/>
  <c r="BF51" i="112"/>
  <c r="BG51" i="112"/>
  <c r="BH51" i="112"/>
  <c r="BI51" i="112"/>
  <c r="AN10" i="111"/>
  <c r="AO10" i="111"/>
  <c r="AQ10" i="111"/>
  <c r="AS10" i="111"/>
  <c r="AT10" i="111"/>
  <c r="B11" i="111"/>
  <c r="C11" i="111"/>
  <c r="F11" i="111"/>
  <c r="H11" i="111"/>
  <c r="J11" i="111"/>
  <c r="L11" i="111"/>
  <c r="N11" i="111"/>
  <c r="P11" i="111"/>
  <c r="Q11" i="111"/>
  <c r="R11" i="111"/>
  <c r="S11" i="111"/>
  <c r="U11" i="111"/>
  <c r="W11" i="111"/>
  <c r="Y11" i="111"/>
  <c r="AC11" i="111"/>
  <c r="AD11" i="111"/>
  <c r="AF11" i="111"/>
  <c r="AH11" i="111"/>
  <c r="AI11" i="111"/>
  <c r="AJ11" i="111"/>
  <c r="AK11" i="111"/>
  <c r="AN11" i="111"/>
  <c r="AO11" i="111"/>
  <c r="AQ11" i="111"/>
  <c r="AS11" i="111"/>
  <c r="AT11" i="111"/>
  <c r="AW11" i="111"/>
  <c r="AX11" i="111"/>
  <c r="AY11" i="111"/>
  <c r="BB11" i="111"/>
  <c r="BC11" i="111"/>
  <c r="BD11" i="111"/>
  <c r="BE11" i="111"/>
  <c r="BH11" i="111"/>
  <c r="BI11" i="111"/>
  <c r="B12" i="111"/>
  <c r="C12" i="111"/>
  <c r="F12" i="111"/>
  <c r="H12" i="111"/>
  <c r="J12" i="111"/>
  <c r="L12" i="111"/>
  <c r="N12" i="111"/>
  <c r="P12" i="111"/>
  <c r="Q12" i="111"/>
  <c r="R12" i="111"/>
  <c r="S12" i="111"/>
  <c r="U12" i="111"/>
  <c r="W12" i="111"/>
  <c r="Y12" i="111"/>
  <c r="AC12" i="111"/>
  <c r="AD12" i="111"/>
  <c r="AF12" i="111"/>
  <c r="AH12" i="111"/>
  <c r="AI12" i="111"/>
  <c r="AJ12" i="111"/>
  <c r="AK12" i="111"/>
  <c r="AN12" i="111"/>
  <c r="AO12" i="111"/>
  <c r="AQ12" i="111"/>
  <c r="AS12" i="111"/>
  <c r="AT12" i="111"/>
  <c r="AW12" i="111"/>
  <c r="AX12" i="111"/>
  <c r="AY12" i="111"/>
  <c r="BB12" i="111"/>
  <c r="BC12" i="111"/>
  <c r="BD12" i="111"/>
  <c r="BE12" i="111"/>
  <c r="BH12" i="111"/>
  <c r="BI12" i="111"/>
  <c r="B13" i="111"/>
  <c r="C13" i="111"/>
  <c r="F13" i="111"/>
  <c r="H13" i="111"/>
  <c r="J13" i="111"/>
  <c r="L13" i="111"/>
  <c r="N13" i="111"/>
  <c r="P13" i="111"/>
  <c r="Q13" i="111"/>
  <c r="R13" i="111"/>
  <c r="S13" i="111"/>
  <c r="U13" i="111"/>
  <c r="W13" i="111"/>
  <c r="Y13" i="111"/>
  <c r="AC13" i="111"/>
  <c r="AD13" i="111"/>
  <c r="AF13" i="111"/>
  <c r="AH13" i="111"/>
  <c r="AI13" i="111"/>
  <c r="AJ13" i="111"/>
  <c r="AK13" i="111"/>
  <c r="AO13" i="111"/>
  <c r="AP13" i="111"/>
  <c r="AQ13" i="111"/>
  <c r="AR13" i="111"/>
  <c r="AS13" i="111"/>
  <c r="AT13" i="111"/>
  <c r="AW13" i="111"/>
  <c r="AX13" i="111"/>
  <c r="AY13" i="111"/>
  <c r="BB13" i="111"/>
  <c r="BC13" i="111"/>
  <c r="BD13" i="111"/>
  <c r="BE13" i="111"/>
  <c r="BH13" i="111"/>
  <c r="BI13" i="111"/>
  <c r="B14" i="111"/>
  <c r="C14" i="111"/>
  <c r="F14" i="111"/>
  <c r="H14" i="111"/>
  <c r="J14" i="111"/>
  <c r="L14" i="111"/>
  <c r="N14" i="111"/>
  <c r="P14" i="111"/>
  <c r="Q14" i="111"/>
  <c r="R14" i="111"/>
  <c r="S14" i="111"/>
  <c r="U14" i="111"/>
  <c r="W14" i="111"/>
  <c r="Y14" i="111"/>
  <c r="AC14" i="111"/>
  <c r="AD14" i="111"/>
  <c r="AF14" i="111"/>
  <c r="AH14" i="111"/>
  <c r="AI14" i="111"/>
  <c r="AJ14" i="111"/>
  <c r="AK14" i="111"/>
  <c r="AT14" i="111"/>
  <c r="AW14" i="111"/>
  <c r="AX14" i="111"/>
  <c r="AY14" i="111"/>
  <c r="BB14" i="111"/>
  <c r="BC14" i="111"/>
  <c r="BD14" i="111"/>
  <c r="BE14" i="111"/>
  <c r="BH14" i="111"/>
  <c r="BI14" i="111"/>
  <c r="B15" i="111"/>
  <c r="C15" i="111"/>
  <c r="F15" i="111"/>
  <c r="H15" i="111"/>
  <c r="J15" i="111"/>
  <c r="L15" i="111"/>
  <c r="N15" i="111"/>
  <c r="P15" i="111"/>
  <c r="Q15" i="111"/>
  <c r="R15" i="111"/>
  <c r="S15" i="111"/>
  <c r="U15" i="111"/>
  <c r="W15" i="111"/>
  <c r="Y15" i="111"/>
  <c r="AC15" i="111"/>
  <c r="AD15" i="111"/>
  <c r="AF15" i="111"/>
  <c r="AH15" i="111"/>
  <c r="AI15" i="111"/>
  <c r="AJ15" i="111"/>
  <c r="AK15" i="111"/>
  <c r="AW15" i="111"/>
  <c r="AX15" i="111"/>
  <c r="AY15" i="111"/>
  <c r="BB15" i="111"/>
  <c r="BC15" i="111"/>
  <c r="BD15" i="111"/>
  <c r="BE15" i="111"/>
  <c r="BH15" i="111"/>
  <c r="BI15" i="111"/>
  <c r="B16" i="111"/>
  <c r="C16" i="111"/>
  <c r="F16" i="111"/>
  <c r="H16" i="111"/>
  <c r="J16" i="111"/>
  <c r="L16" i="111"/>
  <c r="N16" i="111"/>
  <c r="P16" i="111"/>
  <c r="Q16" i="111"/>
  <c r="R16" i="111"/>
  <c r="S16" i="111"/>
  <c r="U16" i="111"/>
  <c r="W16" i="111"/>
  <c r="Y16" i="111"/>
  <c r="AC16" i="111"/>
  <c r="AD16" i="111"/>
  <c r="AF16" i="111"/>
  <c r="AH16" i="111"/>
  <c r="AI16" i="111"/>
  <c r="AJ16" i="111"/>
  <c r="AK16" i="111"/>
  <c r="AW16" i="111"/>
  <c r="AX16" i="111"/>
  <c r="AY16" i="111"/>
  <c r="BB16" i="111"/>
  <c r="BC16" i="111"/>
  <c r="BD16" i="111"/>
  <c r="BE16" i="111"/>
  <c r="BH16" i="111"/>
  <c r="BI16" i="111"/>
  <c r="B17" i="111"/>
  <c r="C17" i="111"/>
  <c r="F17" i="111"/>
  <c r="H17" i="111"/>
  <c r="J17" i="111"/>
  <c r="L17" i="111"/>
  <c r="N17" i="111"/>
  <c r="P17" i="111"/>
  <c r="Q17" i="111"/>
  <c r="R17" i="111"/>
  <c r="S17" i="111"/>
  <c r="U17" i="111"/>
  <c r="W17" i="111"/>
  <c r="Y17" i="111"/>
  <c r="AC17" i="111"/>
  <c r="AD17" i="111"/>
  <c r="AF17" i="111"/>
  <c r="AH17" i="111"/>
  <c r="AI17" i="111"/>
  <c r="AJ17" i="111"/>
  <c r="AK17" i="111"/>
  <c r="AW17" i="111"/>
  <c r="AX17" i="111"/>
  <c r="AY17" i="111"/>
  <c r="BB17" i="111"/>
  <c r="BC17" i="111"/>
  <c r="BD17" i="111"/>
  <c r="BE17" i="111"/>
  <c r="BH17" i="111"/>
  <c r="BI17" i="111"/>
  <c r="B18" i="111"/>
  <c r="C18" i="111"/>
  <c r="F18" i="111"/>
  <c r="H18" i="111"/>
  <c r="J18" i="111"/>
  <c r="L18" i="111"/>
  <c r="N18" i="111"/>
  <c r="P18" i="111"/>
  <c r="Q18" i="111"/>
  <c r="R18" i="111"/>
  <c r="S18" i="111"/>
  <c r="U18" i="111"/>
  <c r="W18" i="111"/>
  <c r="Y18" i="111"/>
  <c r="AC18" i="111"/>
  <c r="AD18" i="111"/>
  <c r="AF18" i="111"/>
  <c r="AH18" i="111"/>
  <c r="AI18" i="111"/>
  <c r="AJ18" i="111"/>
  <c r="AK18" i="111"/>
  <c r="AW18" i="111"/>
  <c r="AX18" i="111"/>
  <c r="AY18" i="111"/>
  <c r="BB18" i="111"/>
  <c r="BC18" i="111"/>
  <c r="BD18" i="111"/>
  <c r="BE18" i="111"/>
  <c r="BH18" i="111"/>
  <c r="BI18" i="111"/>
  <c r="B19" i="111"/>
  <c r="C19" i="111"/>
  <c r="F19" i="111"/>
  <c r="H19" i="111"/>
  <c r="J19" i="111"/>
  <c r="L19" i="111"/>
  <c r="N19" i="111"/>
  <c r="P19" i="111"/>
  <c r="Q19" i="111"/>
  <c r="R19" i="111"/>
  <c r="S19" i="111"/>
  <c r="U19" i="111"/>
  <c r="W19" i="111"/>
  <c r="Y19" i="111"/>
  <c r="AC19" i="111"/>
  <c r="AD19" i="111"/>
  <c r="AF19" i="111"/>
  <c r="AH19" i="111"/>
  <c r="AI19" i="111"/>
  <c r="AJ19" i="111"/>
  <c r="AK19" i="111"/>
  <c r="AW19" i="111"/>
  <c r="AX19" i="111"/>
  <c r="AY19" i="111"/>
  <c r="BB19" i="111"/>
  <c r="BC19" i="111"/>
  <c r="BD19" i="111"/>
  <c r="BE19" i="111"/>
  <c r="BH19" i="111"/>
  <c r="BI19" i="111"/>
  <c r="B20" i="111"/>
  <c r="C20" i="111"/>
  <c r="F20" i="111"/>
  <c r="H20" i="111"/>
  <c r="J20" i="111"/>
  <c r="L20" i="111"/>
  <c r="N20" i="111"/>
  <c r="P20" i="111"/>
  <c r="Q20" i="111"/>
  <c r="R20" i="111"/>
  <c r="S20" i="111"/>
  <c r="U20" i="111"/>
  <c r="W20" i="111"/>
  <c r="Y20" i="111"/>
  <c r="AC20" i="111"/>
  <c r="AD20" i="111"/>
  <c r="AF20" i="111"/>
  <c r="AH20" i="111"/>
  <c r="AI20" i="111"/>
  <c r="AJ20" i="111"/>
  <c r="AK20" i="111"/>
  <c r="AW20" i="111"/>
  <c r="AX20" i="111"/>
  <c r="AY20" i="111"/>
  <c r="BB20" i="111"/>
  <c r="BC20" i="111"/>
  <c r="BD20" i="111"/>
  <c r="BE20" i="111"/>
  <c r="BH20" i="111"/>
  <c r="BI20" i="111"/>
  <c r="B21" i="111"/>
  <c r="C21" i="111"/>
  <c r="F21" i="111"/>
  <c r="H21" i="111"/>
  <c r="J21" i="111"/>
  <c r="L21" i="111"/>
  <c r="N21" i="111"/>
  <c r="P21" i="111"/>
  <c r="Q21" i="111"/>
  <c r="R21" i="111"/>
  <c r="S21" i="111"/>
  <c r="U21" i="111"/>
  <c r="W21" i="111"/>
  <c r="Y21" i="111"/>
  <c r="AC21" i="111"/>
  <c r="AD21" i="111"/>
  <c r="AF21" i="111"/>
  <c r="AH21" i="111"/>
  <c r="AI21" i="111"/>
  <c r="AJ21" i="111"/>
  <c r="AK21" i="111"/>
  <c r="AW21" i="111"/>
  <c r="AX21" i="111"/>
  <c r="AY21" i="111"/>
  <c r="BB21" i="111"/>
  <c r="BC21" i="111"/>
  <c r="BD21" i="111"/>
  <c r="BE21" i="111"/>
  <c r="BH21" i="111"/>
  <c r="BI21" i="111"/>
  <c r="B22" i="111"/>
  <c r="C22" i="111"/>
  <c r="F22" i="111"/>
  <c r="H22" i="111"/>
  <c r="J22" i="111"/>
  <c r="L22" i="111"/>
  <c r="N22" i="111"/>
  <c r="P22" i="111"/>
  <c r="Q22" i="111"/>
  <c r="R22" i="111"/>
  <c r="S22" i="111"/>
  <c r="U22" i="111"/>
  <c r="W22" i="111"/>
  <c r="Y22" i="111"/>
  <c r="AC22" i="111"/>
  <c r="AD22" i="111"/>
  <c r="AF22" i="111"/>
  <c r="AH22" i="111"/>
  <c r="AI22" i="111"/>
  <c r="AJ22" i="111"/>
  <c r="AK22" i="111"/>
  <c r="AW22" i="111"/>
  <c r="AX22" i="111"/>
  <c r="AY22" i="111"/>
  <c r="BB22" i="111"/>
  <c r="BC22" i="111"/>
  <c r="BD22" i="111"/>
  <c r="BE22" i="111"/>
  <c r="BH22" i="111"/>
  <c r="BI22" i="111"/>
  <c r="B23" i="111"/>
  <c r="C23" i="111"/>
  <c r="F23" i="111"/>
  <c r="H23" i="111"/>
  <c r="J23" i="111"/>
  <c r="L23" i="111"/>
  <c r="N23" i="111"/>
  <c r="P23" i="111"/>
  <c r="Q23" i="111"/>
  <c r="R23" i="111"/>
  <c r="S23" i="111"/>
  <c r="U23" i="111"/>
  <c r="W23" i="111"/>
  <c r="Y23" i="111"/>
  <c r="AC23" i="111"/>
  <c r="AD23" i="111"/>
  <c r="AF23" i="111"/>
  <c r="AH23" i="111"/>
  <c r="AI23" i="111"/>
  <c r="AJ23" i="111"/>
  <c r="AK23" i="111"/>
  <c r="AW23" i="111"/>
  <c r="AX23" i="111"/>
  <c r="AY23" i="111"/>
  <c r="BB23" i="111"/>
  <c r="BC23" i="111"/>
  <c r="BD23" i="111"/>
  <c r="BE23" i="111"/>
  <c r="BH23" i="111"/>
  <c r="BI23" i="111"/>
  <c r="B24" i="111"/>
  <c r="C24" i="111"/>
  <c r="F24" i="111"/>
  <c r="H24" i="111"/>
  <c r="J24" i="111"/>
  <c r="L24" i="111"/>
  <c r="N24" i="111"/>
  <c r="P24" i="111"/>
  <c r="Q24" i="111"/>
  <c r="R24" i="111"/>
  <c r="S24" i="111"/>
  <c r="U24" i="111"/>
  <c r="W24" i="111"/>
  <c r="Y24" i="111"/>
  <c r="AC24" i="111"/>
  <c r="AD24" i="111"/>
  <c r="AF24" i="111"/>
  <c r="AH24" i="111"/>
  <c r="AI24" i="111"/>
  <c r="AJ24" i="111"/>
  <c r="AK24" i="111"/>
  <c r="AW24" i="111"/>
  <c r="AX24" i="111"/>
  <c r="AY24" i="111"/>
  <c r="BB24" i="111"/>
  <c r="BC24" i="111"/>
  <c r="BD24" i="111"/>
  <c r="BE24" i="111"/>
  <c r="BH24" i="111"/>
  <c r="BI24" i="111"/>
  <c r="B25" i="111"/>
  <c r="C25" i="111"/>
  <c r="F25" i="111"/>
  <c r="H25" i="111"/>
  <c r="J25" i="111"/>
  <c r="L25" i="111"/>
  <c r="N25" i="111"/>
  <c r="P25" i="111"/>
  <c r="Q25" i="111"/>
  <c r="R25" i="111"/>
  <c r="S25" i="111"/>
  <c r="U25" i="111"/>
  <c r="W25" i="111"/>
  <c r="Y25" i="111"/>
  <c r="AC25" i="111"/>
  <c r="AD25" i="111"/>
  <c r="AF25" i="111"/>
  <c r="AH25" i="111"/>
  <c r="AI25" i="111"/>
  <c r="AJ25" i="111"/>
  <c r="AK25" i="111"/>
  <c r="AW25" i="111"/>
  <c r="AX25" i="111"/>
  <c r="AY25" i="111"/>
  <c r="BB25" i="111"/>
  <c r="BC25" i="111"/>
  <c r="BD25" i="111"/>
  <c r="BE25" i="111"/>
  <c r="BH25" i="111"/>
  <c r="BI25" i="111"/>
  <c r="B26" i="111"/>
  <c r="C26" i="111"/>
  <c r="F26" i="111"/>
  <c r="H26" i="111"/>
  <c r="J26" i="111"/>
  <c r="L26" i="111"/>
  <c r="N26" i="111"/>
  <c r="P26" i="111"/>
  <c r="Q26" i="111"/>
  <c r="R26" i="111"/>
  <c r="S26" i="111"/>
  <c r="U26" i="111"/>
  <c r="W26" i="111"/>
  <c r="Y26" i="111"/>
  <c r="AC26" i="111"/>
  <c r="AD26" i="111"/>
  <c r="AF26" i="111"/>
  <c r="AH26" i="111"/>
  <c r="AI26" i="111"/>
  <c r="AJ26" i="111"/>
  <c r="AK26" i="111"/>
  <c r="AW26" i="111"/>
  <c r="AX26" i="111"/>
  <c r="AY26" i="111"/>
  <c r="BB26" i="111"/>
  <c r="BC26" i="111"/>
  <c r="BD26" i="111"/>
  <c r="BE26" i="111"/>
  <c r="BH26" i="111"/>
  <c r="BI26" i="111"/>
  <c r="B27" i="111"/>
  <c r="C27" i="111"/>
  <c r="F27" i="111"/>
  <c r="H27" i="111"/>
  <c r="J27" i="111"/>
  <c r="L27" i="111"/>
  <c r="N27" i="111"/>
  <c r="P27" i="111"/>
  <c r="Q27" i="111"/>
  <c r="R27" i="111"/>
  <c r="S27" i="111"/>
  <c r="U27" i="111"/>
  <c r="W27" i="111"/>
  <c r="Y27" i="111"/>
  <c r="AC27" i="111"/>
  <c r="AD27" i="111"/>
  <c r="AF27" i="111"/>
  <c r="AH27" i="111"/>
  <c r="AI27" i="111"/>
  <c r="AJ27" i="111"/>
  <c r="AK27" i="111"/>
  <c r="AW27" i="111"/>
  <c r="AX27" i="111"/>
  <c r="AY27" i="111"/>
  <c r="BB27" i="111"/>
  <c r="BC27" i="111"/>
  <c r="BD27" i="111"/>
  <c r="BE27" i="111"/>
  <c r="BH27" i="111"/>
  <c r="BI27" i="111"/>
  <c r="B28" i="111"/>
  <c r="C28" i="111"/>
  <c r="F28" i="111"/>
  <c r="H28" i="111"/>
  <c r="J28" i="111"/>
  <c r="L28" i="111"/>
  <c r="N28" i="111"/>
  <c r="P28" i="111"/>
  <c r="Q28" i="111"/>
  <c r="R28" i="111"/>
  <c r="S28" i="111"/>
  <c r="U28" i="111"/>
  <c r="W28" i="111"/>
  <c r="Y28" i="111"/>
  <c r="AC28" i="111"/>
  <c r="AD28" i="111"/>
  <c r="AF28" i="111"/>
  <c r="AH28" i="111"/>
  <c r="AI28" i="111"/>
  <c r="AJ28" i="111"/>
  <c r="AK28" i="111"/>
  <c r="AW28" i="111"/>
  <c r="AX28" i="111"/>
  <c r="AY28" i="111"/>
  <c r="BB28" i="111"/>
  <c r="BC28" i="111"/>
  <c r="BD28" i="111"/>
  <c r="BE28" i="111"/>
  <c r="BH28" i="111"/>
  <c r="BI28" i="111"/>
  <c r="B29" i="111"/>
  <c r="C29" i="111"/>
  <c r="F29" i="111"/>
  <c r="H29" i="111"/>
  <c r="J29" i="111"/>
  <c r="L29" i="111"/>
  <c r="N29" i="111"/>
  <c r="P29" i="111"/>
  <c r="Q29" i="111"/>
  <c r="R29" i="111"/>
  <c r="S29" i="111"/>
  <c r="U29" i="111"/>
  <c r="W29" i="111"/>
  <c r="Y29" i="111"/>
  <c r="AC29" i="111"/>
  <c r="AD29" i="111"/>
  <c r="AF29" i="111"/>
  <c r="AH29" i="111"/>
  <c r="AI29" i="111"/>
  <c r="AJ29" i="111"/>
  <c r="AK29" i="111"/>
  <c r="AW29" i="111"/>
  <c r="AX29" i="111"/>
  <c r="AY29" i="111"/>
  <c r="BB29" i="111"/>
  <c r="BC29" i="111"/>
  <c r="BD29" i="111"/>
  <c r="BE29" i="111"/>
  <c r="BH29" i="111"/>
  <c r="BI29" i="111"/>
  <c r="B30" i="111"/>
  <c r="C30" i="111"/>
  <c r="F30" i="111"/>
  <c r="H30" i="111"/>
  <c r="J30" i="111"/>
  <c r="L30" i="111"/>
  <c r="N30" i="111"/>
  <c r="P30" i="111"/>
  <c r="Q30" i="111"/>
  <c r="R30" i="111"/>
  <c r="S30" i="111"/>
  <c r="U30" i="111"/>
  <c r="W30" i="111"/>
  <c r="Y30" i="111"/>
  <c r="AC30" i="111"/>
  <c r="AD30" i="111"/>
  <c r="AF30" i="111"/>
  <c r="AH30" i="111"/>
  <c r="AI30" i="111"/>
  <c r="AJ30" i="111"/>
  <c r="AK30" i="111"/>
  <c r="AW30" i="111"/>
  <c r="AX30" i="111"/>
  <c r="AY30" i="111"/>
  <c r="BB30" i="111"/>
  <c r="BC30" i="111"/>
  <c r="BD30" i="111"/>
  <c r="BE30" i="111"/>
  <c r="BH30" i="111"/>
  <c r="BI30" i="111"/>
  <c r="B31" i="111"/>
  <c r="C31" i="111"/>
  <c r="F31" i="111"/>
  <c r="H31" i="111"/>
  <c r="J31" i="111"/>
  <c r="L31" i="111"/>
  <c r="N31" i="111"/>
  <c r="P31" i="111"/>
  <c r="Q31" i="111"/>
  <c r="R31" i="111"/>
  <c r="S31" i="111"/>
  <c r="U31" i="111"/>
  <c r="W31" i="111"/>
  <c r="Y31" i="111"/>
  <c r="AC31" i="111"/>
  <c r="AD31" i="111"/>
  <c r="AF31" i="111"/>
  <c r="AH31" i="111"/>
  <c r="AI31" i="111"/>
  <c r="AJ31" i="111"/>
  <c r="AK31" i="111"/>
  <c r="AW31" i="111"/>
  <c r="AX31" i="111"/>
  <c r="AY31" i="111"/>
  <c r="BB31" i="111"/>
  <c r="BC31" i="111"/>
  <c r="BD31" i="111"/>
  <c r="BE31" i="111"/>
  <c r="BH31" i="111"/>
  <c r="BI31" i="111"/>
  <c r="B32" i="111"/>
  <c r="C32" i="111"/>
  <c r="F32" i="111"/>
  <c r="H32" i="111"/>
  <c r="J32" i="111"/>
  <c r="L32" i="111"/>
  <c r="N32" i="111"/>
  <c r="P32" i="111"/>
  <c r="Q32" i="111"/>
  <c r="R32" i="111"/>
  <c r="S32" i="111"/>
  <c r="U32" i="111"/>
  <c r="W32" i="111"/>
  <c r="Y32" i="111"/>
  <c r="AC32" i="111"/>
  <c r="AD32" i="111"/>
  <c r="AF32" i="111"/>
  <c r="AH32" i="111"/>
  <c r="AI32" i="111"/>
  <c r="AJ32" i="111"/>
  <c r="AK32" i="111"/>
  <c r="AW32" i="111"/>
  <c r="AX32" i="111"/>
  <c r="AY32" i="111"/>
  <c r="BB32" i="111"/>
  <c r="BC32" i="111"/>
  <c r="BD32" i="111"/>
  <c r="BE32" i="111"/>
  <c r="BH32" i="111"/>
  <c r="BI32" i="111"/>
  <c r="B33" i="111"/>
  <c r="C33" i="111"/>
  <c r="F33" i="111"/>
  <c r="H33" i="111"/>
  <c r="J33" i="111"/>
  <c r="L33" i="111"/>
  <c r="N33" i="111"/>
  <c r="P33" i="111"/>
  <c r="Q33" i="111"/>
  <c r="R33" i="111"/>
  <c r="S33" i="111"/>
  <c r="U33" i="111"/>
  <c r="W33" i="111"/>
  <c r="Y33" i="111"/>
  <c r="AC33" i="111"/>
  <c r="AD33" i="111"/>
  <c r="AF33" i="111"/>
  <c r="AH33" i="111"/>
  <c r="AI33" i="111"/>
  <c r="AJ33" i="111"/>
  <c r="AK33" i="111"/>
  <c r="AW33" i="111"/>
  <c r="AX33" i="111"/>
  <c r="AY33" i="111"/>
  <c r="BB33" i="111"/>
  <c r="BC33" i="111"/>
  <c r="BD33" i="111"/>
  <c r="BE33" i="111"/>
  <c r="BH33" i="111"/>
  <c r="BI33" i="111"/>
  <c r="B34" i="111"/>
  <c r="C34" i="111"/>
  <c r="F34" i="111"/>
  <c r="H34" i="111"/>
  <c r="J34" i="111"/>
  <c r="L34" i="111"/>
  <c r="N34" i="111"/>
  <c r="P34" i="111"/>
  <c r="Q34" i="111"/>
  <c r="R34" i="111"/>
  <c r="S34" i="111"/>
  <c r="U34" i="111"/>
  <c r="W34" i="111"/>
  <c r="Y34" i="111"/>
  <c r="AC34" i="111"/>
  <c r="AD34" i="111"/>
  <c r="AF34" i="111"/>
  <c r="AH34" i="111"/>
  <c r="AI34" i="111"/>
  <c r="AJ34" i="111"/>
  <c r="AK34" i="111"/>
  <c r="AW34" i="111"/>
  <c r="AX34" i="111"/>
  <c r="AY34" i="111"/>
  <c r="BB34" i="111"/>
  <c r="BC34" i="111"/>
  <c r="BD34" i="111"/>
  <c r="BE34" i="111"/>
  <c r="BH34" i="111"/>
  <c r="BI34" i="111"/>
  <c r="B35" i="111"/>
  <c r="C35" i="111"/>
  <c r="F35" i="111"/>
  <c r="H35" i="111"/>
  <c r="J35" i="111"/>
  <c r="L35" i="111"/>
  <c r="N35" i="111"/>
  <c r="P35" i="111"/>
  <c r="Q35" i="111"/>
  <c r="R35" i="111"/>
  <c r="S35" i="111"/>
  <c r="U35" i="111"/>
  <c r="W35" i="111"/>
  <c r="Y35" i="111"/>
  <c r="AC35" i="111"/>
  <c r="AD35" i="111"/>
  <c r="AF35" i="111"/>
  <c r="AH35" i="111"/>
  <c r="AI35" i="111"/>
  <c r="AJ35" i="111"/>
  <c r="AK35" i="111"/>
  <c r="AW35" i="111"/>
  <c r="AX35" i="111"/>
  <c r="AY35" i="111"/>
  <c r="BB35" i="111"/>
  <c r="BC35" i="111"/>
  <c r="BD35" i="111"/>
  <c r="BE35" i="111"/>
  <c r="BH35" i="111"/>
  <c r="BI35" i="111"/>
  <c r="B36" i="111"/>
  <c r="C36" i="111"/>
  <c r="F36" i="111"/>
  <c r="H36" i="111"/>
  <c r="J36" i="111"/>
  <c r="L36" i="111"/>
  <c r="N36" i="111"/>
  <c r="P36" i="111"/>
  <c r="Q36" i="111"/>
  <c r="R36" i="111"/>
  <c r="S36" i="111"/>
  <c r="U36" i="111"/>
  <c r="W36" i="111"/>
  <c r="Y36" i="111"/>
  <c r="AC36" i="111"/>
  <c r="AD36" i="111"/>
  <c r="AF36" i="111"/>
  <c r="AH36" i="111"/>
  <c r="AI36" i="111"/>
  <c r="AJ36" i="111"/>
  <c r="AK36" i="111"/>
  <c r="AW36" i="111"/>
  <c r="AX36" i="111"/>
  <c r="AY36" i="111"/>
  <c r="BB36" i="111"/>
  <c r="BC36" i="111"/>
  <c r="BD36" i="111"/>
  <c r="BE36" i="111"/>
  <c r="BH36" i="111"/>
  <c r="BI36" i="111"/>
  <c r="B37" i="111"/>
  <c r="C37" i="111"/>
  <c r="F37" i="111"/>
  <c r="H37" i="111"/>
  <c r="J37" i="111"/>
  <c r="L37" i="111"/>
  <c r="N37" i="111"/>
  <c r="P37" i="111"/>
  <c r="Q37" i="111"/>
  <c r="R37" i="111"/>
  <c r="S37" i="111"/>
  <c r="U37" i="111"/>
  <c r="W37" i="111"/>
  <c r="Y37" i="111"/>
  <c r="AC37" i="111"/>
  <c r="AD37" i="111"/>
  <c r="AF37" i="111"/>
  <c r="AH37" i="111"/>
  <c r="AI37" i="111"/>
  <c r="AJ37" i="111"/>
  <c r="AK37" i="111"/>
  <c r="AW37" i="111"/>
  <c r="AX37" i="111"/>
  <c r="AY37" i="111"/>
  <c r="BB37" i="111"/>
  <c r="BC37" i="111"/>
  <c r="BD37" i="111"/>
  <c r="BE37" i="111"/>
  <c r="BH37" i="111"/>
  <c r="BI37" i="111"/>
  <c r="B38" i="111"/>
  <c r="C38" i="111"/>
  <c r="F38" i="111"/>
  <c r="H38" i="111"/>
  <c r="J38" i="111"/>
  <c r="L38" i="111"/>
  <c r="N38" i="111"/>
  <c r="P38" i="111"/>
  <c r="Q38" i="111"/>
  <c r="R38" i="111"/>
  <c r="S38" i="111"/>
  <c r="U38" i="111"/>
  <c r="W38" i="111"/>
  <c r="Y38" i="111"/>
  <c r="AC38" i="111"/>
  <c r="AD38" i="111"/>
  <c r="AF38" i="111"/>
  <c r="AH38" i="111"/>
  <c r="AI38" i="111"/>
  <c r="AJ38" i="111"/>
  <c r="AK38" i="111"/>
  <c r="AW38" i="111"/>
  <c r="AX38" i="111"/>
  <c r="AY38" i="111"/>
  <c r="BB38" i="111"/>
  <c r="BC38" i="111"/>
  <c r="BD38" i="111"/>
  <c r="BE38" i="111"/>
  <c r="BH38" i="111"/>
  <c r="BI38" i="111"/>
  <c r="B39" i="111"/>
  <c r="C39" i="111"/>
  <c r="F39" i="111"/>
  <c r="H39" i="111"/>
  <c r="J39" i="111"/>
  <c r="L39" i="111"/>
  <c r="N39" i="111"/>
  <c r="P39" i="111"/>
  <c r="Q39" i="111"/>
  <c r="R39" i="111"/>
  <c r="S39" i="111"/>
  <c r="U39" i="111"/>
  <c r="W39" i="111"/>
  <c r="Y39" i="111"/>
  <c r="AC39" i="111"/>
  <c r="AD39" i="111"/>
  <c r="AF39" i="111"/>
  <c r="AH39" i="111"/>
  <c r="AI39" i="111"/>
  <c r="AJ39" i="111"/>
  <c r="AK39" i="111"/>
  <c r="AW39" i="111"/>
  <c r="AX39" i="111"/>
  <c r="AY39" i="111"/>
  <c r="BB39" i="111"/>
  <c r="BC39" i="111"/>
  <c r="BD39" i="111"/>
  <c r="BE39" i="111"/>
  <c r="BH39" i="111"/>
  <c r="BI39" i="111"/>
  <c r="B40" i="111"/>
  <c r="C40" i="111"/>
  <c r="F40" i="111"/>
  <c r="H40" i="111"/>
  <c r="J40" i="111"/>
  <c r="L40" i="111"/>
  <c r="N40" i="111"/>
  <c r="P40" i="111"/>
  <c r="Q40" i="111"/>
  <c r="R40" i="111"/>
  <c r="S40" i="111"/>
  <c r="U40" i="111"/>
  <c r="W40" i="111"/>
  <c r="Y40" i="111"/>
  <c r="AC40" i="111"/>
  <c r="AD40" i="111"/>
  <c r="AF40" i="111"/>
  <c r="AH40" i="111"/>
  <c r="AI40" i="111"/>
  <c r="AJ40" i="111"/>
  <c r="AK40" i="111"/>
  <c r="AW40" i="111"/>
  <c r="AX40" i="111"/>
  <c r="AY40" i="111"/>
  <c r="BB40" i="111"/>
  <c r="BC40" i="111"/>
  <c r="BD40" i="111"/>
  <c r="BE40" i="111"/>
  <c r="BH40" i="111"/>
  <c r="BI40" i="111"/>
  <c r="B41" i="111"/>
  <c r="C41" i="111"/>
  <c r="F41" i="111"/>
  <c r="H41" i="111"/>
  <c r="J41" i="111"/>
  <c r="L41" i="111"/>
  <c r="N41" i="111"/>
  <c r="P41" i="111"/>
  <c r="Q41" i="111"/>
  <c r="R41" i="111"/>
  <c r="S41" i="111"/>
  <c r="U41" i="111"/>
  <c r="W41" i="111"/>
  <c r="Y41" i="111"/>
  <c r="AC41" i="111"/>
  <c r="AD41" i="111"/>
  <c r="AF41" i="111"/>
  <c r="AH41" i="111"/>
  <c r="AI41" i="111"/>
  <c r="AJ41" i="111"/>
  <c r="AK41" i="111"/>
  <c r="AW41" i="111"/>
  <c r="AX41" i="111"/>
  <c r="AY41" i="111"/>
  <c r="BB41" i="111"/>
  <c r="BC41" i="111"/>
  <c r="BD41" i="111"/>
  <c r="BE41" i="111"/>
  <c r="BH41" i="111"/>
  <c r="BI41" i="111"/>
  <c r="B42" i="111"/>
  <c r="C42" i="111"/>
  <c r="F42" i="111"/>
  <c r="H42" i="111"/>
  <c r="J42" i="111"/>
  <c r="L42" i="111"/>
  <c r="N42" i="111"/>
  <c r="P42" i="111"/>
  <c r="Q42" i="111"/>
  <c r="R42" i="111"/>
  <c r="S42" i="111"/>
  <c r="U42" i="111"/>
  <c r="W42" i="111"/>
  <c r="Y42" i="111"/>
  <c r="AC42" i="111"/>
  <c r="AD42" i="111"/>
  <c r="AF42" i="111"/>
  <c r="AH42" i="111"/>
  <c r="AI42" i="111"/>
  <c r="AJ42" i="111"/>
  <c r="AK42" i="111"/>
  <c r="AW42" i="111"/>
  <c r="AX42" i="111"/>
  <c r="AY42" i="111"/>
  <c r="BB42" i="111"/>
  <c r="BC42" i="111"/>
  <c r="BD42" i="111"/>
  <c r="BE42" i="111"/>
  <c r="BH42" i="111"/>
  <c r="BI42" i="111"/>
  <c r="B43" i="111"/>
  <c r="C43" i="111"/>
  <c r="F43" i="111"/>
  <c r="H43" i="111"/>
  <c r="J43" i="111"/>
  <c r="L43" i="111"/>
  <c r="N43" i="111"/>
  <c r="P43" i="111"/>
  <c r="Q43" i="111"/>
  <c r="R43" i="111"/>
  <c r="S43" i="111"/>
  <c r="U43" i="111"/>
  <c r="W43" i="111"/>
  <c r="Y43" i="111"/>
  <c r="AC43" i="111"/>
  <c r="AD43" i="111"/>
  <c r="AF43" i="111"/>
  <c r="AH43" i="111"/>
  <c r="AI43" i="111"/>
  <c r="AJ43" i="111"/>
  <c r="AK43" i="111"/>
  <c r="AW43" i="111"/>
  <c r="AX43" i="111"/>
  <c r="AY43" i="111"/>
  <c r="BB43" i="111"/>
  <c r="BC43" i="111"/>
  <c r="BD43" i="111"/>
  <c r="BE43" i="111"/>
  <c r="BH43" i="111"/>
  <c r="BI43" i="111"/>
  <c r="B44" i="111"/>
  <c r="C44" i="111"/>
  <c r="F44" i="111"/>
  <c r="H44" i="111"/>
  <c r="J44" i="111"/>
  <c r="L44" i="111"/>
  <c r="N44" i="111"/>
  <c r="P44" i="111"/>
  <c r="Q44" i="111"/>
  <c r="R44" i="111"/>
  <c r="S44" i="111"/>
  <c r="U44" i="111"/>
  <c r="W44" i="111"/>
  <c r="Y44" i="111"/>
  <c r="AC44" i="111"/>
  <c r="AD44" i="111"/>
  <c r="AF44" i="111"/>
  <c r="AH44" i="111"/>
  <c r="AI44" i="111"/>
  <c r="AJ44" i="111"/>
  <c r="AK44" i="111"/>
  <c r="AW44" i="111"/>
  <c r="AX44" i="111"/>
  <c r="AY44" i="111"/>
  <c r="BB44" i="111"/>
  <c r="BC44" i="111"/>
  <c r="BD44" i="111"/>
  <c r="BE44" i="111"/>
  <c r="BH44" i="111"/>
  <c r="BI44" i="111"/>
  <c r="B45" i="111"/>
  <c r="C45" i="111"/>
  <c r="F45" i="111"/>
  <c r="H45" i="111"/>
  <c r="J45" i="111"/>
  <c r="L45" i="111"/>
  <c r="N45" i="111"/>
  <c r="P45" i="111"/>
  <c r="Q45" i="111"/>
  <c r="R45" i="111"/>
  <c r="S45" i="111"/>
  <c r="U45" i="111"/>
  <c r="W45" i="111"/>
  <c r="Y45" i="111"/>
  <c r="AC45" i="111"/>
  <c r="AD45" i="111"/>
  <c r="AF45" i="111"/>
  <c r="AH45" i="111"/>
  <c r="AI45" i="111"/>
  <c r="AJ45" i="111"/>
  <c r="AK45" i="111"/>
  <c r="AW45" i="111"/>
  <c r="AX45" i="111"/>
  <c r="AY45" i="111"/>
  <c r="BB45" i="111"/>
  <c r="BC45" i="111"/>
  <c r="BD45" i="111"/>
  <c r="BE45" i="111"/>
  <c r="BH45" i="111"/>
  <c r="BI45" i="111"/>
  <c r="B46" i="111"/>
  <c r="C46" i="111"/>
  <c r="F46" i="111"/>
  <c r="H46" i="111"/>
  <c r="J46" i="111"/>
  <c r="L46" i="111"/>
  <c r="N46" i="111"/>
  <c r="P46" i="111"/>
  <c r="Q46" i="111"/>
  <c r="R46" i="111"/>
  <c r="S46" i="111"/>
  <c r="U46" i="111"/>
  <c r="W46" i="111"/>
  <c r="Y46" i="111"/>
  <c r="AC46" i="111"/>
  <c r="AD46" i="111"/>
  <c r="AF46" i="111"/>
  <c r="AH46" i="111"/>
  <c r="AI46" i="111"/>
  <c r="AJ46" i="111"/>
  <c r="AK46" i="111"/>
  <c r="AW46" i="111"/>
  <c r="AX46" i="111"/>
  <c r="AY46" i="111"/>
  <c r="BB46" i="111"/>
  <c r="BC46" i="111"/>
  <c r="BD46" i="111"/>
  <c r="BE46" i="111"/>
  <c r="BH46" i="111"/>
  <c r="BI46" i="111"/>
  <c r="B47" i="111"/>
  <c r="C47" i="111"/>
  <c r="F47" i="111"/>
  <c r="H47" i="111"/>
  <c r="J47" i="111"/>
  <c r="L47" i="111"/>
  <c r="N47" i="111"/>
  <c r="P47" i="111"/>
  <c r="Q47" i="111"/>
  <c r="R47" i="111"/>
  <c r="S47" i="111"/>
  <c r="U47" i="111"/>
  <c r="W47" i="111"/>
  <c r="Y47" i="111"/>
  <c r="AC47" i="111"/>
  <c r="AD47" i="111"/>
  <c r="AF47" i="111"/>
  <c r="AH47" i="111"/>
  <c r="AI47" i="111"/>
  <c r="AJ47" i="111"/>
  <c r="AK47" i="111"/>
  <c r="AW47" i="111"/>
  <c r="AX47" i="111"/>
  <c r="AY47" i="111"/>
  <c r="BB47" i="111"/>
  <c r="BC47" i="111"/>
  <c r="BD47" i="111"/>
  <c r="BE47" i="111"/>
  <c r="BH47" i="111"/>
  <c r="BI47" i="111"/>
  <c r="B48" i="111"/>
  <c r="C48" i="111"/>
  <c r="F48" i="111"/>
  <c r="H48" i="111"/>
  <c r="J48" i="111"/>
  <c r="L48" i="111"/>
  <c r="N48" i="111"/>
  <c r="P48" i="111"/>
  <c r="Q48" i="111"/>
  <c r="R48" i="111"/>
  <c r="S48" i="111"/>
  <c r="U48" i="111"/>
  <c r="W48" i="111"/>
  <c r="Y48" i="111"/>
  <c r="AC48" i="111"/>
  <c r="AD48" i="111"/>
  <c r="AF48" i="111"/>
  <c r="AH48" i="111"/>
  <c r="AI48" i="111"/>
  <c r="AJ48" i="111"/>
  <c r="AK48" i="111"/>
  <c r="AW48" i="111"/>
  <c r="AX48" i="111"/>
  <c r="AY48" i="111"/>
  <c r="BB48" i="111"/>
  <c r="BC48" i="111"/>
  <c r="BD48" i="111"/>
  <c r="BE48" i="111"/>
  <c r="BH48" i="111"/>
  <c r="BI48" i="111"/>
  <c r="B49" i="111"/>
  <c r="C49" i="111"/>
  <c r="F49" i="111"/>
  <c r="H49" i="111"/>
  <c r="J49" i="111"/>
  <c r="L49" i="111"/>
  <c r="N49" i="111"/>
  <c r="P49" i="111"/>
  <c r="Q49" i="111"/>
  <c r="R49" i="111"/>
  <c r="S49" i="111"/>
  <c r="U49" i="111"/>
  <c r="W49" i="111"/>
  <c r="Y49" i="111"/>
  <c r="AC49" i="111"/>
  <c r="AD49" i="111"/>
  <c r="AF49" i="111"/>
  <c r="AH49" i="111"/>
  <c r="AI49" i="111"/>
  <c r="AJ49" i="111"/>
  <c r="AK49" i="111"/>
  <c r="AW49" i="111"/>
  <c r="AX49" i="111"/>
  <c r="AY49" i="111"/>
  <c r="BB49" i="111"/>
  <c r="BC49" i="111"/>
  <c r="BD49" i="111"/>
  <c r="BE49" i="111"/>
  <c r="BH49" i="111"/>
  <c r="BI49" i="111"/>
  <c r="B50" i="111"/>
  <c r="C50" i="111"/>
  <c r="F50" i="111"/>
  <c r="H50" i="111"/>
  <c r="J50" i="111"/>
  <c r="L50" i="111"/>
  <c r="N50" i="111"/>
  <c r="P50" i="111"/>
  <c r="Q50" i="111"/>
  <c r="R50" i="111"/>
  <c r="S50" i="111"/>
  <c r="U50" i="111"/>
  <c r="W50" i="111"/>
  <c r="Y50" i="111"/>
  <c r="AC50" i="111"/>
  <c r="AD50" i="111"/>
  <c r="AF50" i="111"/>
  <c r="AH50" i="111"/>
  <c r="AI50" i="111"/>
  <c r="AJ50" i="111"/>
  <c r="AK50" i="111"/>
  <c r="AW50" i="111"/>
  <c r="AX50" i="111"/>
  <c r="AY50" i="111"/>
  <c r="BB50" i="111"/>
  <c r="BC50" i="111"/>
  <c r="BD50" i="111"/>
  <c r="BE50" i="111"/>
  <c r="BH50" i="111"/>
  <c r="BI50" i="111"/>
  <c r="C51" i="111"/>
  <c r="D51" i="111"/>
  <c r="E51" i="111"/>
  <c r="F51" i="111"/>
  <c r="G51" i="111"/>
  <c r="H51" i="111"/>
  <c r="I51" i="111"/>
  <c r="J51" i="111"/>
  <c r="K51" i="111"/>
  <c r="L51" i="111"/>
  <c r="M51" i="111"/>
  <c r="N51" i="111"/>
  <c r="O51" i="111"/>
  <c r="P51" i="111"/>
  <c r="Q51" i="111"/>
  <c r="R51" i="111"/>
  <c r="S51" i="111"/>
  <c r="T51" i="111"/>
  <c r="U51" i="111"/>
  <c r="V51" i="111"/>
  <c r="W51" i="111"/>
  <c r="X51" i="111"/>
  <c r="Y51" i="111"/>
  <c r="AD51" i="111"/>
  <c r="AE51" i="111"/>
  <c r="AF51" i="111"/>
  <c r="AG51" i="111"/>
  <c r="AH51" i="111"/>
  <c r="AI51" i="111"/>
  <c r="AJ51" i="111"/>
  <c r="AK51" i="111"/>
  <c r="AX51" i="111"/>
  <c r="AY51" i="111"/>
  <c r="AZ51" i="111"/>
  <c r="BA51" i="111"/>
  <c r="BB51" i="111"/>
  <c r="BC51" i="111"/>
  <c r="BD51" i="111"/>
  <c r="BE51" i="111"/>
  <c r="BF51" i="111"/>
  <c r="BG51" i="111"/>
  <c r="BH51" i="111"/>
  <c r="BI51" i="111"/>
  <c r="AN10" i="110"/>
  <c r="AO10" i="110"/>
  <c r="AQ10" i="110"/>
  <c r="AS10" i="110"/>
  <c r="AT10" i="110"/>
  <c r="B11" i="110"/>
  <c r="C11" i="110"/>
  <c r="F11" i="110"/>
  <c r="H11" i="110"/>
  <c r="J11" i="110"/>
  <c r="L11" i="110"/>
  <c r="N11" i="110"/>
  <c r="P11" i="110"/>
  <c r="Q11" i="110"/>
  <c r="R11" i="110"/>
  <c r="S11" i="110"/>
  <c r="U11" i="110"/>
  <c r="W11" i="110"/>
  <c r="Y11" i="110"/>
  <c r="AC11" i="110"/>
  <c r="AD11" i="110"/>
  <c r="AF11" i="110"/>
  <c r="AH11" i="110"/>
  <c r="AI11" i="110"/>
  <c r="AJ11" i="110"/>
  <c r="AK11" i="110"/>
  <c r="AN11" i="110"/>
  <c r="AO11" i="110"/>
  <c r="AQ11" i="110"/>
  <c r="AS11" i="110"/>
  <c r="AT11" i="110"/>
  <c r="AW11" i="110"/>
  <c r="AX11" i="110"/>
  <c r="AY11" i="110"/>
  <c r="BB11" i="110"/>
  <c r="BC11" i="110"/>
  <c r="BD11" i="110"/>
  <c r="BE11" i="110"/>
  <c r="BH11" i="110"/>
  <c r="BI11" i="110"/>
  <c r="B12" i="110"/>
  <c r="C12" i="110"/>
  <c r="F12" i="110"/>
  <c r="H12" i="110"/>
  <c r="J12" i="110"/>
  <c r="L12" i="110"/>
  <c r="N12" i="110"/>
  <c r="P12" i="110"/>
  <c r="Q12" i="110"/>
  <c r="R12" i="110"/>
  <c r="S12" i="110"/>
  <c r="U12" i="110"/>
  <c r="W12" i="110"/>
  <c r="Y12" i="110"/>
  <c r="AC12" i="110"/>
  <c r="AD12" i="110"/>
  <c r="AF12" i="110"/>
  <c r="AH12" i="110"/>
  <c r="AI12" i="110"/>
  <c r="AJ12" i="110"/>
  <c r="AK12" i="110"/>
  <c r="AN12" i="110"/>
  <c r="AO12" i="110"/>
  <c r="AQ12" i="110"/>
  <c r="AS12" i="110"/>
  <c r="AT12" i="110"/>
  <c r="AW12" i="110"/>
  <c r="AX12" i="110"/>
  <c r="AY12" i="110"/>
  <c r="BB12" i="110"/>
  <c r="BC12" i="110"/>
  <c r="BD12" i="110"/>
  <c r="BE12" i="110"/>
  <c r="BH12" i="110"/>
  <c r="BI12" i="110"/>
  <c r="B13" i="110"/>
  <c r="C13" i="110"/>
  <c r="F13" i="110"/>
  <c r="H13" i="110"/>
  <c r="J13" i="110"/>
  <c r="L13" i="110"/>
  <c r="N13" i="110"/>
  <c r="P13" i="110"/>
  <c r="Q13" i="110"/>
  <c r="R13" i="110"/>
  <c r="S13" i="110"/>
  <c r="U13" i="110"/>
  <c r="W13" i="110"/>
  <c r="Y13" i="110"/>
  <c r="AC13" i="110"/>
  <c r="AD13" i="110"/>
  <c r="AF13" i="110"/>
  <c r="AH13" i="110"/>
  <c r="AI13" i="110"/>
  <c r="AJ13" i="110"/>
  <c r="AK13" i="110"/>
  <c r="AO13" i="110"/>
  <c r="AP13" i="110"/>
  <c r="AQ13" i="110"/>
  <c r="AR13" i="110"/>
  <c r="AS13" i="110"/>
  <c r="AT13" i="110"/>
  <c r="AW13" i="110"/>
  <c r="AX13" i="110"/>
  <c r="AY13" i="110"/>
  <c r="BB13" i="110"/>
  <c r="BC13" i="110"/>
  <c r="BD13" i="110"/>
  <c r="BE13" i="110"/>
  <c r="BH13" i="110"/>
  <c r="BI13" i="110"/>
  <c r="B14" i="110"/>
  <c r="C14" i="110"/>
  <c r="F14" i="110"/>
  <c r="H14" i="110"/>
  <c r="J14" i="110"/>
  <c r="L14" i="110"/>
  <c r="N14" i="110"/>
  <c r="P14" i="110"/>
  <c r="Q14" i="110"/>
  <c r="R14" i="110"/>
  <c r="S14" i="110"/>
  <c r="U14" i="110"/>
  <c r="W14" i="110"/>
  <c r="Y14" i="110"/>
  <c r="AC14" i="110"/>
  <c r="AD14" i="110"/>
  <c r="AF14" i="110"/>
  <c r="AH14" i="110"/>
  <c r="AI14" i="110"/>
  <c r="AJ14" i="110"/>
  <c r="AK14" i="110"/>
  <c r="AT14" i="110"/>
  <c r="AW14" i="110"/>
  <c r="AX14" i="110"/>
  <c r="AY14" i="110"/>
  <c r="BB14" i="110"/>
  <c r="BC14" i="110"/>
  <c r="BD14" i="110"/>
  <c r="BE14" i="110"/>
  <c r="BH14" i="110"/>
  <c r="BI14" i="110"/>
  <c r="B15" i="110"/>
  <c r="C15" i="110"/>
  <c r="F15" i="110"/>
  <c r="H15" i="110"/>
  <c r="J15" i="110"/>
  <c r="L15" i="110"/>
  <c r="N15" i="110"/>
  <c r="P15" i="110"/>
  <c r="Q15" i="110"/>
  <c r="R15" i="110"/>
  <c r="S15" i="110"/>
  <c r="U15" i="110"/>
  <c r="W15" i="110"/>
  <c r="Y15" i="110"/>
  <c r="AC15" i="110"/>
  <c r="AD15" i="110"/>
  <c r="AF15" i="110"/>
  <c r="AH15" i="110"/>
  <c r="AI15" i="110"/>
  <c r="AJ15" i="110"/>
  <c r="AK15" i="110"/>
  <c r="AW15" i="110"/>
  <c r="AX15" i="110"/>
  <c r="AY15" i="110"/>
  <c r="BB15" i="110"/>
  <c r="BC15" i="110"/>
  <c r="BD15" i="110"/>
  <c r="BE15" i="110"/>
  <c r="BH15" i="110"/>
  <c r="BI15" i="110"/>
  <c r="B16" i="110"/>
  <c r="C16" i="110"/>
  <c r="F16" i="110"/>
  <c r="H16" i="110"/>
  <c r="J16" i="110"/>
  <c r="L16" i="110"/>
  <c r="N16" i="110"/>
  <c r="P16" i="110"/>
  <c r="Q16" i="110"/>
  <c r="R16" i="110"/>
  <c r="S16" i="110"/>
  <c r="U16" i="110"/>
  <c r="W16" i="110"/>
  <c r="Y16" i="110"/>
  <c r="AC16" i="110"/>
  <c r="AD16" i="110"/>
  <c r="AF16" i="110"/>
  <c r="AH16" i="110"/>
  <c r="AI16" i="110"/>
  <c r="AJ16" i="110"/>
  <c r="AK16" i="110"/>
  <c r="AW16" i="110"/>
  <c r="AX16" i="110"/>
  <c r="AY16" i="110"/>
  <c r="BB16" i="110"/>
  <c r="BC16" i="110"/>
  <c r="BD16" i="110"/>
  <c r="BE16" i="110"/>
  <c r="BH16" i="110"/>
  <c r="BI16" i="110"/>
  <c r="B17" i="110"/>
  <c r="C17" i="110"/>
  <c r="F17" i="110"/>
  <c r="H17" i="110"/>
  <c r="J17" i="110"/>
  <c r="L17" i="110"/>
  <c r="N17" i="110"/>
  <c r="P17" i="110"/>
  <c r="Q17" i="110"/>
  <c r="R17" i="110"/>
  <c r="S17" i="110"/>
  <c r="U17" i="110"/>
  <c r="W17" i="110"/>
  <c r="Y17" i="110"/>
  <c r="AC17" i="110"/>
  <c r="AD17" i="110"/>
  <c r="AF17" i="110"/>
  <c r="AH17" i="110"/>
  <c r="AI17" i="110"/>
  <c r="AJ17" i="110"/>
  <c r="AK17" i="110"/>
  <c r="AW17" i="110"/>
  <c r="AX17" i="110"/>
  <c r="AY17" i="110"/>
  <c r="BB17" i="110"/>
  <c r="BC17" i="110"/>
  <c r="BD17" i="110"/>
  <c r="BE17" i="110"/>
  <c r="BH17" i="110"/>
  <c r="BI17" i="110"/>
  <c r="B18" i="110"/>
  <c r="C18" i="110"/>
  <c r="F18" i="110"/>
  <c r="H18" i="110"/>
  <c r="J18" i="110"/>
  <c r="L18" i="110"/>
  <c r="N18" i="110"/>
  <c r="P18" i="110"/>
  <c r="Q18" i="110"/>
  <c r="R18" i="110"/>
  <c r="S18" i="110"/>
  <c r="U18" i="110"/>
  <c r="W18" i="110"/>
  <c r="Y18" i="110"/>
  <c r="AC18" i="110"/>
  <c r="AD18" i="110"/>
  <c r="AF18" i="110"/>
  <c r="AH18" i="110"/>
  <c r="AI18" i="110"/>
  <c r="AJ18" i="110"/>
  <c r="AK18" i="110"/>
  <c r="AW18" i="110"/>
  <c r="AX18" i="110"/>
  <c r="AY18" i="110"/>
  <c r="BB18" i="110"/>
  <c r="BC18" i="110"/>
  <c r="BD18" i="110"/>
  <c r="BE18" i="110"/>
  <c r="BH18" i="110"/>
  <c r="BI18" i="110"/>
  <c r="B19" i="110"/>
  <c r="C19" i="110"/>
  <c r="F19" i="110"/>
  <c r="H19" i="110"/>
  <c r="J19" i="110"/>
  <c r="L19" i="110"/>
  <c r="N19" i="110"/>
  <c r="P19" i="110"/>
  <c r="Q19" i="110"/>
  <c r="R19" i="110"/>
  <c r="S19" i="110"/>
  <c r="U19" i="110"/>
  <c r="W19" i="110"/>
  <c r="Y19" i="110"/>
  <c r="AC19" i="110"/>
  <c r="AD19" i="110"/>
  <c r="AF19" i="110"/>
  <c r="AH19" i="110"/>
  <c r="AI19" i="110"/>
  <c r="AJ19" i="110"/>
  <c r="AK19" i="110"/>
  <c r="AW19" i="110"/>
  <c r="AX19" i="110"/>
  <c r="AY19" i="110"/>
  <c r="BB19" i="110"/>
  <c r="BC19" i="110"/>
  <c r="BD19" i="110"/>
  <c r="BE19" i="110"/>
  <c r="BH19" i="110"/>
  <c r="BI19" i="110"/>
  <c r="B20" i="110"/>
  <c r="C20" i="110"/>
  <c r="F20" i="110"/>
  <c r="H20" i="110"/>
  <c r="J20" i="110"/>
  <c r="L20" i="110"/>
  <c r="N20" i="110"/>
  <c r="P20" i="110"/>
  <c r="Q20" i="110"/>
  <c r="R20" i="110"/>
  <c r="S20" i="110"/>
  <c r="U20" i="110"/>
  <c r="W20" i="110"/>
  <c r="Y20" i="110"/>
  <c r="AC20" i="110"/>
  <c r="AD20" i="110"/>
  <c r="AF20" i="110"/>
  <c r="AH20" i="110"/>
  <c r="AI20" i="110"/>
  <c r="AJ20" i="110"/>
  <c r="AK20" i="110"/>
  <c r="AW20" i="110"/>
  <c r="AX20" i="110"/>
  <c r="AY20" i="110"/>
  <c r="BB20" i="110"/>
  <c r="BC20" i="110"/>
  <c r="BD20" i="110"/>
  <c r="BE20" i="110"/>
  <c r="BH20" i="110"/>
  <c r="BI20" i="110"/>
  <c r="B21" i="110"/>
  <c r="C21" i="110"/>
  <c r="F21" i="110"/>
  <c r="H21" i="110"/>
  <c r="J21" i="110"/>
  <c r="L21" i="110"/>
  <c r="N21" i="110"/>
  <c r="P21" i="110"/>
  <c r="Q21" i="110"/>
  <c r="R21" i="110"/>
  <c r="S21" i="110"/>
  <c r="U21" i="110"/>
  <c r="W21" i="110"/>
  <c r="Y21" i="110"/>
  <c r="AC21" i="110"/>
  <c r="AD21" i="110"/>
  <c r="AF21" i="110"/>
  <c r="AH21" i="110"/>
  <c r="AI21" i="110"/>
  <c r="AJ21" i="110"/>
  <c r="AK21" i="110"/>
  <c r="AW21" i="110"/>
  <c r="AX21" i="110"/>
  <c r="AY21" i="110"/>
  <c r="BB21" i="110"/>
  <c r="BC21" i="110"/>
  <c r="BD21" i="110"/>
  <c r="BE21" i="110"/>
  <c r="BH21" i="110"/>
  <c r="BI21" i="110"/>
  <c r="B22" i="110"/>
  <c r="C22" i="110"/>
  <c r="F22" i="110"/>
  <c r="H22" i="110"/>
  <c r="J22" i="110"/>
  <c r="L22" i="110"/>
  <c r="N22" i="110"/>
  <c r="P22" i="110"/>
  <c r="Q22" i="110"/>
  <c r="R22" i="110"/>
  <c r="S22" i="110"/>
  <c r="U22" i="110"/>
  <c r="W22" i="110"/>
  <c r="Y22" i="110"/>
  <c r="AC22" i="110"/>
  <c r="AD22" i="110"/>
  <c r="AF22" i="110"/>
  <c r="AH22" i="110"/>
  <c r="AI22" i="110"/>
  <c r="AJ22" i="110"/>
  <c r="AK22" i="110"/>
  <c r="AW22" i="110"/>
  <c r="AX22" i="110"/>
  <c r="AY22" i="110"/>
  <c r="BB22" i="110"/>
  <c r="BC22" i="110"/>
  <c r="BD22" i="110"/>
  <c r="BE22" i="110"/>
  <c r="BH22" i="110"/>
  <c r="BI22" i="110"/>
  <c r="B23" i="110"/>
  <c r="C23" i="110"/>
  <c r="F23" i="110"/>
  <c r="H23" i="110"/>
  <c r="J23" i="110"/>
  <c r="L23" i="110"/>
  <c r="N23" i="110"/>
  <c r="P23" i="110"/>
  <c r="Q23" i="110"/>
  <c r="R23" i="110"/>
  <c r="S23" i="110"/>
  <c r="U23" i="110"/>
  <c r="W23" i="110"/>
  <c r="Y23" i="110"/>
  <c r="AC23" i="110"/>
  <c r="AD23" i="110"/>
  <c r="AF23" i="110"/>
  <c r="AH23" i="110"/>
  <c r="AI23" i="110"/>
  <c r="AJ23" i="110"/>
  <c r="AK23" i="110"/>
  <c r="AW23" i="110"/>
  <c r="AX23" i="110"/>
  <c r="AY23" i="110"/>
  <c r="BB23" i="110"/>
  <c r="BC23" i="110"/>
  <c r="BD23" i="110"/>
  <c r="BE23" i="110"/>
  <c r="BH23" i="110"/>
  <c r="BI23" i="110"/>
  <c r="B24" i="110"/>
  <c r="C24" i="110"/>
  <c r="F24" i="110"/>
  <c r="H24" i="110"/>
  <c r="J24" i="110"/>
  <c r="L24" i="110"/>
  <c r="N24" i="110"/>
  <c r="P24" i="110"/>
  <c r="Q24" i="110"/>
  <c r="R24" i="110"/>
  <c r="S24" i="110"/>
  <c r="U24" i="110"/>
  <c r="W24" i="110"/>
  <c r="Y24" i="110"/>
  <c r="AC24" i="110"/>
  <c r="AD24" i="110"/>
  <c r="AF24" i="110"/>
  <c r="AH24" i="110"/>
  <c r="AI24" i="110"/>
  <c r="AJ24" i="110"/>
  <c r="AK24" i="110"/>
  <c r="AW24" i="110"/>
  <c r="AX24" i="110"/>
  <c r="AY24" i="110"/>
  <c r="BB24" i="110"/>
  <c r="BC24" i="110"/>
  <c r="BD24" i="110"/>
  <c r="BE24" i="110"/>
  <c r="BH24" i="110"/>
  <c r="BI24" i="110"/>
  <c r="B25" i="110"/>
  <c r="C25" i="110"/>
  <c r="F25" i="110"/>
  <c r="H25" i="110"/>
  <c r="J25" i="110"/>
  <c r="L25" i="110"/>
  <c r="N25" i="110"/>
  <c r="P25" i="110"/>
  <c r="Q25" i="110"/>
  <c r="R25" i="110"/>
  <c r="S25" i="110"/>
  <c r="U25" i="110"/>
  <c r="W25" i="110"/>
  <c r="Y25" i="110"/>
  <c r="AC25" i="110"/>
  <c r="AD25" i="110"/>
  <c r="AF25" i="110"/>
  <c r="AH25" i="110"/>
  <c r="AI25" i="110"/>
  <c r="AJ25" i="110"/>
  <c r="AK25" i="110"/>
  <c r="AW25" i="110"/>
  <c r="AX25" i="110"/>
  <c r="AY25" i="110"/>
  <c r="BB25" i="110"/>
  <c r="BC25" i="110"/>
  <c r="BD25" i="110"/>
  <c r="BE25" i="110"/>
  <c r="BH25" i="110"/>
  <c r="BI25" i="110"/>
  <c r="B26" i="110"/>
  <c r="C26" i="110"/>
  <c r="F26" i="110"/>
  <c r="H26" i="110"/>
  <c r="J26" i="110"/>
  <c r="L26" i="110"/>
  <c r="N26" i="110"/>
  <c r="P26" i="110"/>
  <c r="Q26" i="110"/>
  <c r="R26" i="110"/>
  <c r="S26" i="110"/>
  <c r="U26" i="110"/>
  <c r="W26" i="110"/>
  <c r="Y26" i="110"/>
  <c r="AC26" i="110"/>
  <c r="AD26" i="110"/>
  <c r="AF26" i="110"/>
  <c r="AH26" i="110"/>
  <c r="AI26" i="110"/>
  <c r="AJ26" i="110"/>
  <c r="AK26" i="110"/>
  <c r="AW26" i="110"/>
  <c r="AX26" i="110"/>
  <c r="AY26" i="110"/>
  <c r="BB26" i="110"/>
  <c r="BC26" i="110"/>
  <c r="BD26" i="110"/>
  <c r="BE26" i="110"/>
  <c r="BH26" i="110"/>
  <c r="BI26" i="110"/>
  <c r="B27" i="110"/>
  <c r="C27" i="110"/>
  <c r="F27" i="110"/>
  <c r="H27" i="110"/>
  <c r="J27" i="110"/>
  <c r="L27" i="110"/>
  <c r="N27" i="110"/>
  <c r="P27" i="110"/>
  <c r="Q27" i="110"/>
  <c r="R27" i="110"/>
  <c r="S27" i="110"/>
  <c r="U27" i="110"/>
  <c r="W27" i="110"/>
  <c r="Y27" i="110"/>
  <c r="AC27" i="110"/>
  <c r="AD27" i="110"/>
  <c r="AF27" i="110"/>
  <c r="AH27" i="110"/>
  <c r="AI27" i="110"/>
  <c r="AJ27" i="110"/>
  <c r="AK27" i="110"/>
  <c r="AW27" i="110"/>
  <c r="AX27" i="110"/>
  <c r="AY27" i="110"/>
  <c r="BB27" i="110"/>
  <c r="BC27" i="110"/>
  <c r="BD27" i="110"/>
  <c r="BE27" i="110"/>
  <c r="BH27" i="110"/>
  <c r="BI27" i="110"/>
  <c r="B28" i="110"/>
  <c r="C28" i="110"/>
  <c r="F28" i="110"/>
  <c r="H28" i="110"/>
  <c r="J28" i="110"/>
  <c r="L28" i="110"/>
  <c r="N28" i="110"/>
  <c r="P28" i="110"/>
  <c r="Q28" i="110"/>
  <c r="R28" i="110"/>
  <c r="S28" i="110"/>
  <c r="U28" i="110"/>
  <c r="W28" i="110"/>
  <c r="Y28" i="110"/>
  <c r="AC28" i="110"/>
  <c r="AD28" i="110"/>
  <c r="AF28" i="110"/>
  <c r="AH28" i="110"/>
  <c r="AI28" i="110"/>
  <c r="AJ28" i="110"/>
  <c r="AK28" i="110"/>
  <c r="AW28" i="110"/>
  <c r="AX28" i="110"/>
  <c r="AY28" i="110"/>
  <c r="BB28" i="110"/>
  <c r="BC28" i="110"/>
  <c r="BD28" i="110"/>
  <c r="BE28" i="110"/>
  <c r="BH28" i="110"/>
  <c r="BI28" i="110"/>
  <c r="B29" i="110"/>
  <c r="C29" i="110"/>
  <c r="F29" i="110"/>
  <c r="H29" i="110"/>
  <c r="J29" i="110"/>
  <c r="L29" i="110"/>
  <c r="N29" i="110"/>
  <c r="P29" i="110"/>
  <c r="Q29" i="110"/>
  <c r="R29" i="110"/>
  <c r="S29" i="110"/>
  <c r="U29" i="110"/>
  <c r="W29" i="110"/>
  <c r="Y29" i="110"/>
  <c r="AC29" i="110"/>
  <c r="AD29" i="110"/>
  <c r="AF29" i="110"/>
  <c r="AH29" i="110"/>
  <c r="AI29" i="110"/>
  <c r="AJ29" i="110"/>
  <c r="AK29" i="110"/>
  <c r="AW29" i="110"/>
  <c r="AX29" i="110"/>
  <c r="AY29" i="110"/>
  <c r="BB29" i="110"/>
  <c r="BC29" i="110"/>
  <c r="BD29" i="110"/>
  <c r="BE29" i="110"/>
  <c r="BH29" i="110"/>
  <c r="BI29" i="110"/>
  <c r="B30" i="110"/>
  <c r="C30" i="110"/>
  <c r="F30" i="110"/>
  <c r="H30" i="110"/>
  <c r="J30" i="110"/>
  <c r="L30" i="110"/>
  <c r="N30" i="110"/>
  <c r="P30" i="110"/>
  <c r="Q30" i="110"/>
  <c r="R30" i="110"/>
  <c r="S30" i="110"/>
  <c r="U30" i="110"/>
  <c r="W30" i="110"/>
  <c r="Y30" i="110"/>
  <c r="AC30" i="110"/>
  <c r="AD30" i="110"/>
  <c r="AF30" i="110"/>
  <c r="AH30" i="110"/>
  <c r="AI30" i="110"/>
  <c r="AJ30" i="110"/>
  <c r="AK30" i="110"/>
  <c r="AW30" i="110"/>
  <c r="AX30" i="110"/>
  <c r="AY30" i="110"/>
  <c r="BB30" i="110"/>
  <c r="BC30" i="110"/>
  <c r="BD30" i="110"/>
  <c r="BE30" i="110"/>
  <c r="BH30" i="110"/>
  <c r="BI30" i="110"/>
  <c r="B31" i="110"/>
  <c r="C31" i="110"/>
  <c r="F31" i="110"/>
  <c r="H31" i="110"/>
  <c r="J31" i="110"/>
  <c r="L31" i="110"/>
  <c r="N31" i="110"/>
  <c r="P31" i="110"/>
  <c r="Q31" i="110"/>
  <c r="R31" i="110"/>
  <c r="S31" i="110"/>
  <c r="U31" i="110"/>
  <c r="W31" i="110"/>
  <c r="Y31" i="110"/>
  <c r="AC31" i="110"/>
  <c r="AD31" i="110"/>
  <c r="AF31" i="110"/>
  <c r="AH31" i="110"/>
  <c r="AI31" i="110"/>
  <c r="AJ31" i="110"/>
  <c r="AK31" i="110"/>
  <c r="AW31" i="110"/>
  <c r="AX31" i="110"/>
  <c r="AY31" i="110"/>
  <c r="BB31" i="110"/>
  <c r="BC31" i="110"/>
  <c r="BD31" i="110"/>
  <c r="BE31" i="110"/>
  <c r="BH31" i="110"/>
  <c r="BI31" i="110"/>
  <c r="B32" i="110"/>
  <c r="C32" i="110"/>
  <c r="F32" i="110"/>
  <c r="H32" i="110"/>
  <c r="J32" i="110"/>
  <c r="L32" i="110"/>
  <c r="N32" i="110"/>
  <c r="P32" i="110"/>
  <c r="Q32" i="110"/>
  <c r="R32" i="110"/>
  <c r="S32" i="110"/>
  <c r="U32" i="110"/>
  <c r="W32" i="110"/>
  <c r="Y32" i="110"/>
  <c r="AC32" i="110"/>
  <c r="AD32" i="110"/>
  <c r="AF32" i="110"/>
  <c r="AH32" i="110"/>
  <c r="AI32" i="110"/>
  <c r="AJ32" i="110"/>
  <c r="AK32" i="110"/>
  <c r="AW32" i="110"/>
  <c r="AX32" i="110"/>
  <c r="AY32" i="110"/>
  <c r="BB32" i="110"/>
  <c r="BC32" i="110"/>
  <c r="BD32" i="110"/>
  <c r="BE32" i="110"/>
  <c r="BH32" i="110"/>
  <c r="BI32" i="110"/>
  <c r="B33" i="110"/>
  <c r="C33" i="110"/>
  <c r="F33" i="110"/>
  <c r="H33" i="110"/>
  <c r="J33" i="110"/>
  <c r="L33" i="110"/>
  <c r="N33" i="110"/>
  <c r="P33" i="110"/>
  <c r="Q33" i="110"/>
  <c r="R33" i="110"/>
  <c r="S33" i="110"/>
  <c r="U33" i="110"/>
  <c r="W33" i="110"/>
  <c r="Y33" i="110"/>
  <c r="AC33" i="110"/>
  <c r="AD33" i="110"/>
  <c r="AF33" i="110"/>
  <c r="AH33" i="110"/>
  <c r="AI33" i="110"/>
  <c r="AJ33" i="110"/>
  <c r="AK33" i="110"/>
  <c r="AW33" i="110"/>
  <c r="AX33" i="110"/>
  <c r="AY33" i="110"/>
  <c r="BB33" i="110"/>
  <c r="BC33" i="110"/>
  <c r="BD33" i="110"/>
  <c r="BE33" i="110"/>
  <c r="BH33" i="110"/>
  <c r="BI33" i="110"/>
  <c r="B34" i="110"/>
  <c r="C34" i="110"/>
  <c r="F34" i="110"/>
  <c r="H34" i="110"/>
  <c r="J34" i="110"/>
  <c r="L34" i="110"/>
  <c r="N34" i="110"/>
  <c r="P34" i="110"/>
  <c r="Q34" i="110"/>
  <c r="R34" i="110"/>
  <c r="S34" i="110"/>
  <c r="U34" i="110"/>
  <c r="W34" i="110"/>
  <c r="Y34" i="110"/>
  <c r="AC34" i="110"/>
  <c r="AD34" i="110"/>
  <c r="AF34" i="110"/>
  <c r="AH34" i="110"/>
  <c r="AI34" i="110"/>
  <c r="AJ34" i="110"/>
  <c r="AK34" i="110"/>
  <c r="AW34" i="110"/>
  <c r="AX34" i="110"/>
  <c r="AY34" i="110"/>
  <c r="BB34" i="110"/>
  <c r="BC34" i="110"/>
  <c r="BD34" i="110"/>
  <c r="BE34" i="110"/>
  <c r="BH34" i="110"/>
  <c r="BI34" i="110"/>
  <c r="B35" i="110"/>
  <c r="C35" i="110"/>
  <c r="F35" i="110"/>
  <c r="H35" i="110"/>
  <c r="J35" i="110"/>
  <c r="L35" i="110"/>
  <c r="N35" i="110"/>
  <c r="P35" i="110"/>
  <c r="Q35" i="110"/>
  <c r="R35" i="110"/>
  <c r="S35" i="110"/>
  <c r="U35" i="110"/>
  <c r="W35" i="110"/>
  <c r="Y35" i="110"/>
  <c r="AC35" i="110"/>
  <c r="AD35" i="110"/>
  <c r="AF35" i="110"/>
  <c r="AH35" i="110"/>
  <c r="AI35" i="110"/>
  <c r="AJ35" i="110"/>
  <c r="AK35" i="110"/>
  <c r="AW35" i="110"/>
  <c r="AX35" i="110"/>
  <c r="AY35" i="110"/>
  <c r="BB35" i="110"/>
  <c r="BC35" i="110"/>
  <c r="BD35" i="110"/>
  <c r="BE35" i="110"/>
  <c r="BH35" i="110"/>
  <c r="BI35" i="110"/>
  <c r="B36" i="110"/>
  <c r="C36" i="110"/>
  <c r="F36" i="110"/>
  <c r="H36" i="110"/>
  <c r="J36" i="110"/>
  <c r="L36" i="110"/>
  <c r="N36" i="110"/>
  <c r="P36" i="110"/>
  <c r="Q36" i="110"/>
  <c r="R36" i="110"/>
  <c r="S36" i="110"/>
  <c r="U36" i="110"/>
  <c r="W36" i="110"/>
  <c r="Y36" i="110"/>
  <c r="AC36" i="110"/>
  <c r="AD36" i="110"/>
  <c r="AF36" i="110"/>
  <c r="AH36" i="110"/>
  <c r="AI36" i="110"/>
  <c r="AJ36" i="110"/>
  <c r="AK36" i="110"/>
  <c r="AW36" i="110"/>
  <c r="AX36" i="110"/>
  <c r="AY36" i="110"/>
  <c r="BB36" i="110"/>
  <c r="BC36" i="110"/>
  <c r="BD36" i="110"/>
  <c r="BE36" i="110"/>
  <c r="BH36" i="110"/>
  <c r="BI36" i="110"/>
  <c r="B37" i="110"/>
  <c r="C37" i="110"/>
  <c r="F37" i="110"/>
  <c r="H37" i="110"/>
  <c r="J37" i="110"/>
  <c r="L37" i="110"/>
  <c r="N37" i="110"/>
  <c r="P37" i="110"/>
  <c r="Q37" i="110"/>
  <c r="R37" i="110"/>
  <c r="S37" i="110"/>
  <c r="U37" i="110"/>
  <c r="W37" i="110"/>
  <c r="Y37" i="110"/>
  <c r="AC37" i="110"/>
  <c r="AD37" i="110"/>
  <c r="AF37" i="110"/>
  <c r="AH37" i="110"/>
  <c r="AI37" i="110"/>
  <c r="AJ37" i="110"/>
  <c r="AK37" i="110"/>
  <c r="AW37" i="110"/>
  <c r="AX37" i="110"/>
  <c r="AY37" i="110"/>
  <c r="BB37" i="110"/>
  <c r="BC37" i="110"/>
  <c r="BD37" i="110"/>
  <c r="BE37" i="110"/>
  <c r="BH37" i="110"/>
  <c r="BI37" i="110"/>
  <c r="B38" i="110"/>
  <c r="C38" i="110"/>
  <c r="F38" i="110"/>
  <c r="H38" i="110"/>
  <c r="J38" i="110"/>
  <c r="L38" i="110"/>
  <c r="N38" i="110"/>
  <c r="P38" i="110"/>
  <c r="Q38" i="110"/>
  <c r="R38" i="110"/>
  <c r="S38" i="110"/>
  <c r="U38" i="110"/>
  <c r="W38" i="110"/>
  <c r="Y38" i="110"/>
  <c r="AC38" i="110"/>
  <c r="AD38" i="110"/>
  <c r="AF38" i="110"/>
  <c r="AH38" i="110"/>
  <c r="AI38" i="110"/>
  <c r="AJ38" i="110"/>
  <c r="AK38" i="110"/>
  <c r="AW38" i="110"/>
  <c r="AX38" i="110"/>
  <c r="AY38" i="110"/>
  <c r="BB38" i="110"/>
  <c r="BC38" i="110"/>
  <c r="BD38" i="110"/>
  <c r="BE38" i="110"/>
  <c r="BH38" i="110"/>
  <c r="BI38" i="110"/>
  <c r="B39" i="110"/>
  <c r="C39" i="110"/>
  <c r="F39" i="110"/>
  <c r="H39" i="110"/>
  <c r="J39" i="110"/>
  <c r="L39" i="110"/>
  <c r="N39" i="110"/>
  <c r="P39" i="110"/>
  <c r="Q39" i="110"/>
  <c r="R39" i="110"/>
  <c r="S39" i="110"/>
  <c r="U39" i="110"/>
  <c r="W39" i="110"/>
  <c r="Y39" i="110"/>
  <c r="AC39" i="110"/>
  <c r="AD39" i="110"/>
  <c r="AF39" i="110"/>
  <c r="AH39" i="110"/>
  <c r="AI39" i="110"/>
  <c r="AJ39" i="110"/>
  <c r="AK39" i="110"/>
  <c r="AW39" i="110"/>
  <c r="AX39" i="110"/>
  <c r="AY39" i="110"/>
  <c r="BB39" i="110"/>
  <c r="BC39" i="110"/>
  <c r="BD39" i="110"/>
  <c r="BE39" i="110"/>
  <c r="BH39" i="110"/>
  <c r="BI39" i="110"/>
  <c r="B40" i="110"/>
  <c r="C40" i="110"/>
  <c r="F40" i="110"/>
  <c r="H40" i="110"/>
  <c r="J40" i="110"/>
  <c r="L40" i="110"/>
  <c r="N40" i="110"/>
  <c r="P40" i="110"/>
  <c r="Q40" i="110"/>
  <c r="R40" i="110"/>
  <c r="S40" i="110"/>
  <c r="U40" i="110"/>
  <c r="W40" i="110"/>
  <c r="Y40" i="110"/>
  <c r="AC40" i="110"/>
  <c r="AD40" i="110"/>
  <c r="AF40" i="110"/>
  <c r="AH40" i="110"/>
  <c r="AI40" i="110"/>
  <c r="AJ40" i="110"/>
  <c r="AK40" i="110"/>
  <c r="AW40" i="110"/>
  <c r="AX40" i="110"/>
  <c r="AY40" i="110"/>
  <c r="BB40" i="110"/>
  <c r="BC40" i="110"/>
  <c r="BD40" i="110"/>
  <c r="BE40" i="110"/>
  <c r="BH40" i="110"/>
  <c r="BI40" i="110"/>
  <c r="B41" i="110"/>
  <c r="C41" i="110"/>
  <c r="F41" i="110"/>
  <c r="H41" i="110"/>
  <c r="J41" i="110"/>
  <c r="L41" i="110"/>
  <c r="N41" i="110"/>
  <c r="P41" i="110"/>
  <c r="Q41" i="110"/>
  <c r="R41" i="110"/>
  <c r="S41" i="110"/>
  <c r="U41" i="110"/>
  <c r="W41" i="110"/>
  <c r="Y41" i="110"/>
  <c r="AC41" i="110"/>
  <c r="AD41" i="110"/>
  <c r="AF41" i="110"/>
  <c r="AH41" i="110"/>
  <c r="AI41" i="110"/>
  <c r="AJ41" i="110"/>
  <c r="AK41" i="110"/>
  <c r="AW41" i="110"/>
  <c r="AX41" i="110"/>
  <c r="AY41" i="110"/>
  <c r="BB41" i="110"/>
  <c r="BC41" i="110"/>
  <c r="BD41" i="110"/>
  <c r="BE41" i="110"/>
  <c r="BH41" i="110"/>
  <c r="BI41" i="110"/>
  <c r="B42" i="110"/>
  <c r="C42" i="110"/>
  <c r="F42" i="110"/>
  <c r="H42" i="110"/>
  <c r="J42" i="110"/>
  <c r="L42" i="110"/>
  <c r="N42" i="110"/>
  <c r="P42" i="110"/>
  <c r="Q42" i="110"/>
  <c r="R42" i="110"/>
  <c r="S42" i="110"/>
  <c r="U42" i="110"/>
  <c r="W42" i="110"/>
  <c r="Y42" i="110"/>
  <c r="AC42" i="110"/>
  <c r="AD42" i="110"/>
  <c r="AF42" i="110"/>
  <c r="AH42" i="110"/>
  <c r="AI42" i="110"/>
  <c r="AJ42" i="110"/>
  <c r="AK42" i="110"/>
  <c r="AW42" i="110"/>
  <c r="AX42" i="110"/>
  <c r="AY42" i="110"/>
  <c r="BB42" i="110"/>
  <c r="BC42" i="110"/>
  <c r="BD42" i="110"/>
  <c r="BE42" i="110"/>
  <c r="BH42" i="110"/>
  <c r="BI42" i="110"/>
  <c r="B43" i="110"/>
  <c r="C43" i="110"/>
  <c r="F43" i="110"/>
  <c r="H43" i="110"/>
  <c r="J43" i="110"/>
  <c r="L43" i="110"/>
  <c r="N43" i="110"/>
  <c r="P43" i="110"/>
  <c r="Q43" i="110"/>
  <c r="R43" i="110"/>
  <c r="S43" i="110"/>
  <c r="U43" i="110"/>
  <c r="W43" i="110"/>
  <c r="Y43" i="110"/>
  <c r="AC43" i="110"/>
  <c r="AD43" i="110"/>
  <c r="AF43" i="110"/>
  <c r="AH43" i="110"/>
  <c r="AI43" i="110"/>
  <c r="AJ43" i="110"/>
  <c r="AK43" i="110"/>
  <c r="AW43" i="110"/>
  <c r="AX43" i="110"/>
  <c r="AY43" i="110"/>
  <c r="BB43" i="110"/>
  <c r="BC43" i="110"/>
  <c r="BD43" i="110"/>
  <c r="BE43" i="110"/>
  <c r="BH43" i="110"/>
  <c r="BI43" i="110"/>
  <c r="B44" i="110"/>
  <c r="C44" i="110"/>
  <c r="F44" i="110"/>
  <c r="H44" i="110"/>
  <c r="J44" i="110"/>
  <c r="L44" i="110"/>
  <c r="N44" i="110"/>
  <c r="P44" i="110"/>
  <c r="Q44" i="110"/>
  <c r="R44" i="110"/>
  <c r="S44" i="110"/>
  <c r="U44" i="110"/>
  <c r="W44" i="110"/>
  <c r="Y44" i="110"/>
  <c r="AC44" i="110"/>
  <c r="AD44" i="110"/>
  <c r="AF44" i="110"/>
  <c r="AH44" i="110"/>
  <c r="AI44" i="110"/>
  <c r="AJ44" i="110"/>
  <c r="AK44" i="110"/>
  <c r="AW44" i="110"/>
  <c r="AX44" i="110"/>
  <c r="AY44" i="110"/>
  <c r="BB44" i="110"/>
  <c r="BC44" i="110"/>
  <c r="BD44" i="110"/>
  <c r="BE44" i="110"/>
  <c r="BH44" i="110"/>
  <c r="BI44" i="110"/>
  <c r="B45" i="110"/>
  <c r="C45" i="110"/>
  <c r="F45" i="110"/>
  <c r="H45" i="110"/>
  <c r="J45" i="110"/>
  <c r="L45" i="110"/>
  <c r="N45" i="110"/>
  <c r="P45" i="110"/>
  <c r="Q45" i="110"/>
  <c r="R45" i="110"/>
  <c r="S45" i="110"/>
  <c r="U45" i="110"/>
  <c r="W45" i="110"/>
  <c r="Y45" i="110"/>
  <c r="AC45" i="110"/>
  <c r="AD45" i="110"/>
  <c r="AF45" i="110"/>
  <c r="AH45" i="110"/>
  <c r="AI45" i="110"/>
  <c r="AJ45" i="110"/>
  <c r="AK45" i="110"/>
  <c r="AW45" i="110"/>
  <c r="AX45" i="110"/>
  <c r="AY45" i="110"/>
  <c r="BB45" i="110"/>
  <c r="BC45" i="110"/>
  <c r="BD45" i="110"/>
  <c r="BE45" i="110"/>
  <c r="BH45" i="110"/>
  <c r="BI45" i="110"/>
  <c r="B46" i="110"/>
  <c r="C46" i="110"/>
  <c r="F46" i="110"/>
  <c r="H46" i="110"/>
  <c r="J46" i="110"/>
  <c r="L46" i="110"/>
  <c r="N46" i="110"/>
  <c r="P46" i="110"/>
  <c r="Q46" i="110"/>
  <c r="R46" i="110"/>
  <c r="S46" i="110"/>
  <c r="U46" i="110"/>
  <c r="W46" i="110"/>
  <c r="Y46" i="110"/>
  <c r="AC46" i="110"/>
  <c r="AD46" i="110"/>
  <c r="AF46" i="110"/>
  <c r="AH46" i="110"/>
  <c r="AI46" i="110"/>
  <c r="AJ46" i="110"/>
  <c r="AK46" i="110"/>
  <c r="AW46" i="110"/>
  <c r="AX46" i="110"/>
  <c r="AY46" i="110"/>
  <c r="BB46" i="110"/>
  <c r="BC46" i="110"/>
  <c r="BD46" i="110"/>
  <c r="BE46" i="110"/>
  <c r="BH46" i="110"/>
  <c r="BI46" i="110"/>
  <c r="B47" i="110"/>
  <c r="C47" i="110"/>
  <c r="F47" i="110"/>
  <c r="H47" i="110"/>
  <c r="J47" i="110"/>
  <c r="L47" i="110"/>
  <c r="N47" i="110"/>
  <c r="P47" i="110"/>
  <c r="Q47" i="110"/>
  <c r="R47" i="110"/>
  <c r="S47" i="110"/>
  <c r="U47" i="110"/>
  <c r="W47" i="110"/>
  <c r="Y47" i="110"/>
  <c r="AC47" i="110"/>
  <c r="AD47" i="110"/>
  <c r="AF47" i="110"/>
  <c r="AH47" i="110"/>
  <c r="AI47" i="110"/>
  <c r="AJ47" i="110"/>
  <c r="AK47" i="110"/>
  <c r="AW47" i="110"/>
  <c r="AX47" i="110"/>
  <c r="AY47" i="110"/>
  <c r="BB47" i="110"/>
  <c r="BC47" i="110"/>
  <c r="BD47" i="110"/>
  <c r="BE47" i="110"/>
  <c r="BH47" i="110"/>
  <c r="BI47" i="110"/>
  <c r="B48" i="110"/>
  <c r="C48" i="110"/>
  <c r="F48" i="110"/>
  <c r="H48" i="110"/>
  <c r="J48" i="110"/>
  <c r="L48" i="110"/>
  <c r="N48" i="110"/>
  <c r="P48" i="110"/>
  <c r="Q48" i="110"/>
  <c r="R48" i="110"/>
  <c r="S48" i="110"/>
  <c r="U48" i="110"/>
  <c r="W48" i="110"/>
  <c r="Y48" i="110"/>
  <c r="AC48" i="110"/>
  <c r="AD48" i="110"/>
  <c r="AF48" i="110"/>
  <c r="AH48" i="110"/>
  <c r="AI48" i="110"/>
  <c r="AJ48" i="110"/>
  <c r="AK48" i="110"/>
  <c r="AW48" i="110"/>
  <c r="AX48" i="110"/>
  <c r="AY48" i="110"/>
  <c r="BB48" i="110"/>
  <c r="BC48" i="110"/>
  <c r="BD48" i="110"/>
  <c r="BE48" i="110"/>
  <c r="BH48" i="110"/>
  <c r="BI48" i="110"/>
  <c r="B49" i="110"/>
  <c r="C49" i="110"/>
  <c r="F49" i="110"/>
  <c r="H49" i="110"/>
  <c r="J49" i="110"/>
  <c r="L49" i="110"/>
  <c r="N49" i="110"/>
  <c r="P49" i="110"/>
  <c r="Q49" i="110"/>
  <c r="R49" i="110"/>
  <c r="S49" i="110"/>
  <c r="U49" i="110"/>
  <c r="W49" i="110"/>
  <c r="Y49" i="110"/>
  <c r="AC49" i="110"/>
  <c r="AD49" i="110"/>
  <c r="AF49" i="110"/>
  <c r="AH49" i="110"/>
  <c r="AI49" i="110"/>
  <c r="AJ49" i="110"/>
  <c r="AK49" i="110"/>
  <c r="AW49" i="110"/>
  <c r="AX49" i="110"/>
  <c r="AY49" i="110"/>
  <c r="BB49" i="110"/>
  <c r="BC49" i="110"/>
  <c r="BD49" i="110"/>
  <c r="BE49" i="110"/>
  <c r="BH49" i="110"/>
  <c r="BI49" i="110"/>
  <c r="B50" i="110"/>
  <c r="C50" i="110"/>
  <c r="F50" i="110"/>
  <c r="H50" i="110"/>
  <c r="J50" i="110"/>
  <c r="L50" i="110"/>
  <c r="N50" i="110"/>
  <c r="P50" i="110"/>
  <c r="Q50" i="110"/>
  <c r="R50" i="110"/>
  <c r="S50" i="110"/>
  <c r="U50" i="110"/>
  <c r="W50" i="110"/>
  <c r="Y50" i="110"/>
  <c r="AC50" i="110"/>
  <c r="AD50" i="110"/>
  <c r="AF50" i="110"/>
  <c r="AH50" i="110"/>
  <c r="AI50" i="110"/>
  <c r="AJ50" i="110"/>
  <c r="AK50" i="110"/>
  <c r="AW50" i="110"/>
  <c r="AX50" i="110"/>
  <c r="AY50" i="110"/>
  <c r="BB50" i="110"/>
  <c r="BC50" i="110"/>
  <c r="BD50" i="110"/>
  <c r="BE50" i="110"/>
  <c r="BH50" i="110"/>
  <c r="BI50" i="110"/>
  <c r="C51" i="110"/>
  <c r="D51" i="110"/>
  <c r="E51" i="110"/>
  <c r="F51" i="110"/>
  <c r="G51" i="110"/>
  <c r="H51" i="110"/>
  <c r="I51" i="110"/>
  <c r="J51" i="110"/>
  <c r="K51" i="110"/>
  <c r="L51" i="110"/>
  <c r="M51" i="110"/>
  <c r="N51" i="110"/>
  <c r="O51" i="110"/>
  <c r="P51" i="110"/>
  <c r="Q51" i="110"/>
  <c r="R51" i="110"/>
  <c r="S51" i="110"/>
  <c r="T51" i="110"/>
  <c r="U51" i="110"/>
  <c r="V51" i="110"/>
  <c r="W51" i="110"/>
  <c r="X51" i="110"/>
  <c r="Y51" i="110"/>
  <c r="AD51" i="110"/>
  <c r="AE51" i="110"/>
  <c r="AF51" i="110"/>
  <c r="AG51" i="110"/>
  <c r="AH51" i="110"/>
  <c r="AI51" i="110"/>
  <c r="AJ51" i="110"/>
  <c r="AK51" i="110"/>
  <c r="AX51" i="110"/>
  <c r="AY51" i="110"/>
  <c r="AZ51" i="110"/>
  <c r="BA51" i="110"/>
  <c r="BB51" i="110"/>
  <c r="BC51" i="110"/>
  <c r="BD51" i="110"/>
  <c r="BE51" i="110"/>
  <c r="BF51" i="110"/>
  <c r="BG51" i="110"/>
  <c r="BH51" i="110"/>
  <c r="BI51" i="110"/>
  <c r="AN10" i="109"/>
  <c r="AO10" i="109"/>
  <c r="AQ10" i="109"/>
  <c r="AS10" i="109"/>
  <c r="AT10" i="109"/>
  <c r="B11" i="109"/>
  <c r="C11" i="109"/>
  <c r="F11" i="109"/>
  <c r="H11" i="109"/>
  <c r="J11" i="109"/>
  <c r="L11" i="109"/>
  <c r="N11" i="109"/>
  <c r="P11" i="109"/>
  <c r="Q11" i="109"/>
  <c r="R11" i="109"/>
  <c r="S11" i="109"/>
  <c r="U11" i="109"/>
  <c r="W11" i="109"/>
  <c r="Y11" i="109"/>
  <c r="AC11" i="109"/>
  <c r="AD11" i="109"/>
  <c r="AF11" i="109"/>
  <c r="AH11" i="109"/>
  <c r="AI11" i="109"/>
  <c r="AJ11" i="109"/>
  <c r="AK11" i="109"/>
  <c r="AN11" i="109"/>
  <c r="AO11" i="109"/>
  <c r="AQ11" i="109"/>
  <c r="AS11" i="109"/>
  <c r="AT11" i="109"/>
  <c r="AW11" i="109"/>
  <c r="AX11" i="109"/>
  <c r="AY11" i="109"/>
  <c r="BB11" i="109"/>
  <c r="BC11" i="109"/>
  <c r="BD11" i="109"/>
  <c r="BE11" i="109"/>
  <c r="BH11" i="109"/>
  <c r="BI11" i="109"/>
  <c r="B12" i="109"/>
  <c r="C12" i="109"/>
  <c r="F12" i="109"/>
  <c r="H12" i="109"/>
  <c r="J12" i="109"/>
  <c r="L12" i="109"/>
  <c r="N12" i="109"/>
  <c r="P12" i="109"/>
  <c r="Q12" i="109"/>
  <c r="R12" i="109"/>
  <c r="S12" i="109"/>
  <c r="U12" i="109"/>
  <c r="W12" i="109"/>
  <c r="Y12" i="109"/>
  <c r="AC12" i="109"/>
  <c r="AD12" i="109"/>
  <c r="AF12" i="109"/>
  <c r="AH12" i="109"/>
  <c r="AI12" i="109"/>
  <c r="AJ12" i="109"/>
  <c r="AK12" i="109"/>
  <c r="AN12" i="109"/>
  <c r="AO12" i="109"/>
  <c r="AQ12" i="109"/>
  <c r="AS12" i="109"/>
  <c r="AT12" i="109"/>
  <c r="AW12" i="109"/>
  <c r="AX12" i="109"/>
  <c r="AY12" i="109"/>
  <c r="BB12" i="109"/>
  <c r="BC12" i="109"/>
  <c r="BD12" i="109"/>
  <c r="BE12" i="109"/>
  <c r="BH12" i="109"/>
  <c r="BI12" i="109"/>
  <c r="B13" i="109"/>
  <c r="C13" i="109"/>
  <c r="F13" i="109"/>
  <c r="H13" i="109"/>
  <c r="J13" i="109"/>
  <c r="L13" i="109"/>
  <c r="N13" i="109"/>
  <c r="P13" i="109"/>
  <c r="Q13" i="109"/>
  <c r="R13" i="109"/>
  <c r="S13" i="109"/>
  <c r="U13" i="109"/>
  <c r="W13" i="109"/>
  <c r="Y13" i="109"/>
  <c r="AC13" i="109"/>
  <c r="AD13" i="109"/>
  <c r="AF13" i="109"/>
  <c r="AH13" i="109"/>
  <c r="AI13" i="109"/>
  <c r="AJ13" i="109"/>
  <c r="AK13" i="109"/>
  <c r="AO13" i="109"/>
  <c r="AP13" i="109"/>
  <c r="AQ13" i="109"/>
  <c r="AR13" i="109"/>
  <c r="AS13" i="109"/>
  <c r="AT13" i="109"/>
  <c r="AW13" i="109"/>
  <c r="AX13" i="109"/>
  <c r="AY13" i="109"/>
  <c r="BB13" i="109"/>
  <c r="BC13" i="109"/>
  <c r="BD13" i="109"/>
  <c r="BE13" i="109"/>
  <c r="BH13" i="109"/>
  <c r="BI13" i="109"/>
  <c r="B14" i="109"/>
  <c r="C14" i="109"/>
  <c r="F14" i="109"/>
  <c r="H14" i="109"/>
  <c r="J14" i="109"/>
  <c r="L14" i="109"/>
  <c r="N14" i="109"/>
  <c r="P14" i="109"/>
  <c r="Q14" i="109"/>
  <c r="R14" i="109"/>
  <c r="S14" i="109"/>
  <c r="U14" i="109"/>
  <c r="W14" i="109"/>
  <c r="Y14" i="109"/>
  <c r="AC14" i="109"/>
  <c r="AD14" i="109"/>
  <c r="AF14" i="109"/>
  <c r="AH14" i="109"/>
  <c r="AI14" i="109"/>
  <c r="AJ14" i="109"/>
  <c r="AK14" i="109"/>
  <c r="AT14" i="109"/>
  <c r="AW14" i="109"/>
  <c r="AX14" i="109"/>
  <c r="AY14" i="109"/>
  <c r="BB14" i="109"/>
  <c r="BC14" i="109"/>
  <c r="BD14" i="109"/>
  <c r="BE14" i="109"/>
  <c r="BH14" i="109"/>
  <c r="BI14" i="109"/>
  <c r="B15" i="109"/>
  <c r="C15" i="109"/>
  <c r="F15" i="109"/>
  <c r="H15" i="109"/>
  <c r="J15" i="109"/>
  <c r="L15" i="109"/>
  <c r="N15" i="109"/>
  <c r="P15" i="109"/>
  <c r="Q15" i="109"/>
  <c r="R15" i="109"/>
  <c r="S15" i="109"/>
  <c r="U15" i="109"/>
  <c r="W15" i="109"/>
  <c r="Y15" i="109"/>
  <c r="AC15" i="109"/>
  <c r="AD15" i="109"/>
  <c r="AF15" i="109"/>
  <c r="AH15" i="109"/>
  <c r="AI15" i="109"/>
  <c r="AJ15" i="109"/>
  <c r="AK15" i="109"/>
  <c r="AW15" i="109"/>
  <c r="AX15" i="109"/>
  <c r="AY15" i="109"/>
  <c r="BB15" i="109"/>
  <c r="BC15" i="109"/>
  <c r="BD15" i="109"/>
  <c r="BE15" i="109"/>
  <c r="BH15" i="109"/>
  <c r="BI15" i="109"/>
  <c r="B16" i="109"/>
  <c r="C16" i="109"/>
  <c r="F16" i="109"/>
  <c r="H16" i="109"/>
  <c r="J16" i="109"/>
  <c r="L16" i="109"/>
  <c r="N16" i="109"/>
  <c r="P16" i="109"/>
  <c r="Q16" i="109"/>
  <c r="R16" i="109"/>
  <c r="S16" i="109"/>
  <c r="U16" i="109"/>
  <c r="W16" i="109"/>
  <c r="Y16" i="109"/>
  <c r="AC16" i="109"/>
  <c r="AD16" i="109"/>
  <c r="AF16" i="109"/>
  <c r="AH16" i="109"/>
  <c r="AI16" i="109"/>
  <c r="AJ16" i="109"/>
  <c r="AK16" i="109"/>
  <c r="AW16" i="109"/>
  <c r="AX16" i="109"/>
  <c r="AY16" i="109"/>
  <c r="BB16" i="109"/>
  <c r="BC16" i="109"/>
  <c r="BD16" i="109"/>
  <c r="BE16" i="109"/>
  <c r="BH16" i="109"/>
  <c r="BI16" i="109"/>
  <c r="B17" i="109"/>
  <c r="C17" i="109"/>
  <c r="F17" i="109"/>
  <c r="H17" i="109"/>
  <c r="J17" i="109"/>
  <c r="L17" i="109"/>
  <c r="N17" i="109"/>
  <c r="P17" i="109"/>
  <c r="Q17" i="109"/>
  <c r="R17" i="109"/>
  <c r="S17" i="109"/>
  <c r="U17" i="109"/>
  <c r="W17" i="109"/>
  <c r="Y17" i="109"/>
  <c r="AC17" i="109"/>
  <c r="AD17" i="109"/>
  <c r="AF17" i="109"/>
  <c r="AH17" i="109"/>
  <c r="AI17" i="109"/>
  <c r="AJ17" i="109"/>
  <c r="AK17" i="109"/>
  <c r="AW17" i="109"/>
  <c r="AX17" i="109"/>
  <c r="AY17" i="109"/>
  <c r="BB17" i="109"/>
  <c r="BC17" i="109"/>
  <c r="BD17" i="109"/>
  <c r="BE17" i="109"/>
  <c r="BH17" i="109"/>
  <c r="BI17" i="109"/>
  <c r="B18" i="109"/>
  <c r="C18" i="109"/>
  <c r="F18" i="109"/>
  <c r="H18" i="109"/>
  <c r="J18" i="109"/>
  <c r="L18" i="109"/>
  <c r="N18" i="109"/>
  <c r="P18" i="109"/>
  <c r="Q18" i="109"/>
  <c r="R18" i="109"/>
  <c r="S18" i="109"/>
  <c r="U18" i="109"/>
  <c r="W18" i="109"/>
  <c r="Y18" i="109"/>
  <c r="AC18" i="109"/>
  <c r="AD18" i="109"/>
  <c r="AF18" i="109"/>
  <c r="AH18" i="109"/>
  <c r="AI18" i="109"/>
  <c r="AJ18" i="109"/>
  <c r="AK18" i="109"/>
  <c r="AW18" i="109"/>
  <c r="AX18" i="109"/>
  <c r="AY18" i="109"/>
  <c r="BB18" i="109"/>
  <c r="BC18" i="109"/>
  <c r="BD18" i="109"/>
  <c r="BE18" i="109"/>
  <c r="BH18" i="109"/>
  <c r="BI18" i="109"/>
  <c r="B19" i="109"/>
  <c r="C19" i="109"/>
  <c r="F19" i="109"/>
  <c r="H19" i="109"/>
  <c r="J19" i="109"/>
  <c r="L19" i="109"/>
  <c r="N19" i="109"/>
  <c r="P19" i="109"/>
  <c r="Q19" i="109"/>
  <c r="R19" i="109"/>
  <c r="S19" i="109"/>
  <c r="U19" i="109"/>
  <c r="W19" i="109"/>
  <c r="Y19" i="109"/>
  <c r="AC19" i="109"/>
  <c r="AD19" i="109"/>
  <c r="AF19" i="109"/>
  <c r="AH19" i="109"/>
  <c r="AI19" i="109"/>
  <c r="AJ19" i="109"/>
  <c r="AK19" i="109"/>
  <c r="AW19" i="109"/>
  <c r="AX19" i="109"/>
  <c r="AY19" i="109"/>
  <c r="BB19" i="109"/>
  <c r="BC19" i="109"/>
  <c r="BD19" i="109"/>
  <c r="BE19" i="109"/>
  <c r="BH19" i="109"/>
  <c r="BI19" i="109"/>
  <c r="B20" i="109"/>
  <c r="C20" i="109"/>
  <c r="F20" i="109"/>
  <c r="H20" i="109"/>
  <c r="J20" i="109"/>
  <c r="L20" i="109"/>
  <c r="N20" i="109"/>
  <c r="P20" i="109"/>
  <c r="Q20" i="109"/>
  <c r="R20" i="109"/>
  <c r="S20" i="109"/>
  <c r="U20" i="109"/>
  <c r="W20" i="109"/>
  <c r="Y20" i="109"/>
  <c r="AC20" i="109"/>
  <c r="AD20" i="109"/>
  <c r="AF20" i="109"/>
  <c r="AH20" i="109"/>
  <c r="AI20" i="109"/>
  <c r="AJ20" i="109"/>
  <c r="AK20" i="109"/>
  <c r="AW20" i="109"/>
  <c r="AX20" i="109"/>
  <c r="AY20" i="109"/>
  <c r="BB20" i="109"/>
  <c r="BC20" i="109"/>
  <c r="BD20" i="109"/>
  <c r="BE20" i="109"/>
  <c r="BH20" i="109"/>
  <c r="BI20" i="109"/>
  <c r="B21" i="109"/>
  <c r="C21" i="109"/>
  <c r="F21" i="109"/>
  <c r="H21" i="109"/>
  <c r="J21" i="109"/>
  <c r="L21" i="109"/>
  <c r="N21" i="109"/>
  <c r="P21" i="109"/>
  <c r="Q21" i="109"/>
  <c r="R21" i="109"/>
  <c r="S21" i="109"/>
  <c r="U21" i="109"/>
  <c r="W21" i="109"/>
  <c r="Y21" i="109"/>
  <c r="AC21" i="109"/>
  <c r="AD21" i="109"/>
  <c r="AF21" i="109"/>
  <c r="AH21" i="109"/>
  <c r="AI21" i="109"/>
  <c r="AJ21" i="109"/>
  <c r="AK21" i="109"/>
  <c r="AW21" i="109"/>
  <c r="AX21" i="109"/>
  <c r="AY21" i="109"/>
  <c r="BB21" i="109"/>
  <c r="BC21" i="109"/>
  <c r="BD21" i="109"/>
  <c r="BE21" i="109"/>
  <c r="BH21" i="109"/>
  <c r="BI21" i="109"/>
  <c r="B22" i="109"/>
  <c r="C22" i="109"/>
  <c r="F22" i="109"/>
  <c r="H22" i="109"/>
  <c r="J22" i="109"/>
  <c r="L22" i="109"/>
  <c r="N22" i="109"/>
  <c r="P22" i="109"/>
  <c r="Q22" i="109"/>
  <c r="R22" i="109"/>
  <c r="S22" i="109"/>
  <c r="U22" i="109"/>
  <c r="W22" i="109"/>
  <c r="Y22" i="109"/>
  <c r="AC22" i="109"/>
  <c r="AD22" i="109"/>
  <c r="AF22" i="109"/>
  <c r="AH22" i="109"/>
  <c r="AI22" i="109"/>
  <c r="AJ22" i="109"/>
  <c r="AK22" i="109"/>
  <c r="AW22" i="109"/>
  <c r="AX22" i="109"/>
  <c r="AY22" i="109"/>
  <c r="BB22" i="109"/>
  <c r="BC22" i="109"/>
  <c r="BD22" i="109"/>
  <c r="BE22" i="109"/>
  <c r="BH22" i="109"/>
  <c r="BI22" i="109"/>
  <c r="B23" i="109"/>
  <c r="C23" i="109"/>
  <c r="F23" i="109"/>
  <c r="H23" i="109"/>
  <c r="J23" i="109"/>
  <c r="L23" i="109"/>
  <c r="N23" i="109"/>
  <c r="P23" i="109"/>
  <c r="Q23" i="109"/>
  <c r="R23" i="109"/>
  <c r="S23" i="109"/>
  <c r="U23" i="109"/>
  <c r="W23" i="109"/>
  <c r="Y23" i="109"/>
  <c r="AC23" i="109"/>
  <c r="AD23" i="109"/>
  <c r="AF23" i="109"/>
  <c r="AH23" i="109"/>
  <c r="AI23" i="109"/>
  <c r="AJ23" i="109"/>
  <c r="AK23" i="109"/>
  <c r="AW23" i="109"/>
  <c r="AX23" i="109"/>
  <c r="AY23" i="109"/>
  <c r="BB23" i="109"/>
  <c r="BC23" i="109"/>
  <c r="BD23" i="109"/>
  <c r="BE23" i="109"/>
  <c r="BH23" i="109"/>
  <c r="BI23" i="109"/>
  <c r="B24" i="109"/>
  <c r="C24" i="109"/>
  <c r="F24" i="109"/>
  <c r="H24" i="109"/>
  <c r="J24" i="109"/>
  <c r="L24" i="109"/>
  <c r="N24" i="109"/>
  <c r="P24" i="109"/>
  <c r="Q24" i="109"/>
  <c r="R24" i="109"/>
  <c r="S24" i="109"/>
  <c r="U24" i="109"/>
  <c r="W24" i="109"/>
  <c r="Y24" i="109"/>
  <c r="AC24" i="109"/>
  <c r="AD24" i="109"/>
  <c r="AF24" i="109"/>
  <c r="AH24" i="109"/>
  <c r="AI24" i="109"/>
  <c r="AJ24" i="109"/>
  <c r="AK24" i="109"/>
  <c r="AW24" i="109"/>
  <c r="AX24" i="109"/>
  <c r="AY24" i="109"/>
  <c r="BB24" i="109"/>
  <c r="BC24" i="109"/>
  <c r="BD24" i="109"/>
  <c r="BE24" i="109"/>
  <c r="BH24" i="109"/>
  <c r="BI24" i="109"/>
  <c r="B25" i="109"/>
  <c r="C25" i="109"/>
  <c r="F25" i="109"/>
  <c r="H25" i="109"/>
  <c r="J25" i="109"/>
  <c r="L25" i="109"/>
  <c r="N25" i="109"/>
  <c r="P25" i="109"/>
  <c r="Q25" i="109"/>
  <c r="R25" i="109"/>
  <c r="S25" i="109"/>
  <c r="U25" i="109"/>
  <c r="W25" i="109"/>
  <c r="Y25" i="109"/>
  <c r="AC25" i="109"/>
  <c r="AD25" i="109"/>
  <c r="AF25" i="109"/>
  <c r="AH25" i="109"/>
  <c r="AI25" i="109"/>
  <c r="AJ25" i="109"/>
  <c r="AK25" i="109"/>
  <c r="AW25" i="109"/>
  <c r="AX25" i="109"/>
  <c r="AY25" i="109"/>
  <c r="BB25" i="109"/>
  <c r="BC25" i="109"/>
  <c r="BD25" i="109"/>
  <c r="BE25" i="109"/>
  <c r="BH25" i="109"/>
  <c r="BI25" i="109"/>
  <c r="B26" i="109"/>
  <c r="C26" i="109"/>
  <c r="F26" i="109"/>
  <c r="H26" i="109"/>
  <c r="J26" i="109"/>
  <c r="L26" i="109"/>
  <c r="N26" i="109"/>
  <c r="P26" i="109"/>
  <c r="Q26" i="109"/>
  <c r="R26" i="109"/>
  <c r="S26" i="109"/>
  <c r="U26" i="109"/>
  <c r="W26" i="109"/>
  <c r="Y26" i="109"/>
  <c r="AC26" i="109"/>
  <c r="AD26" i="109"/>
  <c r="AF26" i="109"/>
  <c r="AH26" i="109"/>
  <c r="AI26" i="109"/>
  <c r="AJ26" i="109"/>
  <c r="AK26" i="109"/>
  <c r="AW26" i="109"/>
  <c r="AX26" i="109"/>
  <c r="AY26" i="109"/>
  <c r="BB26" i="109"/>
  <c r="BC26" i="109"/>
  <c r="BD26" i="109"/>
  <c r="BE26" i="109"/>
  <c r="BH26" i="109"/>
  <c r="BI26" i="109"/>
  <c r="B27" i="109"/>
  <c r="C27" i="109"/>
  <c r="F27" i="109"/>
  <c r="H27" i="109"/>
  <c r="J27" i="109"/>
  <c r="L27" i="109"/>
  <c r="N27" i="109"/>
  <c r="P27" i="109"/>
  <c r="Q27" i="109"/>
  <c r="R27" i="109"/>
  <c r="S27" i="109"/>
  <c r="U27" i="109"/>
  <c r="W27" i="109"/>
  <c r="Y27" i="109"/>
  <c r="AC27" i="109"/>
  <c r="AD27" i="109"/>
  <c r="AF27" i="109"/>
  <c r="AH27" i="109"/>
  <c r="AI27" i="109"/>
  <c r="AJ27" i="109"/>
  <c r="AK27" i="109"/>
  <c r="AW27" i="109"/>
  <c r="AX27" i="109"/>
  <c r="AY27" i="109"/>
  <c r="BB27" i="109"/>
  <c r="BC27" i="109"/>
  <c r="BD27" i="109"/>
  <c r="BE27" i="109"/>
  <c r="BH27" i="109"/>
  <c r="BI27" i="109"/>
  <c r="B28" i="109"/>
  <c r="C28" i="109"/>
  <c r="F28" i="109"/>
  <c r="H28" i="109"/>
  <c r="J28" i="109"/>
  <c r="L28" i="109"/>
  <c r="N28" i="109"/>
  <c r="P28" i="109"/>
  <c r="Q28" i="109"/>
  <c r="R28" i="109"/>
  <c r="S28" i="109"/>
  <c r="U28" i="109"/>
  <c r="W28" i="109"/>
  <c r="Y28" i="109"/>
  <c r="AC28" i="109"/>
  <c r="AD28" i="109"/>
  <c r="AF28" i="109"/>
  <c r="AH28" i="109"/>
  <c r="AI28" i="109"/>
  <c r="AJ28" i="109"/>
  <c r="AK28" i="109"/>
  <c r="AW28" i="109"/>
  <c r="AX28" i="109"/>
  <c r="AY28" i="109"/>
  <c r="BB28" i="109"/>
  <c r="BC28" i="109"/>
  <c r="BD28" i="109"/>
  <c r="BE28" i="109"/>
  <c r="BH28" i="109"/>
  <c r="BI28" i="109"/>
  <c r="B29" i="109"/>
  <c r="C29" i="109"/>
  <c r="F29" i="109"/>
  <c r="H29" i="109"/>
  <c r="J29" i="109"/>
  <c r="L29" i="109"/>
  <c r="N29" i="109"/>
  <c r="P29" i="109"/>
  <c r="Q29" i="109"/>
  <c r="R29" i="109"/>
  <c r="S29" i="109"/>
  <c r="U29" i="109"/>
  <c r="W29" i="109"/>
  <c r="Y29" i="109"/>
  <c r="AC29" i="109"/>
  <c r="AD29" i="109"/>
  <c r="AF29" i="109"/>
  <c r="AH29" i="109"/>
  <c r="AI29" i="109"/>
  <c r="AJ29" i="109"/>
  <c r="AK29" i="109"/>
  <c r="AW29" i="109"/>
  <c r="AX29" i="109"/>
  <c r="AY29" i="109"/>
  <c r="BB29" i="109"/>
  <c r="BC29" i="109"/>
  <c r="BD29" i="109"/>
  <c r="BE29" i="109"/>
  <c r="BH29" i="109"/>
  <c r="BI29" i="109"/>
  <c r="B30" i="109"/>
  <c r="C30" i="109"/>
  <c r="F30" i="109"/>
  <c r="H30" i="109"/>
  <c r="J30" i="109"/>
  <c r="L30" i="109"/>
  <c r="N30" i="109"/>
  <c r="P30" i="109"/>
  <c r="Q30" i="109"/>
  <c r="R30" i="109"/>
  <c r="S30" i="109"/>
  <c r="U30" i="109"/>
  <c r="W30" i="109"/>
  <c r="Y30" i="109"/>
  <c r="AC30" i="109"/>
  <c r="AD30" i="109"/>
  <c r="AF30" i="109"/>
  <c r="AH30" i="109"/>
  <c r="AI30" i="109"/>
  <c r="AJ30" i="109"/>
  <c r="AK30" i="109"/>
  <c r="AW30" i="109"/>
  <c r="AX30" i="109"/>
  <c r="AY30" i="109"/>
  <c r="BB30" i="109"/>
  <c r="BC30" i="109"/>
  <c r="BD30" i="109"/>
  <c r="BE30" i="109"/>
  <c r="BH30" i="109"/>
  <c r="BI30" i="109"/>
  <c r="B31" i="109"/>
  <c r="C31" i="109"/>
  <c r="F31" i="109"/>
  <c r="H31" i="109"/>
  <c r="J31" i="109"/>
  <c r="L31" i="109"/>
  <c r="N31" i="109"/>
  <c r="P31" i="109"/>
  <c r="Q31" i="109"/>
  <c r="R31" i="109"/>
  <c r="S31" i="109"/>
  <c r="U31" i="109"/>
  <c r="W31" i="109"/>
  <c r="Y31" i="109"/>
  <c r="AC31" i="109"/>
  <c r="AD31" i="109"/>
  <c r="AF31" i="109"/>
  <c r="AH31" i="109"/>
  <c r="AI31" i="109"/>
  <c r="AJ31" i="109"/>
  <c r="AK31" i="109"/>
  <c r="AW31" i="109"/>
  <c r="AX31" i="109"/>
  <c r="AY31" i="109"/>
  <c r="BB31" i="109"/>
  <c r="BC31" i="109"/>
  <c r="BD31" i="109"/>
  <c r="BE31" i="109"/>
  <c r="BH31" i="109"/>
  <c r="BI31" i="109"/>
  <c r="B32" i="109"/>
  <c r="C32" i="109"/>
  <c r="F32" i="109"/>
  <c r="H32" i="109"/>
  <c r="J32" i="109"/>
  <c r="L32" i="109"/>
  <c r="N32" i="109"/>
  <c r="P32" i="109"/>
  <c r="Q32" i="109"/>
  <c r="R32" i="109"/>
  <c r="S32" i="109"/>
  <c r="U32" i="109"/>
  <c r="W32" i="109"/>
  <c r="Y32" i="109"/>
  <c r="AC32" i="109"/>
  <c r="AD32" i="109"/>
  <c r="AF32" i="109"/>
  <c r="AH32" i="109"/>
  <c r="AI32" i="109"/>
  <c r="AJ32" i="109"/>
  <c r="AK32" i="109"/>
  <c r="AW32" i="109"/>
  <c r="AX32" i="109"/>
  <c r="AY32" i="109"/>
  <c r="BB32" i="109"/>
  <c r="BC32" i="109"/>
  <c r="BD32" i="109"/>
  <c r="BE32" i="109"/>
  <c r="BH32" i="109"/>
  <c r="BI32" i="109"/>
  <c r="B33" i="109"/>
  <c r="C33" i="109"/>
  <c r="F33" i="109"/>
  <c r="H33" i="109"/>
  <c r="J33" i="109"/>
  <c r="L33" i="109"/>
  <c r="N33" i="109"/>
  <c r="P33" i="109"/>
  <c r="Q33" i="109"/>
  <c r="R33" i="109"/>
  <c r="S33" i="109"/>
  <c r="U33" i="109"/>
  <c r="W33" i="109"/>
  <c r="Y33" i="109"/>
  <c r="AC33" i="109"/>
  <c r="AD33" i="109"/>
  <c r="AF33" i="109"/>
  <c r="AH33" i="109"/>
  <c r="AI33" i="109"/>
  <c r="AJ33" i="109"/>
  <c r="AK33" i="109"/>
  <c r="AW33" i="109"/>
  <c r="AX33" i="109"/>
  <c r="AY33" i="109"/>
  <c r="BB33" i="109"/>
  <c r="BC33" i="109"/>
  <c r="BD33" i="109"/>
  <c r="BE33" i="109"/>
  <c r="BH33" i="109"/>
  <c r="BI33" i="109"/>
  <c r="B34" i="109"/>
  <c r="C34" i="109"/>
  <c r="F34" i="109"/>
  <c r="H34" i="109"/>
  <c r="J34" i="109"/>
  <c r="L34" i="109"/>
  <c r="N34" i="109"/>
  <c r="P34" i="109"/>
  <c r="Q34" i="109"/>
  <c r="R34" i="109"/>
  <c r="S34" i="109"/>
  <c r="U34" i="109"/>
  <c r="W34" i="109"/>
  <c r="Y34" i="109"/>
  <c r="AC34" i="109"/>
  <c r="AD34" i="109"/>
  <c r="AF34" i="109"/>
  <c r="AH34" i="109"/>
  <c r="AI34" i="109"/>
  <c r="AJ34" i="109"/>
  <c r="AK34" i="109"/>
  <c r="AW34" i="109"/>
  <c r="AX34" i="109"/>
  <c r="AY34" i="109"/>
  <c r="BB34" i="109"/>
  <c r="BC34" i="109"/>
  <c r="BD34" i="109"/>
  <c r="BE34" i="109"/>
  <c r="BH34" i="109"/>
  <c r="BI34" i="109"/>
  <c r="B35" i="109"/>
  <c r="C35" i="109"/>
  <c r="F35" i="109"/>
  <c r="H35" i="109"/>
  <c r="J35" i="109"/>
  <c r="L35" i="109"/>
  <c r="N35" i="109"/>
  <c r="P35" i="109"/>
  <c r="Q35" i="109"/>
  <c r="R35" i="109"/>
  <c r="S35" i="109"/>
  <c r="U35" i="109"/>
  <c r="W35" i="109"/>
  <c r="Y35" i="109"/>
  <c r="AC35" i="109"/>
  <c r="AD35" i="109"/>
  <c r="AF35" i="109"/>
  <c r="AH35" i="109"/>
  <c r="AI35" i="109"/>
  <c r="AJ35" i="109"/>
  <c r="AK35" i="109"/>
  <c r="AW35" i="109"/>
  <c r="AX35" i="109"/>
  <c r="AY35" i="109"/>
  <c r="BB35" i="109"/>
  <c r="BC35" i="109"/>
  <c r="BD35" i="109"/>
  <c r="BE35" i="109"/>
  <c r="BH35" i="109"/>
  <c r="BI35" i="109"/>
  <c r="B36" i="109"/>
  <c r="C36" i="109"/>
  <c r="F36" i="109"/>
  <c r="H36" i="109"/>
  <c r="J36" i="109"/>
  <c r="L36" i="109"/>
  <c r="N36" i="109"/>
  <c r="P36" i="109"/>
  <c r="Q36" i="109"/>
  <c r="R36" i="109"/>
  <c r="S36" i="109"/>
  <c r="U36" i="109"/>
  <c r="W36" i="109"/>
  <c r="Y36" i="109"/>
  <c r="AC36" i="109"/>
  <c r="AD36" i="109"/>
  <c r="AF36" i="109"/>
  <c r="AH36" i="109"/>
  <c r="AI36" i="109"/>
  <c r="AJ36" i="109"/>
  <c r="AK36" i="109"/>
  <c r="AW36" i="109"/>
  <c r="AX36" i="109"/>
  <c r="AY36" i="109"/>
  <c r="BB36" i="109"/>
  <c r="BC36" i="109"/>
  <c r="BD36" i="109"/>
  <c r="BE36" i="109"/>
  <c r="BH36" i="109"/>
  <c r="BI36" i="109"/>
  <c r="B37" i="109"/>
  <c r="C37" i="109"/>
  <c r="F37" i="109"/>
  <c r="H37" i="109"/>
  <c r="J37" i="109"/>
  <c r="L37" i="109"/>
  <c r="N37" i="109"/>
  <c r="P37" i="109"/>
  <c r="Q37" i="109"/>
  <c r="R37" i="109"/>
  <c r="S37" i="109"/>
  <c r="U37" i="109"/>
  <c r="W37" i="109"/>
  <c r="Y37" i="109"/>
  <c r="AC37" i="109"/>
  <c r="AD37" i="109"/>
  <c r="AF37" i="109"/>
  <c r="AH37" i="109"/>
  <c r="AI37" i="109"/>
  <c r="AJ37" i="109"/>
  <c r="AK37" i="109"/>
  <c r="AW37" i="109"/>
  <c r="AX37" i="109"/>
  <c r="AY37" i="109"/>
  <c r="BB37" i="109"/>
  <c r="BC37" i="109"/>
  <c r="BD37" i="109"/>
  <c r="BE37" i="109"/>
  <c r="BH37" i="109"/>
  <c r="BI37" i="109"/>
  <c r="B38" i="109"/>
  <c r="C38" i="109"/>
  <c r="F38" i="109"/>
  <c r="H38" i="109"/>
  <c r="J38" i="109"/>
  <c r="L38" i="109"/>
  <c r="N38" i="109"/>
  <c r="P38" i="109"/>
  <c r="Q38" i="109"/>
  <c r="R38" i="109"/>
  <c r="S38" i="109"/>
  <c r="U38" i="109"/>
  <c r="W38" i="109"/>
  <c r="Y38" i="109"/>
  <c r="AC38" i="109"/>
  <c r="AD38" i="109"/>
  <c r="AF38" i="109"/>
  <c r="AH38" i="109"/>
  <c r="AI38" i="109"/>
  <c r="AJ38" i="109"/>
  <c r="AK38" i="109"/>
  <c r="AW38" i="109"/>
  <c r="AX38" i="109"/>
  <c r="AY38" i="109"/>
  <c r="BB38" i="109"/>
  <c r="BC38" i="109"/>
  <c r="BD38" i="109"/>
  <c r="BE38" i="109"/>
  <c r="BH38" i="109"/>
  <c r="BI38" i="109"/>
  <c r="B39" i="109"/>
  <c r="C39" i="109"/>
  <c r="F39" i="109"/>
  <c r="H39" i="109"/>
  <c r="J39" i="109"/>
  <c r="L39" i="109"/>
  <c r="N39" i="109"/>
  <c r="P39" i="109"/>
  <c r="Q39" i="109"/>
  <c r="R39" i="109"/>
  <c r="S39" i="109"/>
  <c r="U39" i="109"/>
  <c r="W39" i="109"/>
  <c r="Y39" i="109"/>
  <c r="AC39" i="109"/>
  <c r="AD39" i="109"/>
  <c r="AF39" i="109"/>
  <c r="AH39" i="109"/>
  <c r="AI39" i="109"/>
  <c r="AJ39" i="109"/>
  <c r="AK39" i="109"/>
  <c r="AW39" i="109"/>
  <c r="AX39" i="109"/>
  <c r="AY39" i="109"/>
  <c r="BB39" i="109"/>
  <c r="BC39" i="109"/>
  <c r="BD39" i="109"/>
  <c r="BE39" i="109"/>
  <c r="BH39" i="109"/>
  <c r="BI39" i="109"/>
  <c r="B40" i="109"/>
  <c r="C40" i="109"/>
  <c r="F40" i="109"/>
  <c r="H40" i="109"/>
  <c r="J40" i="109"/>
  <c r="L40" i="109"/>
  <c r="N40" i="109"/>
  <c r="P40" i="109"/>
  <c r="Q40" i="109"/>
  <c r="R40" i="109"/>
  <c r="S40" i="109"/>
  <c r="U40" i="109"/>
  <c r="W40" i="109"/>
  <c r="Y40" i="109"/>
  <c r="AC40" i="109"/>
  <c r="AD40" i="109"/>
  <c r="AF40" i="109"/>
  <c r="AH40" i="109"/>
  <c r="AI40" i="109"/>
  <c r="AJ40" i="109"/>
  <c r="AK40" i="109"/>
  <c r="AW40" i="109"/>
  <c r="AX40" i="109"/>
  <c r="AY40" i="109"/>
  <c r="BB40" i="109"/>
  <c r="BC40" i="109"/>
  <c r="BD40" i="109"/>
  <c r="BE40" i="109"/>
  <c r="BH40" i="109"/>
  <c r="BI40" i="109"/>
  <c r="B41" i="109"/>
  <c r="C41" i="109"/>
  <c r="F41" i="109"/>
  <c r="H41" i="109"/>
  <c r="J41" i="109"/>
  <c r="L41" i="109"/>
  <c r="N41" i="109"/>
  <c r="P41" i="109"/>
  <c r="Q41" i="109"/>
  <c r="R41" i="109"/>
  <c r="S41" i="109"/>
  <c r="U41" i="109"/>
  <c r="W41" i="109"/>
  <c r="Y41" i="109"/>
  <c r="AC41" i="109"/>
  <c r="AD41" i="109"/>
  <c r="AF41" i="109"/>
  <c r="AH41" i="109"/>
  <c r="AI41" i="109"/>
  <c r="AJ41" i="109"/>
  <c r="AK41" i="109"/>
  <c r="AW41" i="109"/>
  <c r="AX41" i="109"/>
  <c r="AY41" i="109"/>
  <c r="BB41" i="109"/>
  <c r="BC41" i="109"/>
  <c r="BD41" i="109"/>
  <c r="BE41" i="109"/>
  <c r="BH41" i="109"/>
  <c r="BI41" i="109"/>
  <c r="B42" i="109"/>
  <c r="C42" i="109"/>
  <c r="F42" i="109"/>
  <c r="H42" i="109"/>
  <c r="J42" i="109"/>
  <c r="L42" i="109"/>
  <c r="N42" i="109"/>
  <c r="P42" i="109"/>
  <c r="Q42" i="109"/>
  <c r="R42" i="109"/>
  <c r="S42" i="109"/>
  <c r="U42" i="109"/>
  <c r="W42" i="109"/>
  <c r="Y42" i="109"/>
  <c r="AC42" i="109"/>
  <c r="AD42" i="109"/>
  <c r="AF42" i="109"/>
  <c r="AH42" i="109"/>
  <c r="AI42" i="109"/>
  <c r="AJ42" i="109"/>
  <c r="AK42" i="109"/>
  <c r="AW42" i="109"/>
  <c r="AX42" i="109"/>
  <c r="AY42" i="109"/>
  <c r="BB42" i="109"/>
  <c r="BC42" i="109"/>
  <c r="BD42" i="109"/>
  <c r="BE42" i="109"/>
  <c r="BH42" i="109"/>
  <c r="BI42" i="109"/>
  <c r="B43" i="109"/>
  <c r="C43" i="109"/>
  <c r="F43" i="109"/>
  <c r="H43" i="109"/>
  <c r="J43" i="109"/>
  <c r="L43" i="109"/>
  <c r="N43" i="109"/>
  <c r="P43" i="109"/>
  <c r="Q43" i="109"/>
  <c r="R43" i="109"/>
  <c r="S43" i="109"/>
  <c r="U43" i="109"/>
  <c r="W43" i="109"/>
  <c r="Y43" i="109"/>
  <c r="AC43" i="109"/>
  <c r="AD43" i="109"/>
  <c r="AF43" i="109"/>
  <c r="AH43" i="109"/>
  <c r="AI43" i="109"/>
  <c r="AJ43" i="109"/>
  <c r="AK43" i="109"/>
  <c r="AW43" i="109"/>
  <c r="AX43" i="109"/>
  <c r="AY43" i="109"/>
  <c r="BB43" i="109"/>
  <c r="BC43" i="109"/>
  <c r="BD43" i="109"/>
  <c r="BE43" i="109"/>
  <c r="BH43" i="109"/>
  <c r="BI43" i="109"/>
  <c r="B44" i="109"/>
  <c r="C44" i="109"/>
  <c r="F44" i="109"/>
  <c r="H44" i="109"/>
  <c r="J44" i="109"/>
  <c r="L44" i="109"/>
  <c r="N44" i="109"/>
  <c r="P44" i="109"/>
  <c r="Q44" i="109"/>
  <c r="R44" i="109"/>
  <c r="S44" i="109"/>
  <c r="U44" i="109"/>
  <c r="W44" i="109"/>
  <c r="Y44" i="109"/>
  <c r="AC44" i="109"/>
  <c r="AD44" i="109"/>
  <c r="AF44" i="109"/>
  <c r="AH44" i="109"/>
  <c r="AI44" i="109"/>
  <c r="AJ44" i="109"/>
  <c r="AK44" i="109"/>
  <c r="AW44" i="109"/>
  <c r="AX44" i="109"/>
  <c r="AY44" i="109"/>
  <c r="BB44" i="109"/>
  <c r="BC44" i="109"/>
  <c r="BD44" i="109"/>
  <c r="BE44" i="109"/>
  <c r="BH44" i="109"/>
  <c r="BI44" i="109"/>
  <c r="B45" i="109"/>
  <c r="C45" i="109"/>
  <c r="F45" i="109"/>
  <c r="H45" i="109"/>
  <c r="J45" i="109"/>
  <c r="L45" i="109"/>
  <c r="N45" i="109"/>
  <c r="P45" i="109"/>
  <c r="Q45" i="109"/>
  <c r="R45" i="109"/>
  <c r="S45" i="109"/>
  <c r="U45" i="109"/>
  <c r="W45" i="109"/>
  <c r="Y45" i="109"/>
  <c r="AC45" i="109"/>
  <c r="AD45" i="109"/>
  <c r="AF45" i="109"/>
  <c r="AH45" i="109"/>
  <c r="AI45" i="109"/>
  <c r="AJ45" i="109"/>
  <c r="AK45" i="109"/>
  <c r="AW45" i="109"/>
  <c r="AX45" i="109"/>
  <c r="AY45" i="109"/>
  <c r="BB45" i="109"/>
  <c r="BC45" i="109"/>
  <c r="BD45" i="109"/>
  <c r="BE45" i="109"/>
  <c r="BH45" i="109"/>
  <c r="BI45" i="109"/>
  <c r="B46" i="109"/>
  <c r="C46" i="109"/>
  <c r="F46" i="109"/>
  <c r="H46" i="109"/>
  <c r="J46" i="109"/>
  <c r="L46" i="109"/>
  <c r="N46" i="109"/>
  <c r="P46" i="109"/>
  <c r="Q46" i="109"/>
  <c r="R46" i="109"/>
  <c r="S46" i="109"/>
  <c r="U46" i="109"/>
  <c r="W46" i="109"/>
  <c r="Y46" i="109"/>
  <c r="AC46" i="109"/>
  <c r="AD46" i="109"/>
  <c r="AF46" i="109"/>
  <c r="AH46" i="109"/>
  <c r="AI46" i="109"/>
  <c r="AJ46" i="109"/>
  <c r="AK46" i="109"/>
  <c r="AW46" i="109"/>
  <c r="AX46" i="109"/>
  <c r="AY46" i="109"/>
  <c r="BB46" i="109"/>
  <c r="BC46" i="109"/>
  <c r="BD46" i="109"/>
  <c r="BE46" i="109"/>
  <c r="BH46" i="109"/>
  <c r="BI46" i="109"/>
  <c r="B47" i="109"/>
  <c r="C47" i="109"/>
  <c r="F47" i="109"/>
  <c r="H47" i="109"/>
  <c r="J47" i="109"/>
  <c r="L47" i="109"/>
  <c r="N47" i="109"/>
  <c r="P47" i="109"/>
  <c r="Q47" i="109"/>
  <c r="R47" i="109"/>
  <c r="S47" i="109"/>
  <c r="U47" i="109"/>
  <c r="W47" i="109"/>
  <c r="Y47" i="109"/>
  <c r="AC47" i="109"/>
  <c r="AD47" i="109"/>
  <c r="AF47" i="109"/>
  <c r="AH47" i="109"/>
  <c r="AI47" i="109"/>
  <c r="AJ47" i="109"/>
  <c r="AK47" i="109"/>
  <c r="AW47" i="109"/>
  <c r="AX47" i="109"/>
  <c r="AY47" i="109"/>
  <c r="BB47" i="109"/>
  <c r="BC47" i="109"/>
  <c r="BD47" i="109"/>
  <c r="BE47" i="109"/>
  <c r="BH47" i="109"/>
  <c r="BI47" i="109"/>
  <c r="B48" i="109"/>
  <c r="C48" i="109"/>
  <c r="F48" i="109"/>
  <c r="H48" i="109"/>
  <c r="J48" i="109"/>
  <c r="L48" i="109"/>
  <c r="N48" i="109"/>
  <c r="P48" i="109"/>
  <c r="Q48" i="109"/>
  <c r="R48" i="109"/>
  <c r="S48" i="109"/>
  <c r="U48" i="109"/>
  <c r="W48" i="109"/>
  <c r="Y48" i="109"/>
  <c r="AC48" i="109"/>
  <c r="AD48" i="109"/>
  <c r="AF48" i="109"/>
  <c r="AH48" i="109"/>
  <c r="AI48" i="109"/>
  <c r="AJ48" i="109"/>
  <c r="AK48" i="109"/>
  <c r="AW48" i="109"/>
  <c r="AX48" i="109"/>
  <c r="AY48" i="109"/>
  <c r="BB48" i="109"/>
  <c r="BC48" i="109"/>
  <c r="BD48" i="109"/>
  <c r="BE48" i="109"/>
  <c r="BH48" i="109"/>
  <c r="BI48" i="109"/>
  <c r="B49" i="109"/>
  <c r="C49" i="109"/>
  <c r="F49" i="109"/>
  <c r="H49" i="109"/>
  <c r="J49" i="109"/>
  <c r="L49" i="109"/>
  <c r="N49" i="109"/>
  <c r="P49" i="109"/>
  <c r="Q49" i="109"/>
  <c r="R49" i="109"/>
  <c r="S49" i="109"/>
  <c r="U49" i="109"/>
  <c r="W49" i="109"/>
  <c r="Y49" i="109"/>
  <c r="AC49" i="109"/>
  <c r="AD49" i="109"/>
  <c r="AF49" i="109"/>
  <c r="AH49" i="109"/>
  <c r="AI49" i="109"/>
  <c r="AJ49" i="109"/>
  <c r="AK49" i="109"/>
  <c r="AW49" i="109"/>
  <c r="AX49" i="109"/>
  <c r="AY49" i="109"/>
  <c r="BB49" i="109"/>
  <c r="BC49" i="109"/>
  <c r="BD49" i="109"/>
  <c r="BE49" i="109"/>
  <c r="BH49" i="109"/>
  <c r="BI49" i="109"/>
  <c r="B50" i="109"/>
  <c r="C50" i="109"/>
  <c r="F50" i="109"/>
  <c r="H50" i="109"/>
  <c r="J50" i="109"/>
  <c r="L50" i="109"/>
  <c r="N50" i="109"/>
  <c r="P50" i="109"/>
  <c r="Q50" i="109"/>
  <c r="R50" i="109"/>
  <c r="S50" i="109"/>
  <c r="U50" i="109"/>
  <c r="W50" i="109"/>
  <c r="Y50" i="109"/>
  <c r="AC50" i="109"/>
  <c r="AD50" i="109"/>
  <c r="AF50" i="109"/>
  <c r="AH50" i="109"/>
  <c r="AI50" i="109"/>
  <c r="AJ50" i="109"/>
  <c r="AK50" i="109"/>
  <c r="AW50" i="109"/>
  <c r="AX50" i="109"/>
  <c r="AY50" i="109"/>
  <c r="BB50" i="109"/>
  <c r="BC50" i="109"/>
  <c r="BD50" i="109"/>
  <c r="BE50" i="109"/>
  <c r="BH50" i="109"/>
  <c r="BI50" i="109"/>
  <c r="C51" i="109"/>
  <c r="D51" i="109"/>
  <c r="E51" i="109"/>
  <c r="F51" i="109"/>
  <c r="G51" i="109"/>
  <c r="H51" i="109"/>
  <c r="I51" i="109"/>
  <c r="J51" i="109"/>
  <c r="K51" i="109"/>
  <c r="L51" i="109"/>
  <c r="M51" i="109"/>
  <c r="N51" i="109"/>
  <c r="O51" i="109"/>
  <c r="P51" i="109"/>
  <c r="Q51" i="109"/>
  <c r="R51" i="109"/>
  <c r="S51" i="109"/>
  <c r="T51" i="109"/>
  <c r="U51" i="109"/>
  <c r="V51" i="109"/>
  <c r="W51" i="109"/>
  <c r="X51" i="109"/>
  <c r="Y51" i="109"/>
  <c r="AD51" i="109"/>
  <c r="AE51" i="109"/>
  <c r="AF51" i="109"/>
  <c r="AG51" i="109"/>
  <c r="AH51" i="109"/>
  <c r="AI51" i="109"/>
  <c r="AJ51" i="109"/>
  <c r="AK51" i="109"/>
  <c r="AX51" i="109"/>
  <c r="AY51" i="109"/>
  <c r="AZ51" i="109"/>
  <c r="BA51" i="109"/>
  <c r="BB51" i="109"/>
  <c r="BC51" i="109"/>
  <c r="BD51" i="109"/>
  <c r="BE51" i="109"/>
  <c r="BF51" i="109"/>
  <c r="BG51" i="109"/>
  <c r="BH51" i="109"/>
  <c r="BI51" i="109"/>
  <c r="AN10" i="108"/>
  <c r="AO10" i="108"/>
  <c r="AQ10" i="108"/>
  <c r="AS10" i="108"/>
  <c r="AT10" i="108"/>
  <c r="B11" i="108"/>
  <c r="C11" i="108"/>
  <c r="F11" i="108"/>
  <c r="H11" i="108"/>
  <c r="J11" i="108"/>
  <c r="L11" i="108"/>
  <c r="N11" i="108"/>
  <c r="P11" i="108"/>
  <c r="Q11" i="108"/>
  <c r="R11" i="108"/>
  <c r="S11" i="108"/>
  <c r="U11" i="108"/>
  <c r="W11" i="108"/>
  <c r="Y11" i="108"/>
  <c r="AC11" i="108"/>
  <c r="AD11" i="108"/>
  <c r="AF11" i="108"/>
  <c r="AH11" i="108"/>
  <c r="AI11" i="108"/>
  <c r="AJ11" i="108"/>
  <c r="AK11" i="108"/>
  <c r="AN11" i="108"/>
  <c r="AO11" i="108"/>
  <c r="AQ11" i="108"/>
  <c r="AS11" i="108"/>
  <c r="AT11" i="108"/>
  <c r="AW11" i="108"/>
  <c r="AX11" i="108"/>
  <c r="AY11" i="108"/>
  <c r="BB11" i="108"/>
  <c r="BC11" i="108"/>
  <c r="BD11" i="108"/>
  <c r="BE11" i="108"/>
  <c r="BH11" i="108"/>
  <c r="BI11" i="108"/>
  <c r="B12" i="108"/>
  <c r="C12" i="108"/>
  <c r="F12" i="108"/>
  <c r="H12" i="108"/>
  <c r="J12" i="108"/>
  <c r="L12" i="108"/>
  <c r="N12" i="108"/>
  <c r="P12" i="108"/>
  <c r="Q12" i="108"/>
  <c r="R12" i="108"/>
  <c r="S12" i="108"/>
  <c r="U12" i="108"/>
  <c r="W12" i="108"/>
  <c r="Y12" i="108"/>
  <c r="AC12" i="108"/>
  <c r="AD12" i="108"/>
  <c r="AF12" i="108"/>
  <c r="AH12" i="108"/>
  <c r="AI12" i="108"/>
  <c r="AJ12" i="108"/>
  <c r="AK12" i="108"/>
  <c r="AN12" i="108"/>
  <c r="AO12" i="108"/>
  <c r="AQ12" i="108"/>
  <c r="AS12" i="108"/>
  <c r="AT12" i="108"/>
  <c r="AW12" i="108"/>
  <c r="AX12" i="108"/>
  <c r="AY12" i="108"/>
  <c r="BB12" i="108"/>
  <c r="BC12" i="108"/>
  <c r="BD12" i="108"/>
  <c r="BE12" i="108"/>
  <c r="BH12" i="108"/>
  <c r="BI12" i="108"/>
  <c r="B13" i="108"/>
  <c r="C13" i="108"/>
  <c r="F13" i="108"/>
  <c r="H13" i="108"/>
  <c r="J13" i="108"/>
  <c r="L13" i="108"/>
  <c r="N13" i="108"/>
  <c r="P13" i="108"/>
  <c r="Q13" i="108"/>
  <c r="R13" i="108"/>
  <c r="S13" i="108"/>
  <c r="U13" i="108"/>
  <c r="W13" i="108"/>
  <c r="Y13" i="108"/>
  <c r="AC13" i="108"/>
  <c r="AD13" i="108"/>
  <c r="AF13" i="108"/>
  <c r="AH13" i="108"/>
  <c r="AI13" i="108"/>
  <c r="AJ13" i="108"/>
  <c r="AK13" i="108"/>
  <c r="AO13" i="108"/>
  <c r="AP13" i="108"/>
  <c r="AQ13" i="108"/>
  <c r="AR13" i="108"/>
  <c r="AS13" i="108"/>
  <c r="AT13" i="108"/>
  <c r="AW13" i="108"/>
  <c r="AX13" i="108"/>
  <c r="AY13" i="108"/>
  <c r="BB13" i="108"/>
  <c r="BC13" i="108"/>
  <c r="BD13" i="108"/>
  <c r="BE13" i="108"/>
  <c r="BH13" i="108"/>
  <c r="BI13" i="108"/>
  <c r="B14" i="108"/>
  <c r="C14" i="108"/>
  <c r="F14" i="108"/>
  <c r="H14" i="108"/>
  <c r="J14" i="108"/>
  <c r="L14" i="108"/>
  <c r="N14" i="108"/>
  <c r="P14" i="108"/>
  <c r="Q14" i="108"/>
  <c r="R14" i="108"/>
  <c r="S14" i="108"/>
  <c r="U14" i="108"/>
  <c r="W14" i="108"/>
  <c r="Y14" i="108"/>
  <c r="AC14" i="108"/>
  <c r="AD14" i="108"/>
  <c r="AF14" i="108"/>
  <c r="AH14" i="108"/>
  <c r="AI14" i="108"/>
  <c r="AJ14" i="108"/>
  <c r="AK14" i="108"/>
  <c r="AT14" i="108"/>
  <c r="AW14" i="108"/>
  <c r="AX14" i="108"/>
  <c r="AY14" i="108"/>
  <c r="BB14" i="108"/>
  <c r="BC14" i="108"/>
  <c r="BD14" i="108"/>
  <c r="BE14" i="108"/>
  <c r="BH14" i="108"/>
  <c r="BI14" i="108"/>
  <c r="B15" i="108"/>
  <c r="C15" i="108"/>
  <c r="F15" i="108"/>
  <c r="H15" i="108"/>
  <c r="J15" i="108"/>
  <c r="L15" i="108"/>
  <c r="N15" i="108"/>
  <c r="P15" i="108"/>
  <c r="Q15" i="108"/>
  <c r="R15" i="108"/>
  <c r="S15" i="108"/>
  <c r="U15" i="108"/>
  <c r="W15" i="108"/>
  <c r="Y15" i="108"/>
  <c r="AC15" i="108"/>
  <c r="AD15" i="108"/>
  <c r="AF15" i="108"/>
  <c r="AH15" i="108"/>
  <c r="AI15" i="108"/>
  <c r="AJ15" i="108"/>
  <c r="AK15" i="108"/>
  <c r="AW15" i="108"/>
  <c r="AX15" i="108"/>
  <c r="AY15" i="108"/>
  <c r="BB15" i="108"/>
  <c r="BC15" i="108"/>
  <c r="BD15" i="108"/>
  <c r="BE15" i="108"/>
  <c r="BH15" i="108"/>
  <c r="BI15" i="108"/>
  <c r="B16" i="108"/>
  <c r="C16" i="108"/>
  <c r="F16" i="108"/>
  <c r="H16" i="108"/>
  <c r="J16" i="108"/>
  <c r="L16" i="108"/>
  <c r="N16" i="108"/>
  <c r="P16" i="108"/>
  <c r="Q16" i="108"/>
  <c r="R16" i="108"/>
  <c r="S16" i="108"/>
  <c r="U16" i="108"/>
  <c r="W16" i="108"/>
  <c r="Y16" i="108"/>
  <c r="AC16" i="108"/>
  <c r="AD16" i="108"/>
  <c r="AF16" i="108"/>
  <c r="AH16" i="108"/>
  <c r="AI16" i="108"/>
  <c r="AJ16" i="108"/>
  <c r="AK16" i="108"/>
  <c r="AW16" i="108"/>
  <c r="AX16" i="108"/>
  <c r="AY16" i="108"/>
  <c r="BB16" i="108"/>
  <c r="BC16" i="108"/>
  <c r="BD16" i="108"/>
  <c r="BE16" i="108"/>
  <c r="BH16" i="108"/>
  <c r="BI16" i="108"/>
  <c r="B17" i="108"/>
  <c r="C17" i="108"/>
  <c r="F17" i="108"/>
  <c r="H17" i="108"/>
  <c r="J17" i="108"/>
  <c r="L17" i="108"/>
  <c r="N17" i="108"/>
  <c r="P17" i="108"/>
  <c r="Q17" i="108"/>
  <c r="R17" i="108"/>
  <c r="S17" i="108"/>
  <c r="U17" i="108"/>
  <c r="W17" i="108"/>
  <c r="Y17" i="108"/>
  <c r="AC17" i="108"/>
  <c r="AD17" i="108"/>
  <c r="AF17" i="108"/>
  <c r="AH17" i="108"/>
  <c r="AI17" i="108"/>
  <c r="AJ17" i="108"/>
  <c r="AK17" i="108"/>
  <c r="AW17" i="108"/>
  <c r="AX17" i="108"/>
  <c r="AY17" i="108"/>
  <c r="BB17" i="108"/>
  <c r="BC17" i="108"/>
  <c r="BD17" i="108"/>
  <c r="BE17" i="108"/>
  <c r="BH17" i="108"/>
  <c r="BI17" i="108"/>
  <c r="B18" i="108"/>
  <c r="C18" i="108"/>
  <c r="F18" i="108"/>
  <c r="H18" i="108"/>
  <c r="J18" i="108"/>
  <c r="L18" i="108"/>
  <c r="N18" i="108"/>
  <c r="P18" i="108"/>
  <c r="Q18" i="108"/>
  <c r="R18" i="108"/>
  <c r="S18" i="108"/>
  <c r="U18" i="108"/>
  <c r="W18" i="108"/>
  <c r="Y18" i="108"/>
  <c r="AC18" i="108"/>
  <c r="AD18" i="108"/>
  <c r="AF18" i="108"/>
  <c r="AH18" i="108"/>
  <c r="AI18" i="108"/>
  <c r="AJ18" i="108"/>
  <c r="AK18" i="108"/>
  <c r="AW18" i="108"/>
  <c r="AX18" i="108"/>
  <c r="AY18" i="108"/>
  <c r="BB18" i="108"/>
  <c r="BC18" i="108"/>
  <c r="BD18" i="108"/>
  <c r="BE18" i="108"/>
  <c r="BH18" i="108"/>
  <c r="BI18" i="108"/>
  <c r="B19" i="108"/>
  <c r="C19" i="108"/>
  <c r="F19" i="108"/>
  <c r="H19" i="108"/>
  <c r="J19" i="108"/>
  <c r="L19" i="108"/>
  <c r="N19" i="108"/>
  <c r="P19" i="108"/>
  <c r="Q19" i="108"/>
  <c r="R19" i="108"/>
  <c r="S19" i="108"/>
  <c r="U19" i="108"/>
  <c r="W19" i="108"/>
  <c r="Y19" i="108"/>
  <c r="AC19" i="108"/>
  <c r="AD19" i="108"/>
  <c r="AF19" i="108"/>
  <c r="AH19" i="108"/>
  <c r="AI19" i="108"/>
  <c r="AJ19" i="108"/>
  <c r="AK19" i="108"/>
  <c r="AW19" i="108"/>
  <c r="AX19" i="108"/>
  <c r="AY19" i="108"/>
  <c r="BB19" i="108"/>
  <c r="BC19" i="108"/>
  <c r="BD19" i="108"/>
  <c r="BE19" i="108"/>
  <c r="BH19" i="108"/>
  <c r="BI19" i="108"/>
  <c r="B20" i="108"/>
  <c r="C20" i="108"/>
  <c r="F20" i="108"/>
  <c r="H20" i="108"/>
  <c r="J20" i="108"/>
  <c r="L20" i="108"/>
  <c r="N20" i="108"/>
  <c r="P20" i="108"/>
  <c r="Q20" i="108"/>
  <c r="R20" i="108"/>
  <c r="S20" i="108"/>
  <c r="U20" i="108"/>
  <c r="W20" i="108"/>
  <c r="Y20" i="108"/>
  <c r="AC20" i="108"/>
  <c r="AD20" i="108"/>
  <c r="AF20" i="108"/>
  <c r="AH20" i="108"/>
  <c r="AI20" i="108"/>
  <c r="AJ20" i="108"/>
  <c r="AK20" i="108"/>
  <c r="AW20" i="108"/>
  <c r="AX20" i="108"/>
  <c r="AY20" i="108"/>
  <c r="BB20" i="108"/>
  <c r="BC20" i="108"/>
  <c r="BD20" i="108"/>
  <c r="BE20" i="108"/>
  <c r="BH20" i="108"/>
  <c r="BI20" i="108"/>
  <c r="B21" i="108"/>
  <c r="C21" i="108"/>
  <c r="F21" i="108"/>
  <c r="H21" i="108"/>
  <c r="J21" i="108"/>
  <c r="L21" i="108"/>
  <c r="N21" i="108"/>
  <c r="P21" i="108"/>
  <c r="Q21" i="108"/>
  <c r="R21" i="108"/>
  <c r="S21" i="108"/>
  <c r="U21" i="108"/>
  <c r="W21" i="108"/>
  <c r="Y21" i="108"/>
  <c r="AC21" i="108"/>
  <c r="AD21" i="108"/>
  <c r="AF21" i="108"/>
  <c r="AH21" i="108"/>
  <c r="AI21" i="108"/>
  <c r="AJ21" i="108"/>
  <c r="AK21" i="108"/>
  <c r="AW21" i="108"/>
  <c r="AX21" i="108"/>
  <c r="AY21" i="108"/>
  <c r="BB21" i="108"/>
  <c r="BC21" i="108"/>
  <c r="BD21" i="108"/>
  <c r="BE21" i="108"/>
  <c r="BH21" i="108"/>
  <c r="BI21" i="108"/>
  <c r="B22" i="108"/>
  <c r="C22" i="108"/>
  <c r="F22" i="108"/>
  <c r="H22" i="108"/>
  <c r="J22" i="108"/>
  <c r="L22" i="108"/>
  <c r="N22" i="108"/>
  <c r="P22" i="108"/>
  <c r="Q22" i="108"/>
  <c r="R22" i="108"/>
  <c r="S22" i="108"/>
  <c r="U22" i="108"/>
  <c r="W22" i="108"/>
  <c r="Y22" i="108"/>
  <c r="AC22" i="108"/>
  <c r="AD22" i="108"/>
  <c r="AF22" i="108"/>
  <c r="AH22" i="108"/>
  <c r="AI22" i="108"/>
  <c r="AJ22" i="108"/>
  <c r="AK22" i="108"/>
  <c r="AW22" i="108"/>
  <c r="AX22" i="108"/>
  <c r="AY22" i="108"/>
  <c r="BB22" i="108"/>
  <c r="BC22" i="108"/>
  <c r="BD22" i="108"/>
  <c r="BE22" i="108"/>
  <c r="BH22" i="108"/>
  <c r="BI22" i="108"/>
  <c r="B23" i="108"/>
  <c r="C23" i="108"/>
  <c r="F23" i="108"/>
  <c r="H23" i="108"/>
  <c r="J23" i="108"/>
  <c r="L23" i="108"/>
  <c r="N23" i="108"/>
  <c r="P23" i="108"/>
  <c r="Q23" i="108"/>
  <c r="R23" i="108"/>
  <c r="S23" i="108"/>
  <c r="U23" i="108"/>
  <c r="W23" i="108"/>
  <c r="Y23" i="108"/>
  <c r="AC23" i="108"/>
  <c r="AD23" i="108"/>
  <c r="AF23" i="108"/>
  <c r="AH23" i="108"/>
  <c r="AI23" i="108"/>
  <c r="AJ23" i="108"/>
  <c r="AK23" i="108"/>
  <c r="AW23" i="108"/>
  <c r="AX23" i="108"/>
  <c r="AY23" i="108"/>
  <c r="BB23" i="108"/>
  <c r="BC23" i="108"/>
  <c r="BD23" i="108"/>
  <c r="BE23" i="108"/>
  <c r="BH23" i="108"/>
  <c r="BI23" i="108"/>
  <c r="B24" i="108"/>
  <c r="C24" i="108"/>
  <c r="F24" i="108"/>
  <c r="H24" i="108"/>
  <c r="J24" i="108"/>
  <c r="L24" i="108"/>
  <c r="N24" i="108"/>
  <c r="P24" i="108"/>
  <c r="Q24" i="108"/>
  <c r="R24" i="108"/>
  <c r="S24" i="108"/>
  <c r="U24" i="108"/>
  <c r="W24" i="108"/>
  <c r="Y24" i="108"/>
  <c r="AC24" i="108"/>
  <c r="AD24" i="108"/>
  <c r="AF24" i="108"/>
  <c r="AH24" i="108"/>
  <c r="AI24" i="108"/>
  <c r="AJ24" i="108"/>
  <c r="AK24" i="108"/>
  <c r="AW24" i="108"/>
  <c r="AX24" i="108"/>
  <c r="AY24" i="108"/>
  <c r="BB24" i="108"/>
  <c r="BC24" i="108"/>
  <c r="BD24" i="108"/>
  <c r="BE24" i="108"/>
  <c r="BH24" i="108"/>
  <c r="BI24" i="108"/>
  <c r="B25" i="108"/>
  <c r="C25" i="108"/>
  <c r="F25" i="108"/>
  <c r="H25" i="108"/>
  <c r="J25" i="108"/>
  <c r="L25" i="108"/>
  <c r="N25" i="108"/>
  <c r="P25" i="108"/>
  <c r="Q25" i="108"/>
  <c r="R25" i="108"/>
  <c r="S25" i="108"/>
  <c r="U25" i="108"/>
  <c r="W25" i="108"/>
  <c r="Y25" i="108"/>
  <c r="AC25" i="108"/>
  <c r="AD25" i="108"/>
  <c r="AF25" i="108"/>
  <c r="AH25" i="108"/>
  <c r="AI25" i="108"/>
  <c r="AJ25" i="108"/>
  <c r="AK25" i="108"/>
  <c r="AW25" i="108"/>
  <c r="AX25" i="108"/>
  <c r="AY25" i="108"/>
  <c r="BB25" i="108"/>
  <c r="BC25" i="108"/>
  <c r="BD25" i="108"/>
  <c r="BE25" i="108"/>
  <c r="BH25" i="108"/>
  <c r="BI25" i="108"/>
  <c r="B26" i="108"/>
  <c r="C26" i="108"/>
  <c r="F26" i="108"/>
  <c r="H26" i="108"/>
  <c r="J26" i="108"/>
  <c r="L26" i="108"/>
  <c r="N26" i="108"/>
  <c r="P26" i="108"/>
  <c r="Q26" i="108"/>
  <c r="R26" i="108"/>
  <c r="S26" i="108"/>
  <c r="U26" i="108"/>
  <c r="W26" i="108"/>
  <c r="Y26" i="108"/>
  <c r="AC26" i="108"/>
  <c r="AD26" i="108"/>
  <c r="AF26" i="108"/>
  <c r="AH26" i="108"/>
  <c r="AI26" i="108"/>
  <c r="AJ26" i="108"/>
  <c r="AK26" i="108"/>
  <c r="AW26" i="108"/>
  <c r="AX26" i="108"/>
  <c r="AY26" i="108"/>
  <c r="BB26" i="108"/>
  <c r="BC26" i="108"/>
  <c r="BD26" i="108"/>
  <c r="BE26" i="108"/>
  <c r="BH26" i="108"/>
  <c r="BI26" i="108"/>
  <c r="B27" i="108"/>
  <c r="C27" i="108"/>
  <c r="F27" i="108"/>
  <c r="H27" i="108"/>
  <c r="J27" i="108"/>
  <c r="L27" i="108"/>
  <c r="N27" i="108"/>
  <c r="P27" i="108"/>
  <c r="Q27" i="108"/>
  <c r="R27" i="108"/>
  <c r="S27" i="108"/>
  <c r="U27" i="108"/>
  <c r="W27" i="108"/>
  <c r="Y27" i="108"/>
  <c r="AC27" i="108"/>
  <c r="AD27" i="108"/>
  <c r="AF27" i="108"/>
  <c r="AH27" i="108"/>
  <c r="AI27" i="108"/>
  <c r="AJ27" i="108"/>
  <c r="AK27" i="108"/>
  <c r="AW27" i="108"/>
  <c r="AX27" i="108"/>
  <c r="AY27" i="108"/>
  <c r="BB27" i="108"/>
  <c r="BC27" i="108"/>
  <c r="BD27" i="108"/>
  <c r="BE27" i="108"/>
  <c r="BH27" i="108"/>
  <c r="BI27" i="108"/>
  <c r="B28" i="108"/>
  <c r="C28" i="108"/>
  <c r="F28" i="108"/>
  <c r="H28" i="108"/>
  <c r="J28" i="108"/>
  <c r="L28" i="108"/>
  <c r="N28" i="108"/>
  <c r="P28" i="108"/>
  <c r="Q28" i="108"/>
  <c r="R28" i="108"/>
  <c r="S28" i="108"/>
  <c r="U28" i="108"/>
  <c r="W28" i="108"/>
  <c r="Y28" i="108"/>
  <c r="AC28" i="108"/>
  <c r="AD28" i="108"/>
  <c r="AF28" i="108"/>
  <c r="AH28" i="108"/>
  <c r="AI28" i="108"/>
  <c r="AJ28" i="108"/>
  <c r="AK28" i="108"/>
  <c r="AW28" i="108"/>
  <c r="AX28" i="108"/>
  <c r="AY28" i="108"/>
  <c r="BB28" i="108"/>
  <c r="BC28" i="108"/>
  <c r="BD28" i="108"/>
  <c r="BE28" i="108"/>
  <c r="BH28" i="108"/>
  <c r="BI28" i="108"/>
  <c r="B29" i="108"/>
  <c r="C29" i="108"/>
  <c r="F29" i="108"/>
  <c r="H29" i="108"/>
  <c r="J29" i="108"/>
  <c r="L29" i="108"/>
  <c r="N29" i="108"/>
  <c r="P29" i="108"/>
  <c r="Q29" i="108"/>
  <c r="R29" i="108"/>
  <c r="S29" i="108"/>
  <c r="U29" i="108"/>
  <c r="W29" i="108"/>
  <c r="Y29" i="108"/>
  <c r="AC29" i="108"/>
  <c r="AD29" i="108"/>
  <c r="AF29" i="108"/>
  <c r="AH29" i="108"/>
  <c r="AI29" i="108"/>
  <c r="AJ29" i="108"/>
  <c r="AK29" i="108"/>
  <c r="AW29" i="108"/>
  <c r="AX29" i="108"/>
  <c r="AY29" i="108"/>
  <c r="BB29" i="108"/>
  <c r="BC29" i="108"/>
  <c r="BD29" i="108"/>
  <c r="BE29" i="108"/>
  <c r="BH29" i="108"/>
  <c r="BI29" i="108"/>
  <c r="B30" i="108"/>
  <c r="C30" i="108"/>
  <c r="F30" i="108"/>
  <c r="H30" i="108"/>
  <c r="J30" i="108"/>
  <c r="L30" i="108"/>
  <c r="N30" i="108"/>
  <c r="P30" i="108"/>
  <c r="Q30" i="108"/>
  <c r="R30" i="108"/>
  <c r="S30" i="108"/>
  <c r="U30" i="108"/>
  <c r="W30" i="108"/>
  <c r="Y30" i="108"/>
  <c r="AC30" i="108"/>
  <c r="AD30" i="108"/>
  <c r="AF30" i="108"/>
  <c r="AH30" i="108"/>
  <c r="AI30" i="108"/>
  <c r="AJ30" i="108"/>
  <c r="AK30" i="108"/>
  <c r="AW30" i="108"/>
  <c r="AX30" i="108"/>
  <c r="AY30" i="108"/>
  <c r="BB30" i="108"/>
  <c r="BC30" i="108"/>
  <c r="BD30" i="108"/>
  <c r="BE30" i="108"/>
  <c r="BH30" i="108"/>
  <c r="BI30" i="108"/>
  <c r="B31" i="108"/>
  <c r="C31" i="108"/>
  <c r="F31" i="108"/>
  <c r="H31" i="108"/>
  <c r="J31" i="108"/>
  <c r="L31" i="108"/>
  <c r="N31" i="108"/>
  <c r="P31" i="108"/>
  <c r="Q31" i="108"/>
  <c r="R31" i="108"/>
  <c r="S31" i="108"/>
  <c r="U31" i="108"/>
  <c r="W31" i="108"/>
  <c r="Y31" i="108"/>
  <c r="AC31" i="108"/>
  <c r="AD31" i="108"/>
  <c r="AF31" i="108"/>
  <c r="AH31" i="108"/>
  <c r="AI31" i="108"/>
  <c r="AJ31" i="108"/>
  <c r="AK31" i="108"/>
  <c r="AW31" i="108"/>
  <c r="AX31" i="108"/>
  <c r="AY31" i="108"/>
  <c r="BB31" i="108"/>
  <c r="BC31" i="108"/>
  <c r="BD31" i="108"/>
  <c r="BE31" i="108"/>
  <c r="BH31" i="108"/>
  <c r="BI31" i="108"/>
  <c r="B32" i="108"/>
  <c r="C32" i="108"/>
  <c r="F32" i="108"/>
  <c r="H32" i="108"/>
  <c r="J32" i="108"/>
  <c r="L32" i="108"/>
  <c r="N32" i="108"/>
  <c r="P32" i="108"/>
  <c r="Q32" i="108"/>
  <c r="R32" i="108"/>
  <c r="S32" i="108"/>
  <c r="U32" i="108"/>
  <c r="W32" i="108"/>
  <c r="Y32" i="108"/>
  <c r="AC32" i="108"/>
  <c r="AD32" i="108"/>
  <c r="AF32" i="108"/>
  <c r="AH32" i="108"/>
  <c r="AI32" i="108"/>
  <c r="AJ32" i="108"/>
  <c r="AK32" i="108"/>
  <c r="AW32" i="108"/>
  <c r="AX32" i="108"/>
  <c r="AY32" i="108"/>
  <c r="BB32" i="108"/>
  <c r="BC32" i="108"/>
  <c r="BD32" i="108"/>
  <c r="BE32" i="108"/>
  <c r="BH32" i="108"/>
  <c r="BI32" i="108"/>
  <c r="B33" i="108"/>
  <c r="C33" i="108"/>
  <c r="F33" i="108"/>
  <c r="H33" i="108"/>
  <c r="J33" i="108"/>
  <c r="L33" i="108"/>
  <c r="N33" i="108"/>
  <c r="P33" i="108"/>
  <c r="Q33" i="108"/>
  <c r="R33" i="108"/>
  <c r="S33" i="108"/>
  <c r="U33" i="108"/>
  <c r="W33" i="108"/>
  <c r="Y33" i="108"/>
  <c r="AC33" i="108"/>
  <c r="AD33" i="108"/>
  <c r="AF33" i="108"/>
  <c r="AH33" i="108"/>
  <c r="AI33" i="108"/>
  <c r="AJ33" i="108"/>
  <c r="AK33" i="108"/>
  <c r="AW33" i="108"/>
  <c r="AX33" i="108"/>
  <c r="AY33" i="108"/>
  <c r="BB33" i="108"/>
  <c r="BC33" i="108"/>
  <c r="BD33" i="108"/>
  <c r="BE33" i="108"/>
  <c r="BH33" i="108"/>
  <c r="BI33" i="108"/>
  <c r="B34" i="108"/>
  <c r="C34" i="108"/>
  <c r="F34" i="108"/>
  <c r="H34" i="108"/>
  <c r="J34" i="108"/>
  <c r="L34" i="108"/>
  <c r="N34" i="108"/>
  <c r="P34" i="108"/>
  <c r="Q34" i="108"/>
  <c r="R34" i="108"/>
  <c r="S34" i="108"/>
  <c r="U34" i="108"/>
  <c r="W34" i="108"/>
  <c r="Y34" i="108"/>
  <c r="AC34" i="108"/>
  <c r="AD34" i="108"/>
  <c r="AF34" i="108"/>
  <c r="AH34" i="108"/>
  <c r="AI34" i="108"/>
  <c r="AJ34" i="108"/>
  <c r="AK34" i="108"/>
  <c r="AW34" i="108"/>
  <c r="AX34" i="108"/>
  <c r="AY34" i="108"/>
  <c r="BB34" i="108"/>
  <c r="BC34" i="108"/>
  <c r="BD34" i="108"/>
  <c r="BE34" i="108"/>
  <c r="BH34" i="108"/>
  <c r="BI34" i="108"/>
  <c r="B35" i="108"/>
  <c r="C35" i="108"/>
  <c r="F35" i="108"/>
  <c r="H35" i="108"/>
  <c r="J35" i="108"/>
  <c r="L35" i="108"/>
  <c r="N35" i="108"/>
  <c r="P35" i="108"/>
  <c r="Q35" i="108"/>
  <c r="R35" i="108"/>
  <c r="S35" i="108"/>
  <c r="U35" i="108"/>
  <c r="W35" i="108"/>
  <c r="Y35" i="108"/>
  <c r="AC35" i="108"/>
  <c r="AD35" i="108"/>
  <c r="AF35" i="108"/>
  <c r="AH35" i="108"/>
  <c r="AI35" i="108"/>
  <c r="AJ35" i="108"/>
  <c r="AK35" i="108"/>
  <c r="AW35" i="108"/>
  <c r="AX35" i="108"/>
  <c r="AY35" i="108"/>
  <c r="BB35" i="108"/>
  <c r="BC35" i="108"/>
  <c r="BD35" i="108"/>
  <c r="BE35" i="108"/>
  <c r="BH35" i="108"/>
  <c r="BI35" i="108"/>
  <c r="B36" i="108"/>
  <c r="C36" i="108"/>
  <c r="F36" i="108"/>
  <c r="H36" i="108"/>
  <c r="J36" i="108"/>
  <c r="L36" i="108"/>
  <c r="N36" i="108"/>
  <c r="P36" i="108"/>
  <c r="Q36" i="108"/>
  <c r="R36" i="108"/>
  <c r="S36" i="108"/>
  <c r="U36" i="108"/>
  <c r="W36" i="108"/>
  <c r="Y36" i="108"/>
  <c r="AC36" i="108"/>
  <c r="AD36" i="108"/>
  <c r="AF36" i="108"/>
  <c r="AH36" i="108"/>
  <c r="AI36" i="108"/>
  <c r="AJ36" i="108"/>
  <c r="AK36" i="108"/>
  <c r="AW36" i="108"/>
  <c r="AX36" i="108"/>
  <c r="AY36" i="108"/>
  <c r="BB36" i="108"/>
  <c r="BC36" i="108"/>
  <c r="BD36" i="108"/>
  <c r="BE36" i="108"/>
  <c r="BH36" i="108"/>
  <c r="BI36" i="108"/>
  <c r="B37" i="108"/>
  <c r="C37" i="108"/>
  <c r="F37" i="108"/>
  <c r="H37" i="108"/>
  <c r="J37" i="108"/>
  <c r="L37" i="108"/>
  <c r="N37" i="108"/>
  <c r="P37" i="108"/>
  <c r="Q37" i="108"/>
  <c r="R37" i="108"/>
  <c r="S37" i="108"/>
  <c r="U37" i="108"/>
  <c r="W37" i="108"/>
  <c r="Y37" i="108"/>
  <c r="AC37" i="108"/>
  <c r="AD37" i="108"/>
  <c r="AF37" i="108"/>
  <c r="AH37" i="108"/>
  <c r="AI37" i="108"/>
  <c r="AJ37" i="108"/>
  <c r="AK37" i="108"/>
  <c r="AW37" i="108"/>
  <c r="AX37" i="108"/>
  <c r="AY37" i="108"/>
  <c r="BB37" i="108"/>
  <c r="BC37" i="108"/>
  <c r="BD37" i="108"/>
  <c r="BE37" i="108"/>
  <c r="BH37" i="108"/>
  <c r="BI37" i="108"/>
  <c r="B38" i="108"/>
  <c r="C38" i="108"/>
  <c r="F38" i="108"/>
  <c r="H38" i="108"/>
  <c r="J38" i="108"/>
  <c r="L38" i="108"/>
  <c r="N38" i="108"/>
  <c r="P38" i="108"/>
  <c r="Q38" i="108"/>
  <c r="R38" i="108"/>
  <c r="S38" i="108"/>
  <c r="U38" i="108"/>
  <c r="W38" i="108"/>
  <c r="Y38" i="108"/>
  <c r="AC38" i="108"/>
  <c r="AD38" i="108"/>
  <c r="AF38" i="108"/>
  <c r="AH38" i="108"/>
  <c r="AI38" i="108"/>
  <c r="AJ38" i="108"/>
  <c r="AK38" i="108"/>
  <c r="AW38" i="108"/>
  <c r="AX38" i="108"/>
  <c r="AY38" i="108"/>
  <c r="BB38" i="108"/>
  <c r="BC38" i="108"/>
  <c r="BD38" i="108"/>
  <c r="BE38" i="108"/>
  <c r="BH38" i="108"/>
  <c r="BI38" i="108"/>
  <c r="B39" i="108"/>
  <c r="C39" i="108"/>
  <c r="F39" i="108"/>
  <c r="H39" i="108"/>
  <c r="J39" i="108"/>
  <c r="L39" i="108"/>
  <c r="N39" i="108"/>
  <c r="P39" i="108"/>
  <c r="Q39" i="108"/>
  <c r="R39" i="108"/>
  <c r="S39" i="108"/>
  <c r="U39" i="108"/>
  <c r="W39" i="108"/>
  <c r="Y39" i="108"/>
  <c r="AC39" i="108"/>
  <c r="AD39" i="108"/>
  <c r="AF39" i="108"/>
  <c r="AH39" i="108"/>
  <c r="AI39" i="108"/>
  <c r="AJ39" i="108"/>
  <c r="AK39" i="108"/>
  <c r="AW39" i="108"/>
  <c r="AX39" i="108"/>
  <c r="AY39" i="108"/>
  <c r="BB39" i="108"/>
  <c r="BC39" i="108"/>
  <c r="BD39" i="108"/>
  <c r="BE39" i="108"/>
  <c r="BH39" i="108"/>
  <c r="BI39" i="108"/>
  <c r="B40" i="108"/>
  <c r="C40" i="108"/>
  <c r="F40" i="108"/>
  <c r="H40" i="108"/>
  <c r="J40" i="108"/>
  <c r="L40" i="108"/>
  <c r="N40" i="108"/>
  <c r="P40" i="108"/>
  <c r="Q40" i="108"/>
  <c r="R40" i="108"/>
  <c r="S40" i="108"/>
  <c r="U40" i="108"/>
  <c r="W40" i="108"/>
  <c r="Y40" i="108"/>
  <c r="AC40" i="108"/>
  <c r="AD40" i="108"/>
  <c r="AF40" i="108"/>
  <c r="AH40" i="108"/>
  <c r="AI40" i="108"/>
  <c r="AJ40" i="108"/>
  <c r="AK40" i="108"/>
  <c r="AW40" i="108"/>
  <c r="AX40" i="108"/>
  <c r="AY40" i="108"/>
  <c r="BB40" i="108"/>
  <c r="BC40" i="108"/>
  <c r="BD40" i="108"/>
  <c r="BE40" i="108"/>
  <c r="BH40" i="108"/>
  <c r="BI40" i="108"/>
  <c r="B41" i="108"/>
  <c r="C41" i="108"/>
  <c r="F41" i="108"/>
  <c r="H41" i="108"/>
  <c r="J41" i="108"/>
  <c r="L41" i="108"/>
  <c r="N41" i="108"/>
  <c r="P41" i="108"/>
  <c r="Q41" i="108"/>
  <c r="R41" i="108"/>
  <c r="S41" i="108"/>
  <c r="U41" i="108"/>
  <c r="W41" i="108"/>
  <c r="Y41" i="108"/>
  <c r="AC41" i="108"/>
  <c r="AD41" i="108"/>
  <c r="AF41" i="108"/>
  <c r="AH41" i="108"/>
  <c r="AI41" i="108"/>
  <c r="AJ41" i="108"/>
  <c r="AK41" i="108"/>
  <c r="AW41" i="108"/>
  <c r="AX41" i="108"/>
  <c r="AY41" i="108"/>
  <c r="BB41" i="108"/>
  <c r="BC41" i="108"/>
  <c r="BD41" i="108"/>
  <c r="BE41" i="108"/>
  <c r="BH41" i="108"/>
  <c r="BI41" i="108"/>
  <c r="B42" i="108"/>
  <c r="C42" i="108"/>
  <c r="F42" i="108"/>
  <c r="H42" i="108"/>
  <c r="J42" i="108"/>
  <c r="L42" i="108"/>
  <c r="N42" i="108"/>
  <c r="P42" i="108"/>
  <c r="Q42" i="108"/>
  <c r="R42" i="108"/>
  <c r="S42" i="108"/>
  <c r="U42" i="108"/>
  <c r="W42" i="108"/>
  <c r="Y42" i="108"/>
  <c r="AC42" i="108"/>
  <c r="AD42" i="108"/>
  <c r="AF42" i="108"/>
  <c r="AH42" i="108"/>
  <c r="AI42" i="108"/>
  <c r="AJ42" i="108"/>
  <c r="AK42" i="108"/>
  <c r="AW42" i="108"/>
  <c r="AX42" i="108"/>
  <c r="AY42" i="108"/>
  <c r="BB42" i="108"/>
  <c r="BC42" i="108"/>
  <c r="BD42" i="108"/>
  <c r="BE42" i="108"/>
  <c r="BH42" i="108"/>
  <c r="BI42" i="108"/>
  <c r="B43" i="108"/>
  <c r="C43" i="108"/>
  <c r="F43" i="108"/>
  <c r="H43" i="108"/>
  <c r="J43" i="108"/>
  <c r="L43" i="108"/>
  <c r="N43" i="108"/>
  <c r="P43" i="108"/>
  <c r="Q43" i="108"/>
  <c r="R43" i="108"/>
  <c r="S43" i="108"/>
  <c r="U43" i="108"/>
  <c r="W43" i="108"/>
  <c r="Y43" i="108"/>
  <c r="AC43" i="108"/>
  <c r="AD43" i="108"/>
  <c r="AF43" i="108"/>
  <c r="AH43" i="108"/>
  <c r="AI43" i="108"/>
  <c r="AJ43" i="108"/>
  <c r="AK43" i="108"/>
  <c r="AW43" i="108"/>
  <c r="AX43" i="108"/>
  <c r="AY43" i="108"/>
  <c r="BB43" i="108"/>
  <c r="BC43" i="108"/>
  <c r="BD43" i="108"/>
  <c r="BE43" i="108"/>
  <c r="BH43" i="108"/>
  <c r="BI43" i="108"/>
  <c r="B44" i="108"/>
  <c r="C44" i="108"/>
  <c r="F44" i="108"/>
  <c r="H44" i="108"/>
  <c r="J44" i="108"/>
  <c r="L44" i="108"/>
  <c r="N44" i="108"/>
  <c r="P44" i="108"/>
  <c r="Q44" i="108"/>
  <c r="R44" i="108"/>
  <c r="S44" i="108"/>
  <c r="U44" i="108"/>
  <c r="W44" i="108"/>
  <c r="Y44" i="108"/>
  <c r="AC44" i="108"/>
  <c r="AD44" i="108"/>
  <c r="AF44" i="108"/>
  <c r="AH44" i="108"/>
  <c r="AI44" i="108"/>
  <c r="AJ44" i="108"/>
  <c r="AK44" i="108"/>
  <c r="AW44" i="108"/>
  <c r="AX44" i="108"/>
  <c r="AY44" i="108"/>
  <c r="BB44" i="108"/>
  <c r="BC44" i="108"/>
  <c r="BD44" i="108"/>
  <c r="BE44" i="108"/>
  <c r="BH44" i="108"/>
  <c r="BI44" i="108"/>
  <c r="B45" i="108"/>
  <c r="C45" i="108"/>
  <c r="F45" i="108"/>
  <c r="H45" i="108"/>
  <c r="J45" i="108"/>
  <c r="L45" i="108"/>
  <c r="N45" i="108"/>
  <c r="P45" i="108"/>
  <c r="Q45" i="108"/>
  <c r="R45" i="108"/>
  <c r="S45" i="108"/>
  <c r="U45" i="108"/>
  <c r="W45" i="108"/>
  <c r="Y45" i="108"/>
  <c r="AC45" i="108"/>
  <c r="AD45" i="108"/>
  <c r="AF45" i="108"/>
  <c r="AH45" i="108"/>
  <c r="AI45" i="108"/>
  <c r="AJ45" i="108"/>
  <c r="AK45" i="108"/>
  <c r="AW45" i="108"/>
  <c r="AX45" i="108"/>
  <c r="AY45" i="108"/>
  <c r="BB45" i="108"/>
  <c r="BC45" i="108"/>
  <c r="BD45" i="108"/>
  <c r="BE45" i="108"/>
  <c r="BH45" i="108"/>
  <c r="BI45" i="108"/>
  <c r="B46" i="108"/>
  <c r="C46" i="108"/>
  <c r="F46" i="108"/>
  <c r="H46" i="108"/>
  <c r="J46" i="108"/>
  <c r="L46" i="108"/>
  <c r="N46" i="108"/>
  <c r="P46" i="108"/>
  <c r="Q46" i="108"/>
  <c r="R46" i="108"/>
  <c r="S46" i="108"/>
  <c r="U46" i="108"/>
  <c r="W46" i="108"/>
  <c r="Y46" i="108"/>
  <c r="AC46" i="108"/>
  <c r="AD46" i="108"/>
  <c r="AF46" i="108"/>
  <c r="AH46" i="108"/>
  <c r="AI46" i="108"/>
  <c r="AJ46" i="108"/>
  <c r="AK46" i="108"/>
  <c r="AW46" i="108"/>
  <c r="AX46" i="108"/>
  <c r="AY46" i="108"/>
  <c r="BB46" i="108"/>
  <c r="BC46" i="108"/>
  <c r="BD46" i="108"/>
  <c r="BE46" i="108"/>
  <c r="BH46" i="108"/>
  <c r="BI46" i="108"/>
  <c r="B47" i="108"/>
  <c r="C47" i="108"/>
  <c r="F47" i="108"/>
  <c r="H47" i="108"/>
  <c r="J47" i="108"/>
  <c r="L47" i="108"/>
  <c r="N47" i="108"/>
  <c r="P47" i="108"/>
  <c r="Q47" i="108"/>
  <c r="R47" i="108"/>
  <c r="S47" i="108"/>
  <c r="U47" i="108"/>
  <c r="W47" i="108"/>
  <c r="Y47" i="108"/>
  <c r="AC47" i="108"/>
  <c r="AD47" i="108"/>
  <c r="AF47" i="108"/>
  <c r="AH47" i="108"/>
  <c r="AI47" i="108"/>
  <c r="AJ47" i="108"/>
  <c r="AK47" i="108"/>
  <c r="AW47" i="108"/>
  <c r="AX47" i="108"/>
  <c r="AY47" i="108"/>
  <c r="BB47" i="108"/>
  <c r="BC47" i="108"/>
  <c r="BD47" i="108"/>
  <c r="BE47" i="108"/>
  <c r="BH47" i="108"/>
  <c r="BI47" i="108"/>
  <c r="B48" i="108"/>
  <c r="C48" i="108"/>
  <c r="F48" i="108"/>
  <c r="H48" i="108"/>
  <c r="J48" i="108"/>
  <c r="L48" i="108"/>
  <c r="N48" i="108"/>
  <c r="P48" i="108"/>
  <c r="Q48" i="108"/>
  <c r="R48" i="108"/>
  <c r="S48" i="108"/>
  <c r="U48" i="108"/>
  <c r="W48" i="108"/>
  <c r="Y48" i="108"/>
  <c r="AC48" i="108"/>
  <c r="AD48" i="108"/>
  <c r="AF48" i="108"/>
  <c r="AH48" i="108"/>
  <c r="AI48" i="108"/>
  <c r="AJ48" i="108"/>
  <c r="AK48" i="108"/>
  <c r="AW48" i="108"/>
  <c r="AX48" i="108"/>
  <c r="AY48" i="108"/>
  <c r="BB48" i="108"/>
  <c r="BC48" i="108"/>
  <c r="BD48" i="108"/>
  <c r="BE48" i="108"/>
  <c r="BH48" i="108"/>
  <c r="BI48" i="108"/>
  <c r="B49" i="108"/>
  <c r="C49" i="108"/>
  <c r="F49" i="108"/>
  <c r="H49" i="108"/>
  <c r="J49" i="108"/>
  <c r="L49" i="108"/>
  <c r="N49" i="108"/>
  <c r="P49" i="108"/>
  <c r="Q49" i="108"/>
  <c r="R49" i="108"/>
  <c r="S49" i="108"/>
  <c r="U49" i="108"/>
  <c r="W49" i="108"/>
  <c r="Y49" i="108"/>
  <c r="AC49" i="108"/>
  <c r="AD49" i="108"/>
  <c r="AF49" i="108"/>
  <c r="AH49" i="108"/>
  <c r="AI49" i="108"/>
  <c r="AJ49" i="108"/>
  <c r="AK49" i="108"/>
  <c r="AW49" i="108"/>
  <c r="AX49" i="108"/>
  <c r="AY49" i="108"/>
  <c r="BB49" i="108"/>
  <c r="BC49" i="108"/>
  <c r="BD49" i="108"/>
  <c r="BE49" i="108"/>
  <c r="BH49" i="108"/>
  <c r="BI49" i="108"/>
  <c r="B50" i="108"/>
  <c r="C50" i="108"/>
  <c r="F50" i="108"/>
  <c r="H50" i="108"/>
  <c r="J50" i="108"/>
  <c r="L50" i="108"/>
  <c r="N50" i="108"/>
  <c r="P50" i="108"/>
  <c r="Q50" i="108"/>
  <c r="R50" i="108"/>
  <c r="S50" i="108"/>
  <c r="U50" i="108"/>
  <c r="W50" i="108"/>
  <c r="Y50" i="108"/>
  <c r="AC50" i="108"/>
  <c r="AD50" i="108"/>
  <c r="AF50" i="108"/>
  <c r="AH50" i="108"/>
  <c r="AI50" i="108"/>
  <c r="AJ50" i="108"/>
  <c r="AK50" i="108"/>
  <c r="AW50" i="108"/>
  <c r="AX50" i="108"/>
  <c r="AY50" i="108"/>
  <c r="BB50" i="108"/>
  <c r="BC50" i="108"/>
  <c r="BD50" i="108"/>
  <c r="BE50" i="108"/>
  <c r="BH50" i="108"/>
  <c r="BI50" i="108"/>
  <c r="C51" i="108"/>
  <c r="D51" i="108"/>
  <c r="E51" i="108"/>
  <c r="F51" i="108"/>
  <c r="G51" i="108"/>
  <c r="H51" i="108"/>
  <c r="I51" i="108"/>
  <c r="J51" i="108"/>
  <c r="K51" i="108"/>
  <c r="L51" i="108"/>
  <c r="M51" i="108"/>
  <c r="N51" i="108"/>
  <c r="O51" i="108"/>
  <c r="P51" i="108"/>
  <c r="Q51" i="108"/>
  <c r="R51" i="108"/>
  <c r="S51" i="108"/>
  <c r="T51" i="108"/>
  <c r="U51" i="108"/>
  <c r="V51" i="108"/>
  <c r="W51" i="108"/>
  <c r="X51" i="108"/>
  <c r="Y51" i="108"/>
  <c r="AD51" i="108"/>
  <c r="AE51" i="108"/>
  <c r="AF51" i="108"/>
  <c r="AG51" i="108"/>
  <c r="AH51" i="108"/>
  <c r="AI51" i="108"/>
  <c r="AJ51" i="108"/>
  <c r="AK51" i="108"/>
  <c r="AX51" i="108"/>
  <c r="AY51" i="108"/>
  <c r="AZ51" i="108"/>
  <c r="BA51" i="108"/>
  <c r="BB51" i="108"/>
  <c r="BC51" i="108"/>
  <c r="BD51" i="108"/>
  <c r="BE51" i="108"/>
  <c r="BF51" i="108"/>
  <c r="BG51" i="108"/>
  <c r="BH51" i="108"/>
  <c r="BI51" i="108"/>
  <c r="AN10" i="107"/>
  <c r="AO10" i="107"/>
  <c r="AQ10" i="107"/>
  <c r="AS10" i="107"/>
  <c r="AT10" i="107"/>
  <c r="B11" i="107"/>
  <c r="C11" i="107"/>
  <c r="F11" i="107"/>
  <c r="H11" i="107"/>
  <c r="J11" i="107"/>
  <c r="L11" i="107"/>
  <c r="N11" i="107"/>
  <c r="P11" i="107"/>
  <c r="Q11" i="107"/>
  <c r="R11" i="107"/>
  <c r="S11" i="107"/>
  <c r="U11" i="107"/>
  <c r="W11" i="107"/>
  <c r="Y11" i="107"/>
  <c r="AC11" i="107"/>
  <c r="AD11" i="107"/>
  <c r="AF11" i="107"/>
  <c r="AH11" i="107"/>
  <c r="AI11" i="107"/>
  <c r="AJ11" i="107"/>
  <c r="AK11" i="107"/>
  <c r="AN11" i="107"/>
  <c r="AO11" i="107"/>
  <c r="AQ11" i="107"/>
  <c r="AS11" i="107"/>
  <c r="AT11" i="107"/>
  <c r="AW11" i="107"/>
  <c r="AX11" i="107"/>
  <c r="AY11" i="107"/>
  <c r="BB11" i="107"/>
  <c r="BC11" i="107"/>
  <c r="BD11" i="107"/>
  <c r="BE11" i="107"/>
  <c r="BH11" i="107"/>
  <c r="BI11" i="107"/>
  <c r="B12" i="107"/>
  <c r="C12" i="107"/>
  <c r="F12" i="107"/>
  <c r="H12" i="107"/>
  <c r="J12" i="107"/>
  <c r="L12" i="107"/>
  <c r="N12" i="107"/>
  <c r="P12" i="107"/>
  <c r="Q12" i="107"/>
  <c r="R12" i="107"/>
  <c r="S12" i="107"/>
  <c r="U12" i="107"/>
  <c r="W12" i="107"/>
  <c r="Y12" i="107"/>
  <c r="AC12" i="107"/>
  <c r="AD12" i="107"/>
  <c r="AF12" i="107"/>
  <c r="AH12" i="107"/>
  <c r="AI12" i="107"/>
  <c r="AJ12" i="107"/>
  <c r="AK12" i="107"/>
  <c r="AN12" i="107"/>
  <c r="AO12" i="107"/>
  <c r="AQ12" i="107"/>
  <c r="AS12" i="107"/>
  <c r="AT12" i="107"/>
  <c r="AW12" i="107"/>
  <c r="AX12" i="107"/>
  <c r="AY12" i="107"/>
  <c r="BB12" i="107"/>
  <c r="BC12" i="107"/>
  <c r="BD12" i="107"/>
  <c r="BE12" i="107"/>
  <c r="BH12" i="107"/>
  <c r="BI12" i="107"/>
  <c r="B13" i="107"/>
  <c r="C13" i="107"/>
  <c r="F13" i="107"/>
  <c r="H13" i="107"/>
  <c r="J13" i="107"/>
  <c r="L13" i="107"/>
  <c r="N13" i="107"/>
  <c r="P13" i="107"/>
  <c r="Q13" i="107"/>
  <c r="R13" i="107"/>
  <c r="S13" i="107"/>
  <c r="U13" i="107"/>
  <c r="W13" i="107"/>
  <c r="Y13" i="107"/>
  <c r="AC13" i="107"/>
  <c r="AD13" i="107"/>
  <c r="AF13" i="107"/>
  <c r="AH13" i="107"/>
  <c r="AI13" i="107"/>
  <c r="AJ13" i="107"/>
  <c r="AK13" i="107"/>
  <c r="AO13" i="107"/>
  <c r="AP13" i="107"/>
  <c r="AQ13" i="107"/>
  <c r="AR13" i="107"/>
  <c r="AS13" i="107"/>
  <c r="AT13" i="107"/>
  <c r="AW13" i="107"/>
  <c r="AX13" i="107"/>
  <c r="AY13" i="107"/>
  <c r="BB13" i="107"/>
  <c r="BC13" i="107"/>
  <c r="BD13" i="107"/>
  <c r="BE13" i="107"/>
  <c r="BH13" i="107"/>
  <c r="BI13" i="107"/>
  <c r="B14" i="107"/>
  <c r="C14" i="107"/>
  <c r="F14" i="107"/>
  <c r="H14" i="107"/>
  <c r="J14" i="107"/>
  <c r="L14" i="107"/>
  <c r="N14" i="107"/>
  <c r="P14" i="107"/>
  <c r="Q14" i="107"/>
  <c r="R14" i="107"/>
  <c r="S14" i="107"/>
  <c r="U14" i="107"/>
  <c r="W14" i="107"/>
  <c r="Y14" i="107"/>
  <c r="AC14" i="107"/>
  <c r="AD14" i="107"/>
  <c r="AF14" i="107"/>
  <c r="AH14" i="107"/>
  <c r="AI14" i="107"/>
  <c r="AJ14" i="107"/>
  <c r="AK14" i="107"/>
  <c r="AT14" i="107"/>
  <c r="AW14" i="107"/>
  <c r="AX14" i="107"/>
  <c r="AY14" i="107"/>
  <c r="BB14" i="107"/>
  <c r="BC14" i="107"/>
  <c r="BD14" i="107"/>
  <c r="BE14" i="107"/>
  <c r="BH14" i="107"/>
  <c r="BI14" i="107"/>
  <c r="B15" i="107"/>
  <c r="C15" i="107"/>
  <c r="F15" i="107"/>
  <c r="H15" i="107"/>
  <c r="J15" i="107"/>
  <c r="L15" i="107"/>
  <c r="N15" i="107"/>
  <c r="P15" i="107"/>
  <c r="Q15" i="107"/>
  <c r="R15" i="107"/>
  <c r="S15" i="107"/>
  <c r="U15" i="107"/>
  <c r="W15" i="107"/>
  <c r="Y15" i="107"/>
  <c r="AC15" i="107"/>
  <c r="AD15" i="107"/>
  <c r="AF15" i="107"/>
  <c r="AH15" i="107"/>
  <c r="AI15" i="107"/>
  <c r="AJ15" i="107"/>
  <c r="AK15" i="107"/>
  <c r="AW15" i="107"/>
  <c r="AX15" i="107"/>
  <c r="AY15" i="107"/>
  <c r="BB15" i="107"/>
  <c r="BC15" i="107"/>
  <c r="BD15" i="107"/>
  <c r="BE15" i="107"/>
  <c r="BH15" i="107"/>
  <c r="BI15" i="107"/>
  <c r="B16" i="107"/>
  <c r="C16" i="107"/>
  <c r="F16" i="107"/>
  <c r="H16" i="107"/>
  <c r="J16" i="107"/>
  <c r="L16" i="107"/>
  <c r="N16" i="107"/>
  <c r="P16" i="107"/>
  <c r="Q16" i="107"/>
  <c r="R16" i="107"/>
  <c r="S16" i="107"/>
  <c r="U16" i="107"/>
  <c r="W16" i="107"/>
  <c r="Y16" i="107"/>
  <c r="AC16" i="107"/>
  <c r="AD16" i="107"/>
  <c r="AF16" i="107"/>
  <c r="AH16" i="107"/>
  <c r="AI16" i="107"/>
  <c r="AJ16" i="107"/>
  <c r="AK16" i="107"/>
  <c r="AW16" i="107"/>
  <c r="AX16" i="107"/>
  <c r="AY16" i="107"/>
  <c r="BB16" i="107"/>
  <c r="BC16" i="107"/>
  <c r="BD16" i="107"/>
  <c r="BE16" i="107"/>
  <c r="BH16" i="107"/>
  <c r="BI16" i="107"/>
  <c r="B17" i="107"/>
  <c r="C17" i="107"/>
  <c r="F17" i="107"/>
  <c r="H17" i="107"/>
  <c r="J17" i="107"/>
  <c r="L17" i="107"/>
  <c r="N17" i="107"/>
  <c r="P17" i="107"/>
  <c r="Q17" i="107"/>
  <c r="R17" i="107"/>
  <c r="S17" i="107"/>
  <c r="U17" i="107"/>
  <c r="W17" i="107"/>
  <c r="Y17" i="107"/>
  <c r="AC17" i="107"/>
  <c r="AD17" i="107"/>
  <c r="AF17" i="107"/>
  <c r="AH17" i="107"/>
  <c r="AI17" i="107"/>
  <c r="AJ17" i="107"/>
  <c r="AK17" i="107"/>
  <c r="AW17" i="107"/>
  <c r="AX17" i="107"/>
  <c r="AY17" i="107"/>
  <c r="BB17" i="107"/>
  <c r="BC17" i="107"/>
  <c r="BD17" i="107"/>
  <c r="BE17" i="107"/>
  <c r="BH17" i="107"/>
  <c r="BI17" i="107"/>
  <c r="B18" i="107"/>
  <c r="C18" i="107"/>
  <c r="F18" i="107"/>
  <c r="H18" i="107"/>
  <c r="J18" i="107"/>
  <c r="L18" i="107"/>
  <c r="N18" i="107"/>
  <c r="P18" i="107"/>
  <c r="Q18" i="107"/>
  <c r="R18" i="107"/>
  <c r="S18" i="107"/>
  <c r="U18" i="107"/>
  <c r="W18" i="107"/>
  <c r="Y18" i="107"/>
  <c r="AC18" i="107"/>
  <c r="AD18" i="107"/>
  <c r="AF18" i="107"/>
  <c r="AH18" i="107"/>
  <c r="AI18" i="107"/>
  <c r="AJ18" i="107"/>
  <c r="AK18" i="107"/>
  <c r="AW18" i="107"/>
  <c r="AX18" i="107"/>
  <c r="AY18" i="107"/>
  <c r="BB18" i="107"/>
  <c r="BC18" i="107"/>
  <c r="BD18" i="107"/>
  <c r="BE18" i="107"/>
  <c r="BH18" i="107"/>
  <c r="BI18" i="107"/>
  <c r="B19" i="107"/>
  <c r="C19" i="107"/>
  <c r="F19" i="107"/>
  <c r="H19" i="107"/>
  <c r="J19" i="107"/>
  <c r="L19" i="107"/>
  <c r="N19" i="107"/>
  <c r="P19" i="107"/>
  <c r="Q19" i="107"/>
  <c r="R19" i="107"/>
  <c r="S19" i="107"/>
  <c r="U19" i="107"/>
  <c r="W19" i="107"/>
  <c r="Y19" i="107"/>
  <c r="AC19" i="107"/>
  <c r="AD19" i="107"/>
  <c r="AF19" i="107"/>
  <c r="AH19" i="107"/>
  <c r="AI19" i="107"/>
  <c r="AJ19" i="107"/>
  <c r="AK19" i="107"/>
  <c r="AW19" i="107"/>
  <c r="AX19" i="107"/>
  <c r="AY19" i="107"/>
  <c r="BB19" i="107"/>
  <c r="BC19" i="107"/>
  <c r="BD19" i="107"/>
  <c r="BE19" i="107"/>
  <c r="BH19" i="107"/>
  <c r="BI19" i="107"/>
  <c r="B20" i="107"/>
  <c r="C20" i="107"/>
  <c r="F20" i="107"/>
  <c r="H20" i="107"/>
  <c r="J20" i="107"/>
  <c r="L20" i="107"/>
  <c r="N20" i="107"/>
  <c r="P20" i="107"/>
  <c r="Q20" i="107"/>
  <c r="R20" i="107"/>
  <c r="S20" i="107"/>
  <c r="U20" i="107"/>
  <c r="W20" i="107"/>
  <c r="Y20" i="107"/>
  <c r="AC20" i="107"/>
  <c r="AD20" i="107"/>
  <c r="AF20" i="107"/>
  <c r="AH20" i="107"/>
  <c r="AI20" i="107"/>
  <c r="AJ20" i="107"/>
  <c r="AK20" i="107"/>
  <c r="AW20" i="107"/>
  <c r="AX20" i="107"/>
  <c r="AY20" i="107"/>
  <c r="BB20" i="107"/>
  <c r="BC20" i="107"/>
  <c r="BD20" i="107"/>
  <c r="BE20" i="107"/>
  <c r="BH20" i="107"/>
  <c r="BI20" i="107"/>
  <c r="B21" i="107"/>
  <c r="C21" i="107"/>
  <c r="F21" i="107"/>
  <c r="H21" i="107"/>
  <c r="J21" i="107"/>
  <c r="L21" i="107"/>
  <c r="N21" i="107"/>
  <c r="P21" i="107"/>
  <c r="Q21" i="107"/>
  <c r="R21" i="107"/>
  <c r="S21" i="107"/>
  <c r="U21" i="107"/>
  <c r="W21" i="107"/>
  <c r="Y21" i="107"/>
  <c r="AC21" i="107"/>
  <c r="AD21" i="107"/>
  <c r="AF21" i="107"/>
  <c r="AH21" i="107"/>
  <c r="AI21" i="107"/>
  <c r="AJ21" i="107"/>
  <c r="AK21" i="107"/>
  <c r="AW21" i="107"/>
  <c r="AX21" i="107"/>
  <c r="AY21" i="107"/>
  <c r="BB21" i="107"/>
  <c r="BC21" i="107"/>
  <c r="BD21" i="107"/>
  <c r="BE21" i="107"/>
  <c r="BH21" i="107"/>
  <c r="BI21" i="107"/>
  <c r="B22" i="107"/>
  <c r="C22" i="107"/>
  <c r="F22" i="107"/>
  <c r="H22" i="107"/>
  <c r="J22" i="107"/>
  <c r="L22" i="107"/>
  <c r="N22" i="107"/>
  <c r="P22" i="107"/>
  <c r="Q22" i="107"/>
  <c r="R22" i="107"/>
  <c r="S22" i="107"/>
  <c r="U22" i="107"/>
  <c r="W22" i="107"/>
  <c r="Y22" i="107"/>
  <c r="AC22" i="107"/>
  <c r="AD22" i="107"/>
  <c r="AF22" i="107"/>
  <c r="AH22" i="107"/>
  <c r="AI22" i="107"/>
  <c r="AJ22" i="107"/>
  <c r="AK22" i="107"/>
  <c r="AW22" i="107"/>
  <c r="AX22" i="107"/>
  <c r="AY22" i="107"/>
  <c r="BB22" i="107"/>
  <c r="BC22" i="107"/>
  <c r="BD22" i="107"/>
  <c r="BE22" i="107"/>
  <c r="BH22" i="107"/>
  <c r="BI22" i="107"/>
  <c r="B23" i="107"/>
  <c r="C23" i="107"/>
  <c r="F23" i="107"/>
  <c r="H23" i="107"/>
  <c r="J23" i="107"/>
  <c r="L23" i="107"/>
  <c r="N23" i="107"/>
  <c r="P23" i="107"/>
  <c r="Q23" i="107"/>
  <c r="R23" i="107"/>
  <c r="S23" i="107"/>
  <c r="U23" i="107"/>
  <c r="W23" i="107"/>
  <c r="Y23" i="107"/>
  <c r="AC23" i="107"/>
  <c r="AD23" i="107"/>
  <c r="AF23" i="107"/>
  <c r="AH23" i="107"/>
  <c r="AI23" i="107"/>
  <c r="AJ23" i="107"/>
  <c r="AK23" i="107"/>
  <c r="AW23" i="107"/>
  <c r="AX23" i="107"/>
  <c r="AY23" i="107"/>
  <c r="BB23" i="107"/>
  <c r="BC23" i="107"/>
  <c r="BD23" i="107"/>
  <c r="BE23" i="107"/>
  <c r="BH23" i="107"/>
  <c r="BI23" i="107"/>
  <c r="B24" i="107"/>
  <c r="C24" i="107"/>
  <c r="F24" i="107"/>
  <c r="H24" i="107"/>
  <c r="J24" i="107"/>
  <c r="L24" i="107"/>
  <c r="N24" i="107"/>
  <c r="P24" i="107"/>
  <c r="Q24" i="107"/>
  <c r="R24" i="107"/>
  <c r="S24" i="107"/>
  <c r="U24" i="107"/>
  <c r="W24" i="107"/>
  <c r="Y24" i="107"/>
  <c r="AC24" i="107"/>
  <c r="AD24" i="107"/>
  <c r="AF24" i="107"/>
  <c r="AH24" i="107"/>
  <c r="AI24" i="107"/>
  <c r="AJ24" i="107"/>
  <c r="AK24" i="107"/>
  <c r="AW24" i="107"/>
  <c r="AX24" i="107"/>
  <c r="AY24" i="107"/>
  <c r="BB24" i="107"/>
  <c r="BC24" i="107"/>
  <c r="BD24" i="107"/>
  <c r="BE24" i="107"/>
  <c r="BH24" i="107"/>
  <c r="BI24" i="107"/>
  <c r="B25" i="107"/>
  <c r="C25" i="107"/>
  <c r="F25" i="107"/>
  <c r="H25" i="107"/>
  <c r="J25" i="107"/>
  <c r="L25" i="107"/>
  <c r="N25" i="107"/>
  <c r="P25" i="107"/>
  <c r="Q25" i="107"/>
  <c r="R25" i="107"/>
  <c r="S25" i="107"/>
  <c r="U25" i="107"/>
  <c r="W25" i="107"/>
  <c r="Y25" i="107"/>
  <c r="AC25" i="107"/>
  <c r="AD25" i="107"/>
  <c r="AF25" i="107"/>
  <c r="AH25" i="107"/>
  <c r="AI25" i="107"/>
  <c r="AJ25" i="107"/>
  <c r="AK25" i="107"/>
  <c r="AW25" i="107"/>
  <c r="AX25" i="107"/>
  <c r="AY25" i="107"/>
  <c r="BB25" i="107"/>
  <c r="BC25" i="107"/>
  <c r="BD25" i="107"/>
  <c r="BE25" i="107"/>
  <c r="BH25" i="107"/>
  <c r="BI25" i="107"/>
  <c r="B26" i="107"/>
  <c r="C26" i="107"/>
  <c r="F26" i="107"/>
  <c r="H26" i="107"/>
  <c r="J26" i="107"/>
  <c r="L26" i="107"/>
  <c r="N26" i="107"/>
  <c r="P26" i="107"/>
  <c r="Q26" i="107"/>
  <c r="R26" i="107"/>
  <c r="S26" i="107"/>
  <c r="U26" i="107"/>
  <c r="W26" i="107"/>
  <c r="Y26" i="107"/>
  <c r="AC26" i="107"/>
  <c r="AD26" i="107"/>
  <c r="AF26" i="107"/>
  <c r="AH26" i="107"/>
  <c r="AI26" i="107"/>
  <c r="AJ26" i="107"/>
  <c r="AK26" i="107"/>
  <c r="AW26" i="107"/>
  <c r="AX26" i="107"/>
  <c r="AY26" i="107"/>
  <c r="BB26" i="107"/>
  <c r="BC26" i="107"/>
  <c r="BD26" i="107"/>
  <c r="BE26" i="107"/>
  <c r="BH26" i="107"/>
  <c r="BI26" i="107"/>
  <c r="B27" i="107"/>
  <c r="C27" i="107"/>
  <c r="F27" i="107"/>
  <c r="H27" i="107"/>
  <c r="J27" i="107"/>
  <c r="L27" i="107"/>
  <c r="N27" i="107"/>
  <c r="P27" i="107"/>
  <c r="Q27" i="107"/>
  <c r="R27" i="107"/>
  <c r="S27" i="107"/>
  <c r="U27" i="107"/>
  <c r="W27" i="107"/>
  <c r="Y27" i="107"/>
  <c r="AC27" i="107"/>
  <c r="AD27" i="107"/>
  <c r="AF27" i="107"/>
  <c r="AH27" i="107"/>
  <c r="AI27" i="107"/>
  <c r="AJ27" i="107"/>
  <c r="AK27" i="107"/>
  <c r="AW27" i="107"/>
  <c r="AX27" i="107"/>
  <c r="AY27" i="107"/>
  <c r="BB27" i="107"/>
  <c r="BC27" i="107"/>
  <c r="BD27" i="107"/>
  <c r="BE27" i="107"/>
  <c r="BH27" i="107"/>
  <c r="BI27" i="107"/>
  <c r="B28" i="107"/>
  <c r="C28" i="107"/>
  <c r="F28" i="107"/>
  <c r="H28" i="107"/>
  <c r="J28" i="107"/>
  <c r="L28" i="107"/>
  <c r="N28" i="107"/>
  <c r="P28" i="107"/>
  <c r="Q28" i="107"/>
  <c r="R28" i="107"/>
  <c r="S28" i="107"/>
  <c r="U28" i="107"/>
  <c r="W28" i="107"/>
  <c r="Y28" i="107"/>
  <c r="AC28" i="107"/>
  <c r="AD28" i="107"/>
  <c r="AF28" i="107"/>
  <c r="AH28" i="107"/>
  <c r="AI28" i="107"/>
  <c r="AJ28" i="107"/>
  <c r="AK28" i="107"/>
  <c r="AW28" i="107"/>
  <c r="AX28" i="107"/>
  <c r="AY28" i="107"/>
  <c r="BB28" i="107"/>
  <c r="BC28" i="107"/>
  <c r="BD28" i="107"/>
  <c r="BE28" i="107"/>
  <c r="BH28" i="107"/>
  <c r="BI28" i="107"/>
  <c r="B29" i="107"/>
  <c r="C29" i="107"/>
  <c r="F29" i="107"/>
  <c r="H29" i="107"/>
  <c r="J29" i="107"/>
  <c r="L29" i="107"/>
  <c r="N29" i="107"/>
  <c r="P29" i="107"/>
  <c r="Q29" i="107"/>
  <c r="R29" i="107"/>
  <c r="S29" i="107"/>
  <c r="U29" i="107"/>
  <c r="W29" i="107"/>
  <c r="Y29" i="107"/>
  <c r="AC29" i="107"/>
  <c r="AD29" i="107"/>
  <c r="AF29" i="107"/>
  <c r="AH29" i="107"/>
  <c r="AI29" i="107"/>
  <c r="AJ29" i="107"/>
  <c r="AK29" i="107"/>
  <c r="AW29" i="107"/>
  <c r="AX29" i="107"/>
  <c r="AY29" i="107"/>
  <c r="BB29" i="107"/>
  <c r="BC29" i="107"/>
  <c r="BD29" i="107"/>
  <c r="BE29" i="107"/>
  <c r="BH29" i="107"/>
  <c r="BI29" i="107"/>
  <c r="B30" i="107"/>
  <c r="C30" i="107"/>
  <c r="F30" i="107"/>
  <c r="H30" i="107"/>
  <c r="J30" i="107"/>
  <c r="L30" i="107"/>
  <c r="N30" i="107"/>
  <c r="P30" i="107"/>
  <c r="Q30" i="107"/>
  <c r="R30" i="107"/>
  <c r="S30" i="107"/>
  <c r="U30" i="107"/>
  <c r="W30" i="107"/>
  <c r="Y30" i="107"/>
  <c r="AC30" i="107"/>
  <c r="AD30" i="107"/>
  <c r="AF30" i="107"/>
  <c r="AH30" i="107"/>
  <c r="AI30" i="107"/>
  <c r="AJ30" i="107"/>
  <c r="AK30" i="107"/>
  <c r="AW30" i="107"/>
  <c r="AX30" i="107"/>
  <c r="AY30" i="107"/>
  <c r="BB30" i="107"/>
  <c r="BC30" i="107"/>
  <c r="BD30" i="107"/>
  <c r="BE30" i="107"/>
  <c r="BH30" i="107"/>
  <c r="BI30" i="107"/>
  <c r="B31" i="107"/>
  <c r="C31" i="107"/>
  <c r="F31" i="107"/>
  <c r="H31" i="107"/>
  <c r="J31" i="107"/>
  <c r="L31" i="107"/>
  <c r="N31" i="107"/>
  <c r="P31" i="107"/>
  <c r="Q31" i="107"/>
  <c r="R31" i="107"/>
  <c r="S31" i="107"/>
  <c r="U31" i="107"/>
  <c r="W31" i="107"/>
  <c r="Y31" i="107"/>
  <c r="AC31" i="107"/>
  <c r="AD31" i="107"/>
  <c r="AF31" i="107"/>
  <c r="AH31" i="107"/>
  <c r="AI31" i="107"/>
  <c r="AJ31" i="107"/>
  <c r="AK31" i="107"/>
  <c r="AW31" i="107"/>
  <c r="AX31" i="107"/>
  <c r="AY31" i="107"/>
  <c r="BB31" i="107"/>
  <c r="BC31" i="107"/>
  <c r="BD31" i="107"/>
  <c r="BE31" i="107"/>
  <c r="BH31" i="107"/>
  <c r="BI31" i="107"/>
  <c r="B32" i="107"/>
  <c r="C32" i="107"/>
  <c r="F32" i="107"/>
  <c r="H32" i="107"/>
  <c r="J32" i="107"/>
  <c r="L32" i="107"/>
  <c r="N32" i="107"/>
  <c r="P32" i="107"/>
  <c r="Q32" i="107"/>
  <c r="R32" i="107"/>
  <c r="S32" i="107"/>
  <c r="U32" i="107"/>
  <c r="W32" i="107"/>
  <c r="Y32" i="107"/>
  <c r="AC32" i="107"/>
  <c r="AD32" i="107"/>
  <c r="AF32" i="107"/>
  <c r="AH32" i="107"/>
  <c r="AI32" i="107"/>
  <c r="AJ32" i="107"/>
  <c r="AK32" i="107"/>
  <c r="AW32" i="107"/>
  <c r="AX32" i="107"/>
  <c r="AY32" i="107"/>
  <c r="BB32" i="107"/>
  <c r="BC32" i="107"/>
  <c r="BD32" i="107"/>
  <c r="BE32" i="107"/>
  <c r="BH32" i="107"/>
  <c r="BI32" i="107"/>
  <c r="B33" i="107"/>
  <c r="C33" i="107"/>
  <c r="F33" i="107"/>
  <c r="H33" i="107"/>
  <c r="J33" i="107"/>
  <c r="L33" i="107"/>
  <c r="N33" i="107"/>
  <c r="P33" i="107"/>
  <c r="Q33" i="107"/>
  <c r="R33" i="107"/>
  <c r="S33" i="107"/>
  <c r="U33" i="107"/>
  <c r="W33" i="107"/>
  <c r="Y33" i="107"/>
  <c r="AC33" i="107"/>
  <c r="AD33" i="107"/>
  <c r="AF33" i="107"/>
  <c r="AH33" i="107"/>
  <c r="AI33" i="107"/>
  <c r="AJ33" i="107"/>
  <c r="AK33" i="107"/>
  <c r="AW33" i="107"/>
  <c r="AX33" i="107"/>
  <c r="AY33" i="107"/>
  <c r="BB33" i="107"/>
  <c r="BC33" i="107"/>
  <c r="BD33" i="107"/>
  <c r="BE33" i="107"/>
  <c r="BH33" i="107"/>
  <c r="BI33" i="107"/>
  <c r="B34" i="107"/>
  <c r="C34" i="107"/>
  <c r="F34" i="107"/>
  <c r="H34" i="107"/>
  <c r="J34" i="107"/>
  <c r="L34" i="107"/>
  <c r="N34" i="107"/>
  <c r="P34" i="107"/>
  <c r="Q34" i="107"/>
  <c r="R34" i="107"/>
  <c r="S34" i="107"/>
  <c r="U34" i="107"/>
  <c r="W34" i="107"/>
  <c r="Y34" i="107"/>
  <c r="AC34" i="107"/>
  <c r="AD34" i="107"/>
  <c r="AF34" i="107"/>
  <c r="AH34" i="107"/>
  <c r="AI34" i="107"/>
  <c r="AJ34" i="107"/>
  <c r="AK34" i="107"/>
  <c r="AW34" i="107"/>
  <c r="AX34" i="107"/>
  <c r="AY34" i="107"/>
  <c r="BB34" i="107"/>
  <c r="BC34" i="107"/>
  <c r="BD34" i="107"/>
  <c r="BE34" i="107"/>
  <c r="BH34" i="107"/>
  <c r="BI34" i="107"/>
  <c r="B35" i="107"/>
  <c r="C35" i="107"/>
  <c r="F35" i="107"/>
  <c r="H35" i="107"/>
  <c r="J35" i="107"/>
  <c r="L35" i="107"/>
  <c r="N35" i="107"/>
  <c r="P35" i="107"/>
  <c r="Q35" i="107"/>
  <c r="R35" i="107"/>
  <c r="S35" i="107"/>
  <c r="U35" i="107"/>
  <c r="W35" i="107"/>
  <c r="Y35" i="107"/>
  <c r="AC35" i="107"/>
  <c r="AD35" i="107"/>
  <c r="AF35" i="107"/>
  <c r="AH35" i="107"/>
  <c r="AI35" i="107"/>
  <c r="AJ35" i="107"/>
  <c r="AK35" i="107"/>
  <c r="AW35" i="107"/>
  <c r="AX35" i="107"/>
  <c r="AY35" i="107"/>
  <c r="BB35" i="107"/>
  <c r="BC35" i="107"/>
  <c r="BD35" i="107"/>
  <c r="BE35" i="107"/>
  <c r="BH35" i="107"/>
  <c r="BI35" i="107"/>
  <c r="B36" i="107"/>
  <c r="C36" i="107"/>
  <c r="F36" i="107"/>
  <c r="H36" i="107"/>
  <c r="J36" i="107"/>
  <c r="L36" i="107"/>
  <c r="N36" i="107"/>
  <c r="P36" i="107"/>
  <c r="Q36" i="107"/>
  <c r="R36" i="107"/>
  <c r="S36" i="107"/>
  <c r="U36" i="107"/>
  <c r="W36" i="107"/>
  <c r="Y36" i="107"/>
  <c r="AC36" i="107"/>
  <c r="AD36" i="107"/>
  <c r="AF36" i="107"/>
  <c r="AH36" i="107"/>
  <c r="AI36" i="107"/>
  <c r="AJ36" i="107"/>
  <c r="AK36" i="107"/>
  <c r="AW36" i="107"/>
  <c r="AX36" i="107"/>
  <c r="AY36" i="107"/>
  <c r="BB36" i="107"/>
  <c r="BC36" i="107"/>
  <c r="BD36" i="107"/>
  <c r="BE36" i="107"/>
  <c r="BH36" i="107"/>
  <c r="BI36" i="107"/>
  <c r="B37" i="107"/>
  <c r="C37" i="107"/>
  <c r="F37" i="107"/>
  <c r="H37" i="107"/>
  <c r="J37" i="107"/>
  <c r="L37" i="107"/>
  <c r="N37" i="107"/>
  <c r="P37" i="107"/>
  <c r="Q37" i="107"/>
  <c r="R37" i="107"/>
  <c r="S37" i="107"/>
  <c r="U37" i="107"/>
  <c r="W37" i="107"/>
  <c r="Y37" i="107"/>
  <c r="AC37" i="107"/>
  <c r="AD37" i="107"/>
  <c r="AF37" i="107"/>
  <c r="AH37" i="107"/>
  <c r="AI37" i="107"/>
  <c r="AJ37" i="107"/>
  <c r="AK37" i="107"/>
  <c r="AW37" i="107"/>
  <c r="AX37" i="107"/>
  <c r="AY37" i="107"/>
  <c r="BB37" i="107"/>
  <c r="BC37" i="107"/>
  <c r="BD37" i="107"/>
  <c r="BE37" i="107"/>
  <c r="BH37" i="107"/>
  <c r="BI37" i="107"/>
  <c r="B38" i="107"/>
  <c r="C38" i="107"/>
  <c r="F38" i="107"/>
  <c r="H38" i="107"/>
  <c r="J38" i="107"/>
  <c r="L38" i="107"/>
  <c r="N38" i="107"/>
  <c r="P38" i="107"/>
  <c r="Q38" i="107"/>
  <c r="R38" i="107"/>
  <c r="S38" i="107"/>
  <c r="U38" i="107"/>
  <c r="W38" i="107"/>
  <c r="Y38" i="107"/>
  <c r="AC38" i="107"/>
  <c r="AD38" i="107"/>
  <c r="AF38" i="107"/>
  <c r="AH38" i="107"/>
  <c r="AI38" i="107"/>
  <c r="AJ38" i="107"/>
  <c r="AK38" i="107"/>
  <c r="AW38" i="107"/>
  <c r="AX38" i="107"/>
  <c r="AY38" i="107"/>
  <c r="BB38" i="107"/>
  <c r="BC38" i="107"/>
  <c r="BD38" i="107"/>
  <c r="BE38" i="107"/>
  <c r="BH38" i="107"/>
  <c r="BI38" i="107"/>
  <c r="B39" i="107"/>
  <c r="C39" i="107"/>
  <c r="F39" i="107"/>
  <c r="H39" i="107"/>
  <c r="J39" i="107"/>
  <c r="L39" i="107"/>
  <c r="N39" i="107"/>
  <c r="P39" i="107"/>
  <c r="Q39" i="107"/>
  <c r="R39" i="107"/>
  <c r="S39" i="107"/>
  <c r="U39" i="107"/>
  <c r="W39" i="107"/>
  <c r="Y39" i="107"/>
  <c r="AC39" i="107"/>
  <c r="AD39" i="107"/>
  <c r="AF39" i="107"/>
  <c r="AH39" i="107"/>
  <c r="AI39" i="107"/>
  <c r="AJ39" i="107"/>
  <c r="AK39" i="107"/>
  <c r="AW39" i="107"/>
  <c r="AX39" i="107"/>
  <c r="AY39" i="107"/>
  <c r="BB39" i="107"/>
  <c r="BC39" i="107"/>
  <c r="BD39" i="107"/>
  <c r="BE39" i="107"/>
  <c r="BH39" i="107"/>
  <c r="BI39" i="107"/>
  <c r="B40" i="107"/>
  <c r="C40" i="107"/>
  <c r="F40" i="107"/>
  <c r="H40" i="107"/>
  <c r="J40" i="107"/>
  <c r="L40" i="107"/>
  <c r="N40" i="107"/>
  <c r="P40" i="107"/>
  <c r="Q40" i="107"/>
  <c r="R40" i="107"/>
  <c r="S40" i="107"/>
  <c r="U40" i="107"/>
  <c r="W40" i="107"/>
  <c r="Y40" i="107"/>
  <c r="AC40" i="107"/>
  <c r="AD40" i="107"/>
  <c r="AF40" i="107"/>
  <c r="AH40" i="107"/>
  <c r="AI40" i="107"/>
  <c r="AJ40" i="107"/>
  <c r="AK40" i="107"/>
  <c r="AW40" i="107"/>
  <c r="AX40" i="107"/>
  <c r="AY40" i="107"/>
  <c r="BB40" i="107"/>
  <c r="BC40" i="107"/>
  <c r="BD40" i="107"/>
  <c r="BE40" i="107"/>
  <c r="BH40" i="107"/>
  <c r="BI40" i="107"/>
  <c r="B41" i="107"/>
  <c r="C41" i="107"/>
  <c r="F41" i="107"/>
  <c r="H41" i="107"/>
  <c r="J41" i="107"/>
  <c r="L41" i="107"/>
  <c r="N41" i="107"/>
  <c r="P41" i="107"/>
  <c r="Q41" i="107"/>
  <c r="R41" i="107"/>
  <c r="S41" i="107"/>
  <c r="U41" i="107"/>
  <c r="W41" i="107"/>
  <c r="Y41" i="107"/>
  <c r="AC41" i="107"/>
  <c r="AD41" i="107"/>
  <c r="AF41" i="107"/>
  <c r="AH41" i="107"/>
  <c r="AI41" i="107"/>
  <c r="AJ41" i="107"/>
  <c r="AK41" i="107"/>
  <c r="AW41" i="107"/>
  <c r="AX41" i="107"/>
  <c r="AY41" i="107"/>
  <c r="BB41" i="107"/>
  <c r="BC41" i="107"/>
  <c r="BD41" i="107"/>
  <c r="BE41" i="107"/>
  <c r="BH41" i="107"/>
  <c r="BI41" i="107"/>
  <c r="B42" i="107"/>
  <c r="C42" i="107"/>
  <c r="F42" i="107"/>
  <c r="H42" i="107"/>
  <c r="J42" i="107"/>
  <c r="L42" i="107"/>
  <c r="N42" i="107"/>
  <c r="P42" i="107"/>
  <c r="Q42" i="107"/>
  <c r="R42" i="107"/>
  <c r="S42" i="107"/>
  <c r="U42" i="107"/>
  <c r="W42" i="107"/>
  <c r="Y42" i="107"/>
  <c r="AC42" i="107"/>
  <c r="AD42" i="107"/>
  <c r="AF42" i="107"/>
  <c r="AH42" i="107"/>
  <c r="AI42" i="107"/>
  <c r="AJ42" i="107"/>
  <c r="AK42" i="107"/>
  <c r="AW42" i="107"/>
  <c r="AX42" i="107"/>
  <c r="AY42" i="107"/>
  <c r="BB42" i="107"/>
  <c r="BC42" i="107"/>
  <c r="BD42" i="107"/>
  <c r="BE42" i="107"/>
  <c r="BH42" i="107"/>
  <c r="BI42" i="107"/>
  <c r="B43" i="107"/>
  <c r="C43" i="107"/>
  <c r="F43" i="107"/>
  <c r="H43" i="107"/>
  <c r="J43" i="107"/>
  <c r="L43" i="107"/>
  <c r="N43" i="107"/>
  <c r="P43" i="107"/>
  <c r="Q43" i="107"/>
  <c r="R43" i="107"/>
  <c r="S43" i="107"/>
  <c r="U43" i="107"/>
  <c r="W43" i="107"/>
  <c r="Y43" i="107"/>
  <c r="AC43" i="107"/>
  <c r="AD43" i="107"/>
  <c r="AF43" i="107"/>
  <c r="AH43" i="107"/>
  <c r="AI43" i="107"/>
  <c r="AJ43" i="107"/>
  <c r="AK43" i="107"/>
  <c r="AW43" i="107"/>
  <c r="AX43" i="107"/>
  <c r="AY43" i="107"/>
  <c r="BB43" i="107"/>
  <c r="BC43" i="107"/>
  <c r="BD43" i="107"/>
  <c r="BE43" i="107"/>
  <c r="BH43" i="107"/>
  <c r="BI43" i="107"/>
  <c r="B44" i="107"/>
  <c r="C44" i="107"/>
  <c r="F44" i="107"/>
  <c r="H44" i="107"/>
  <c r="J44" i="107"/>
  <c r="L44" i="107"/>
  <c r="N44" i="107"/>
  <c r="P44" i="107"/>
  <c r="Q44" i="107"/>
  <c r="R44" i="107"/>
  <c r="S44" i="107"/>
  <c r="U44" i="107"/>
  <c r="W44" i="107"/>
  <c r="Y44" i="107"/>
  <c r="AC44" i="107"/>
  <c r="AD44" i="107"/>
  <c r="AF44" i="107"/>
  <c r="AH44" i="107"/>
  <c r="AI44" i="107"/>
  <c r="AJ44" i="107"/>
  <c r="AK44" i="107"/>
  <c r="AW44" i="107"/>
  <c r="AX44" i="107"/>
  <c r="AY44" i="107"/>
  <c r="BB44" i="107"/>
  <c r="BC44" i="107"/>
  <c r="BD44" i="107"/>
  <c r="BE44" i="107"/>
  <c r="BH44" i="107"/>
  <c r="BI44" i="107"/>
  <c r="B45" i="107"/>
  <c r="C45" i="107"/>
  <c r="F45" i="107"/>
  <c r="H45" i="107"/>
  <c r="J45" i="107"/>
  <c r="L45" i="107"/>
  <c r="N45" i="107"/>
  <c r="P45" i="107"/>
  <c r="Q45" i="107"/>
  <c r="R45" i="107"/>
  <c r="S45" i="107"/>
  <c r="U45" i="107"/>
  <c r="W45" i="107"/>
  <c r="Y45" i="107"/>
  <c r="AC45" i="107"/>
  <c r="AD45" i="107"/>
  <c r="AF45" i="107"/>
  <c r="AH45" i="107"/>
  <c r="AI45" i="107"/>
  <c r="AJ45" i="107"/>
  <c r="AK45" i="107"/>
  <c r="AW45" i="107"/>
  <c r="AX45" i="107"/>
  <c r="AY45" i="107"/>
  <c r="BB45" i="107"/>
  <c r="BC45" i="107"/>
  <c r="BD45" i="107"/>
  <c r="BE45" i="107"/>
  <c r="BH45" i="107"/>
  <c r="BI45" i="107"/>
  <c r="B46" i="107"/>
  <c r="C46" i="107"/>
  <c r="F46" i="107"/>
  <c r="H46" i="107"/>
  <c r="J46" i="107"/>
  <c r="L46" i="107"/>
  <c r="N46" i="107"/>
  <c r="P46" i="107"/>
  <c r="Q46" i="107"/>
  <c r="R46" i="107"/>
  <c r="S46" i="107"/>
  <c r="U46" i="107"/>
  <c r="W46" i="107"/>
  <c r="Y46" i="107"/>
  <c r="AC46" i="107"/>
  <c r="AD46" i="107"/>
  <c r="AF46" i="107"/>
  <c r="AH46" i="107"/>
  <c r="AI46" i="107"/>
  <c r="AJ46" i="107"/>
  <c r="AK46" i="107"/>
  <c r="AW46" i="107"/>
  <c r="AX46" i="107"/>
  <c r="AY46" i="107"/>
  <c r="BB46" i="107"/>
  <c r="BC46" i="107"/>
  <c r="BD46" i="107"/>
  <c r="BE46" i="107"/>
  <c r="BH46" i="107"/>
  <c r="BI46" i="107"/>
  <c r="B47" i="107"/>
  <c r="C47" i="107"/>
  <c r="F47" i="107"/>
  <c r="H47" i="107"/>
  <c r="J47" i="107"/>
  <c r="L47" i="107"/>
  <c r="N47" i="107"/>
  <c r="P47" i="107"/>
  <c r="Q47" i="107"/>
  <c r="R47" i="107"/>
  <c r="S47" i="107"/>
  <c r="U47" i="107"/>
  <c r="W47" i="107"/>
  <c r="Y47" i="107"/>
  <c r="AC47" i="107"/>
  <c r="AD47" i="107"/>
  <c r="AF47" i="107"/>
  <c r="AH47" i="107"/>
  <c r="AI47" i="107"/>
  <c r="AJ47" i="107"/>
  <c r="AK47" i="107"/>
  <c r="AW47" i="107"/>
  <c r="AX47" i="107"/>
  <c r="AY47" i="107"/>
  <c r="BB47" i="107"/>
  <c r="BC47" i="107"/>
  <c r="BD47" i="107"/>
  <c r="BE47" i="107"/>
  <c r="BH47" i="107"/>
  <c r="BI47" i="107"/>
  <c r="B48" i="107"/>
  <c r="C48" i="107"/>
  <c r="F48" i="107"/>
  <c r="H48" i="107"/>
  <c r="J48" i="107"/>
  <c r="L48" i="107"/>
  <c r="N48" i="107"/>
  <c r="P48" i="107"/>
  <c r="Q48" i="107"/>
  <c r="R48" i="107"/>
  <c r="S48" i="107"/>
  <c r="U48" i="107"/>
  <c r="W48" i="107"/>
  <c r="Y48" i="107"/>
  <c r="AC48" i="107"/>
  <c r="AD48" i="107"/>
  <c r="AF48" i="107"/>
  <c r="AH48" i="107"/>
  <c r="AI48" i="107"/>
  <c r="AJ48" i="107"/>
  <c r="AK48" i="107"/>
  <c r="AW48" i="107"/>
  <c r="AX48" i="107"/>
  <c r="AY48" i="107"/>
  <c r="BB48" i="107"/>
  <c r="BC48" i="107"/>
  <c r="BD48" i="107"/>
  <c r="BE48" i="107"/>
  <c r="BH48" i="107"/>
  <c r="BI48" i="107"/>
  <c r="B49" i="107"/>
  <c r="C49" i="107"/>
  <c r="F49" i="107"/>
  <c r="H49" i="107"/>
  <c r="J49" i="107"/>
  <c r="L49" i="107"/>
  <c r="N49" i="107"/>
  <c r="P49" i="107"/>
  <c r="Q49" i="107"/>
  <c r="R49" i="107"/>
  <c r="S49" i="107"/>
  <c r="U49" i="107"/>
  <c r="W49" i="107"/>
  <c r="Y49" i="107"/>
  <c r="AC49" i="107"/>
  <c r="AD49" i="107"/>
  <c r="AF49" i="107"/>
  <c r="AH49" i="107"/>
  <c r="AI49" i="107"/>
  <c r="AJ49" i="107"/>
  <c r="AK49" i="107"/>
  <c r="AW49" i="107"/>
  <c r="AX49" i="107"/>
  <c r="AY49" i="107"/>
  <c r="BB49" i="107"/>
  <c r="BC49" i="107"/>
  <c r="BD49" i="107"/>
  <c r="BE49" i="107"/>
  <c r="BH49" i="107"/>
  <c r="BI49" i="107"/>
  <c r="B50" i="107"/>
  <c r="C50" i="107"/>
  <c r="F50" i="107"/>
  <c r="H50" i="107"/>
  <c r="J50" i="107"/>
  <c r="L50" i="107"/>
  <c r="N50" i="107"/>
  <c r="P50" i="107"/>
  <c r="Q50" i="107"/>
  <c r="R50" i="107"/>
  <c r="S50" i="107"/>
  <c r="U50" i="107"/>
  <c r="W50" i="107"/>
  <c r="Y50" i="107"/>
  <c r="AC50" i="107"/>
  <c r="AD50" i="107"/>
  <c r="AF50" i="107"/>
  <c r="AH50" i="107"/>
  <c r="AI50" i="107"/>
  <c r="AJ50" i="107"/>
  <c r="AK50" i="107"/>
  <c r="AW50" i="107"/>
  <c r="AX50" i="107"/>
  <c r="AY50" i="107"/>
  <c r="BB50" i="107"/>
  <c r="BC50" i="107"/>
  <c r="BD50" i="107"/>
  <c r="BE50" i="107"/>
  <c r="BH50" i="107"/>
  <c r="BI50" i="107"/>
  <c r="C51" i="107"/>
  <c r="D51" i="107"/>
  <c r="E51" i="107"/>
  <c r="F51" i="107"/>
  <c r="G51" i="107"/>
  <c r="H51" i="107"/>
  <c r="I51" i="107"/>
  <c r="J51" i="107"/>
  <c r="K51" i="107"/>
  <c r="L51" i="107"/>
  <c r="M51" i="107"/>
  <c r="N51" i="107"/>
  <c r="O51" i="107"/>
  <c r="P51" i="107"/>
  <c r="Q51" i="107"/>
  <c r="R51" i="107"/>
  <c r="S51" i="107"/>
  <c r="T51" i="107"/>
  <c r="U51" i="107"/>
  <c r="V51" i="107"/>
  <c r="W51" i="107"/>
  <c r="X51" i="107"/>
  <c r="Y51" i="107"/>
  <c r="AD51" i="107"/>
  <c r="AE51" i="107"/>
  <c r="AF51" i="107"/>
  <c r="AG51" i="107"/>
  <c r="AH51" i="107"/>
  <c r="AI51" i="107"/>
  <c r="AJ51" i="107"/>
  <c r="AK51" i="107"/>
  <c r="AX51" i="107"/>
  <c r="AY51" i="107"/>
  <c r="AZ51" i="107"/>
  <c r="BA51" i="107"/>
  <c r="BB51" i="107"/>
  <c r="BC51" i="107"/>
  <c r="BD51" i="107"/>
  <c r="BE51" i="107"/>
  <c r="BF51" i="107"/>
  <c r="BG51" i="107"/>
  <c r="BH51" i="107"/>
  <c r="BI51" i="107"/>
  <c r="AN10" i="106"/>
  <c r="AO10" i="106"/>
  <c r="AQ10" i="106"/>
  <c r="AS10" i="106"/>
  <c r="AT10" i="106"/>
  <c r="B11" i="106"/>
  <c r="C11" i="106"/>
  <c r="F11" i="106"/>
  <c r="H11" i="106"/>
  <c r="J11" i="106"/>
  <c r="L11" i="106"/>
  <c r="N11" i="106"/>
  <c r="P11" i="106"/>
  <c r="Q11" i="106"/>
  <c r="R11" i="106"/>
  <c r="S11" i="106"/>
  <c r="U11" i="106"/>
  <c r="W11" i="106"/>
  <c r="Y11" i="106"/>
  <c r="AC11" i="106"/>
  <c r="AD11" i="106"/>
  <c r="AF11" i="106"/>
  <c r="AH11" i="106"/>
  <c r="AI11" i="106"/>
  <c r="AJ11" i="106"/>
  <c r="AK11" i="106"/>
  <c r="AN11" i="106"/>
  <c r="AO11" i="106"/>
  <c r="AQ11" i="106"/>
  <c r="AS11" i="106"/>
  <c r="AT11" i="106"/>
  <c r="AW11" i="106"/>
  <c r="AX11" i="106"/>
  <c r="AY11" i="106"/>
  <c r="BB11" i="106"/>
  <c r="BC11" i="106"/>
  <c r="BD11" i="106"/>
  <c r="BE11" i="106"/>
  <c r="BH11" i="106"/>
  <c r="BI11" i="106"/>
  <c r="B12" i="106"/>
  <c r="C12" i="106"/>
  <c r="F12" i="106"/>
  <c r="H12" i="106"/>
  <c r="J12" i="106"/>
  <c r="L12" i="106"/>
  <c r="N12" i="106"/>
  <c r="P12" i="106"/>
  <c r="Q12" i="106"/>
  <c r="R12" i="106"/>
  <c r="S12" i="106"/>
  <c r="U12" i="106"/>
  <c r="W12" i="106"/>
  <c r="Y12" i="106"/>
  <c r="AC12" i="106"/>
  <c r="AD12" i="106"/>
  <c r="AF12" i="106"/>
  <c r="AH12" i="106"/>
  <c r="AI12" i="106"/>
  <c r="AJ12" i="106"/>
  <c r="AK12" i="106"/>
  <c r="AN12" i="106"/>
  <c r="AO12" i="106"/>
  <c r="AQ12" i="106"/>
  <c r="AS12" i="106"/>
  <c r="AT12" i="106"/>
  <c r="AW12" i="106"/>
  <c r="AX12" i="106"/>
  <c r="AY12" i="106"/>
  <c r="BB12" i="106"/>
  <c r="BC12" i="106"/>
  <c r="BD12" i="106"/>
  <c r="BE12" i="106"/>
  <c r="BH12" i="106"/>
  <c r="BI12" i="106"/>
  <c r="B13" i="106"/>
  <c r="C13" i="106"/>
  <c r="F13" i="106"/>
  <c r="H13" i="106"/>
  <c r="J13" i="106"/>
  <c r="L13" i="106"/>
  <c r="N13" i="106"/>
  <c r="P13" i="106"/>
  <c r="Q13" i="106"/>
  <c r="R13" i="106"/>
  <c r="S13" i="106"/>
  <c r="U13" i="106"/>
  <c r="W13" i="106"/>
  <c r="Y13" i="106"/>
  <c r="AC13" i="106"/>
  <c r="AD13" i="106"/>
  <c r="AF13" i="106"/>
  <c r="AH13" i="106"/>
  <c r="AI13" i="106"/>
  <c r="AJ13" i="106"/>
  <c r="AK13" i="106"/>
  <c r="AO13" i="106"/>
  <c r="AP13" i="106"/>
  <c r="AQ13" i="106"/>
  <c r="AR13" i="106"/>
  <c r="AS13" i="106"/>
  <c r="AT13" i="106"/>
  <c r="AW13" i="106"/>
  <c r="AX13" i="106"/>
  <c r="AY13" i="106"/>
  <c r="BB13" i="106"/>
  <c r="BC13" i="106"/>
  <c r="BD13" i="106"/>
  <c r="BE13" i="106"/>
  <c r="BH13" i="106"/>
  <c r="BI13" i="106"/>
  <c r="B14" i="106"/>
  <c r="C14" i="106"/>
  <c r="F14" i="106"/>
  <c r="H14" i="106"/>
  <c r="J14" i="106"/>
  <c r="L14" i="106"/>
  <c r="N14" i="106"/>
  <c r="P14" i="106"/>
  <c r="Q14" i="106"/>
  <c r="R14" i="106"/>
  <c r="S14" i="106"/>
  <c r="U14" i="106"/>
  <c r="W14" i="106"/>
  <c r="Y14" i="106"/>
  <c r="AC14" i="106"/>
  <c r="AD14" i="106"/>
  <c r="AF14" i="106"/>
  <c r="AH14" i="106"/>
  <c r="AI14" i="106"/>
  <c r="AJ14" i="106"/>
  <c r="AK14" i="106"/>
  <c r="AT14" i="106"/>
  <c r="AW14" i="106"/>
  <c r="AX14" i="106"/>
  <c r="AY14" i="106"/>
  <c r="BB14" i="106"/>
  <c r="BC14" i="106"/>
  <c r="BD14" i="106"/>
  <c r="BE14" i="106"/>
  <c r="BH14" i="106"/>
  <c r="BI14" i="106"/>
  <c r="B15" i="106"/>
  <c r="C15" i="106"/>
  <c r="F15" i="106"/>
  <c r="H15" i="106"/>
  <c r="J15" i="106"/>
  <c r="L15" i="106"/>
  <c r="N15" i="106"/>
  <c r="P15" i="106"/>
  <c r="Q15" i="106"/>
  <c r="R15" i="106"/>
  <c r="S15" i="106"/>
  <c r="U15" i="106"/>
  <c r="W15" i="106"/>
  <c r="Y15" i="106"/>
  <c r="AC15" i="106"/>
  <c r="AD15" i="106"/>
  <c r="AF15" i="106"/>
  <c r="AH15" i="106"/>
  <c r="AI15" i="106"/>
  <c r="AJ15" i="106"/>
  <c r="AK15" i="106"/>
  <c r="AW15" i="106"/>
  <c r="AX15" i="106"/>
  <c r="AY15" i="106"/>
  <c r="BB15" i="106"/>
  <c r="BC15" i="106"/>
  <c r="BD15" i="106"/>
  <c r="BE15" i="106"/>
  <c r="BH15" i="106"/>
  <c r="BI15" i="106"/>
  <c r="B16" i="106"/>
  <c r="C16" i="106"/>
  <c r="F16" i="106"/>
  <c r="H16" i="106"/>
  <c r="J16" i="106"/>
  <c r="L16" i="106"/>
  <c r="N16" i="106"/>
  <c r="P16" i="106"/>
  <c r="Q16" i="106"/>
  <c r="R16" i="106"/>
  <c r="S16" i="106"/>
  <c r="U16" i="106"/>
  <c r="W16" i="106"/>
  <c r="Y16" i="106"/>
  <c r="AC16" i="106"/>
  <c r="AD16" i="106"/>
  <c r="AF16" i="106"/>
  <c r="AH16" i="106"/>
  <c r="AI16" i="106"/>
  <c r="AJ16" i="106"/>
  <c r="AK16" i="106"/>
  <c r="AW16" i="106"/>
  <c r="AX16" i="106"/>
  <c r="AY16" i="106"/>
  <c r="BB16" i="106"/>
  <c r="BC16" i="106"/>
  <c r="BD16" i="106"/>
  <c r="BE16" i="106"/>
  <c r="BH16" i="106"/>
  <c r="BI16" i="106"/>
  <c r="B17" i="106"/>
  <c r="C17" i="106"/>
  <c r="F17" i="106"/>
  <c r="H17" i="106"/>
  <c r="J17" i="106"/>
  <c r="L17" i="106"/>
  <c r="N17" i="106"/>
  <c r="P17" i="106"/>
  <c r="Q17" i="106"/>
  <c r="R17" i="106"/>
  <c r="S17" i="106"/>
  <c r="U17" i="106"/>
  <c r="W17" i="106"/>
  <c r="Y17" i="106"/>
  <c r="AC17" i="106"/>
  <c r="AD17" i="106"/>
  <c r="AF17" i="106"/>
  <c r="AH17" i="106"/>
  <c r="AI17" i="106"/>
  <c r="AJ17" i="106"/>
  <c r="AK17" i="106"/>
  <c r="AW17" i="106"/>
  <c r="AX17" i="106"/>
  <c r="AY17" i="106"/>
  <c r="BB17" i="106"/>
  <c r="BC17" i="106"/>
  <c r="BD17" i="106"/>
  <c r="BE17" i="106"/>
  <c r="BH17" i="106"/>
  <c r="BI17" i="106"/>
  <c r="B18" i="106"/>
  <c r="C18" i="106"/>
  <c r="F18" i="106"/>
  <c r="H18" i="106"/>
  <c r="J18" i="106"/>
  <c r="L18" i="106"/>
  <c r="N18" i="106"/>
  <c r="P18" i="106"/>
  <c r="Q18" i="106"/>
  <c r="R18" i="106"/>
  <c r="S18" i="106"/>
  <c r="U18" i="106"/>
  <c r="W18" i="106"/>
  <c r="Y18" i="106"/>
  <c r="AC18" i="106"/>
  <c r="AD18" i="106"/>
  <c r="AF18" i="106"/>
  <c r="AH18" i="106"/>
  <c r="AI18" i="106"/>
  <c r="AJ18" i="106"/>
  <c r="AK18" i="106"/>
  <c r="AW18" i="106"/>
  <c r="AX18" i="106"/>
  <c r="AY18" i="106"/>
  <c r="BB18" i="106"/>
  <c r="BC18" i="106"/>
  <c r="BD18" i="106"/>
  <c r="BE18" i="106"/>
  <c r="BH18" i="106"/>
  <c r="BI18" i="106"/>
  <c r="B19" i="106"/>
  <c r="C19" i="106"/>
  <c r="F19" i="106"/>
  <c r="H19" i="106"/>
  <c r="J19" i="106"/>
  <c r="L19" i="106"/>
  <c r="N19" i="106"/>
  <c r="P19" i="106"/>
  <c r="Q19" i="106"/>
  <c r="R19" i="106"/>
  <c r="S19" i="106"/>
  <c r="U19" i="106"/>
  <c r="W19" i="106"/>
  <c r="Y19" i="106"/>
  <c r="AC19" i="106"/>
  <c r="AD19" i="106"/>
  <c r="AF19" i="106"/>
  <c r="AH19" i="106"/>
  <c r="AI19" i="106"/>
  <c r="AJ19" i="106"/>
  <c r="AK19" i="106"/>
  <c r="AW19" i="106"/>
  <c r="AX19" i="106"/>
  <c r="AY19" i="106"/>
  <c r="BB19" i="106"/>
  <c r="BC19" i="106"/>
  <c r="BD19" i="106"/>
  <c r="BE19" i="106"/>
  <c r="BH19" i="106"/>
  <c r="BI19" i="106"/>
  <c r="B20" i="106"/>
  <c r="C20" i="106"/>
  <c r="F20" i="106"/>
  <c r="H20" i="106"/>
  <c r="J20" i="106"/>
  <c r="L20" i="106"/>
  <c r="N20" i="106"/>
  <c r="P20" i="106"/>
  <c r="Q20" i="106"/>
  <c r="R20" i="106"/>
  <c r="S20" i="106"/>
  <c r="U20" i="106"/>
  <c r="W20" i="106"/>
  <c r="Y20" i="106"/>
  <c r="AC20" i="106"/>
  <c r="AD20" i="106"/>
  <c r="AF20" i="106"/>
  <c r="AH20" i="106"/>
  <c r="AI20" i="106"/>
  <c r="AJ20" i="106"/>
  <c r="AK20" i="106"/>
  <c r="AW20" i="106"/>
  <c r="AX20" i="106"/>
  <c r="AY20" i="106"/>
  <c r="BB20" i="106"/>
  <c r="BC20" i="106"/>
  <c r="BD20" i="106"/>
  <c r="BE20" i="106"/>
  <c r="BH20" i="106"/>
  <c r="BI20" i="106"/>
  <c r="B21" i="106"/>
  <c r="C21" i="106"/>
  <c r="F21" i="106"/>
  <c r="H21" i="106"/>
  <c r="J21" i="106"/>
  <c r="L21" i="106"/>
  <c r="N21" i="106"/>
  <c r="P21" i="106"/>
  <c r="Q21" i="106"/>
  <c r="R21" i="106"/>
  <c r="S21" i="106"/>
  <c r="U21" i="106"/>
  <c r="W21" i="106"/>
  <c r="Y21" i="106"/>
  <c r="AC21" i="106"/>
  <c r="AD21" i="106"/>
  <c r="AF21" i="106"/>
  <c r="AH21" i="106"/>
  <c r="AI21" i="106"/>
  <c r="AJ21" i="106"/>
  <c r="AK21" i="106"/>
  <c r="AW21" i="106"/>
  <c r="AX21" i="106"/>
  <c r="AY21" i="106"/>
  <c r="BB21" i="106"/>
  <c r="BC21" i="106"/>
  <c r="BD21" i="106"/>
  <c r="BE21" i="106"/>
  <c r="BH21" i="106"/>
  <c r="BI21" i="106"/>
  <c r="B22" i="106"/>
  <c r="C22" i="106"/>
  <c r="F22" i="106"/>
  <c r="H22" i="106"/>
  <c r="J22" i="106"/>
  <c r="L22" i="106"/>
  <c r="N22" i="106"/>
  <c r="P22" i="106"/>
  <c r="Q22" i="106"/>
  <c r="R22" i="106"/>
  <c r="S22" i="106"/>
  <c r="U22" i="106"/>
  <c r="W22" i="106"/>
  <c r="Y22" i="106"/>
  <c r="AC22" i="106"/>
  <c r="AD22" i="106"/>
  <c r="AF22" i="106"/>
  <c r="AH22" i="106"/>
  <c r="AI22" i="106"/>
  <c r="AJ22" i="106"/>
  <c r="AK22" i="106"/>
  <c r="AW22" i="106"/>
  <c r="AX22" i="106"/>
  <c r="AY22" i="106"/>
  <c r="BB22" i="106"/>
  <c r="BC22" i="106"/>
  <c r="BD22" i="106"/>
  <c r="BE22" i="106"/>
  <c r="BH22" i="106"/>
  <c r="BI22" i="106"/>
  <c r="B23" i="106"/>
  <c r="C23" i="106"/>
  <c r="F23" i="106"/>
  <c r="H23" i="106"/>
  <c r="J23" i="106"/>
  <c r="L23" i="106"/>
  <c r="N23" i="106"/>
  <c r="P23" i="106"/>
  <c r="Q23" i="106"/>
  <c r="R23" i="106"/>
  <c r="S23" i="106"/>
  <c r="U23" i="106"/>
  <c r="W23" i="106"/>
  <c r="Y23" i="106"/>
  <c r="AC23" i="106"/>
  <c r="AD23" i="106"/>
  <c r="AF23" i="106"/>
  <c r="AH23" i="106"/>
  <c r="AI23" i="106"/>
  <c r="AJ23" i="106"/>
  <c r="AK23" i="106"/>
  <c r="AW23" i="106"/>
  <c r="AX23" i="106"/>
  <c r="AY23" i="106"/>
  <c r="BB23" i="106"/>
  <c r="BC23" i="106"/>
  <c r="BD23" i="106"/>
  <c r="BE23" i="106"/>
  <c r="BH23" i="106"/>
  <c r="BI23" i="106"/>
  <c r="B24" i="106"/>
  <c r="C24" i="106"/>
  <c r="F24" i="106"/>
  <c r="H24" i="106"/>
  <c r="J24" i="106"/>
  <c r="L24" i="106"/>
  <c r="N24" i="106"/>
  <c r="P24" i="106"/>
  <c r="Q24" i="106"/>
  <c r="R24" i="106"/>
  <c r="S24" i="106"/>
  <c r="U24" i="106"/>
  <c r="W24" i="106"/>
  <c r="Y24" i="106"/>
  <c r="AC24" i="106"/>
  <c r="AD24" i="106"/>
  <c r="AF24" i="106"/>
  <c r="AH24" i="106"/>
  <c r="AI24" i="106"/>
  <c r="AJ24" i="106"/>
  <c r="AK24" i="106"/>
  <c r="AW24" i="106"/>
  <c r="AX24" i="106"/>
  <c r="AY24" i="106"/>
  <c r="BB24" i="106"/>
  <c r="BC24" i="106"/>
  <c r="BD24" i="106"/>
  <c r="BE24" i="106"/>
  <c r="BH24" i="106"/>
  <c r="BI24" i="106"/>
  <c r="B25" i="106"/>
  <c r="C25" i="106"/>
  <c r="F25" i="106"/>
  <c r="H25" i="106"/>
  <c r="J25" i="106"/>
  <c r="L25" i="106"/>
  <c r="N25" i="106"/>
  <c r="P25" i="106"/>
  <c r="Q25" i="106"/>
  <c r="R25" i="106"/>
  <c r="S25" i="106"/>
  <c r="U25" i="106"/>
  <c r="W25" i="106"/>
  <c r="Y25" i="106"/>
  <c r="AC25" i="106"/>
  <c r="AD25" i="106"/>
  <c r="AF25" i="106"/>
  <c r="AH25" i="106"/>
  <c r="AI25" i="106"/>
  <c r="AJ25" i="106"/>
  <c r="AK25" i="106"/>
  <c r="AW25" i="106"/>
  <c r="AX25" i="106"/>
  <c r="AY25" i="106"/>
  <c r="BB25" i="106"/>
  <c r="BC25" i="106"/>
  <c r="BD25" i="106"/>
  <c r="BE25" i="106"/>
  <c r="BH25" i="106"/>
  <c r="BI25" i="106"/>
  <c r="B26" i="106"/>
  <c r="C26" i="106"/>
  <c r="F26" i="106"/>
  <c r="H26" i="106"/>
  <c r="J26" i="106"/>
  <c r="L26" i="106"/>
  <c r="N26" i="106"/>
  <c r="P26" i="106"/>
  <c r="Q26" i="106"/>
  <c r="R26" i="106"/>
  <c r="S26" i="106"/>
  <c r="U26" i="106"/>
  <c r="W26" i="106"/>
  <c r="Y26" i="106"/>
  <c r="AC26" i="106"/>
  <c r="AD26" i="106"/>
  <c r="AF26" i="106"/>
  <c r="AH26" i="106"/>
  <c r="AI26" i="106"/>
  <c r="AJ26" i="106"/>
  <c r="AK26" i="106"/>
  <c r="AW26" i="106"/>
  <c r="AX26" i="106"/>
  <c r="AY26" i="106"/>
  <c r="BB26" i="106"/>
  <c r="BC26" i="106"/>
  <c r="BD26" i="106"/>
  <c r="BE26" i="106"/>
  <c r="BH26" i="106"/>
  <c r="BI26" i="106"/>
  <c r="B27" i="106"/>
  <c r="C27" i="106"/>
  <c r="F27" i="106"/>
  <c r="H27" i="106"/>
  <c r="J27" i="106"/>
  <c r="L27" i="106"/>
  <c r="N27" i="106"/>
  <c r="P27" i="106"/>
  <c r="Q27" i="106"/>
  <c r="R27" i="106"/>
  <c r="S27" i="106"/>
  <c r="U27" i="106"/>
  <c r="W27" i="106"/>
  <c r="Y27" i="106"/>
  <c r="AC27" i="106"/>
  <c r="AD27" i="106"/>
  <c r="AF27" i="106"/>
  <c r="AH27" i="106"/>
  <c r="AI27" i="106"/>
  <c r="AJ27" i="106"/>
  <c r="AK27" i="106"/>
  <c r="AW27" i="106"/>
  <c r="AX27" i="106"/>
  <c r="AY27" i="106"/>
  <c r="BB27" i="106"/>
  <c r="BC27" i="106"/>
  <c r="BD27" i="106"/>
  <c r="BE27" i="106"/>
  <c r="BH27" i="106"/>
  <c r="BI27" i="106"/>
  <c r="B28" i="106"/>
  <c r="C28" i="106"/>
  <c r="F28" i="106"/>
  <c r="H28" i="106"/>
  <c r="J28" i="106"/>
  <c r="L28" i="106"/>
  <c r="N28" i="106"/>
  <c r="P28" i="106"/>
  <c r="Q28" i="106"/>
  <c r="R28" i="106"/>
  <c r="S28" i="106"/>
  <c r="U28" i="106"/>
  <c r="W28" i="106"/>
  <c r="Y28" i="106"/>
  <c r="AC28" i="106"/>
  <c r="AD28" i="106"/>
  <c r="AF28" i="106"/>
  <c r="AH28" i="106"/>
  <c r="AI28" i="106"/>
  <c r="AJ28" i="106"/>
  <c r="AK28" i="106"/>
  <c r="AW28" i="106"/>
  <c r="AX28" i="106"/>
  <c r="AY28" i="106"/>
  <c r="BB28" i="106"/>
  <c r="BC28" i="106"/>
  <c r="BD28" i="106"/>
  <c r="BE28" i="106"/>
  <c r="BH28" i="106"/>
  <c r="BI28" i="106"/>
  <c r="B29" i="106"/>
  <c r="C29" i="106"/>
  <c r="F29" i="106"/>
  <c r="H29" i="106"/>
  <c r="J29" i="106"/>
  <c r="L29" i="106"/>
  <c r="N29" i="106"/>
  <c r="P29" i="106"/>
  <c r="Q29" i="106"/>
  <c r="R29" i="106"/>
  <c r="S29" i="106"/>
  <c r="U29" i="106"/>
  <c r="W29" i="106"/>
  <c r="Y29" i="106"/>
  <c r="AC29" i="106"/>
  <c r="AD29" i="106"/>
  <c r="AF29" i="106"/>
  <c r="AH29" i="106"/>
  <c r="AI29" i="106"/>
  <c r="AJ29" i="106"/>
  <c r="AK29" i="106"/>
  <c r="AW29" i="106"/>
  <c r="AX29" i="106"/>
  <c r="AY29" i="106"/>
  <c r="BB29" i="106"/>
  <c r="BC29" i="106"/>
  <c r="BD29" i="106"/>
  <c r="BE29" i="106"/>
  <c r="BH29" i="106"/>
  <c r="BI29" i="106"/>
  <c r="B30" i="106"/>
  <c r="C30" i="106"/>
  <c r="F30" i="106"/>
  <c r="H30" i="106"/>
  <c r="J30" i="106"/>
  <c r="L30" i="106"/>
  <c r="N30" i="106"/>
  <c r="P30" i="106"/>
  <c r="Q30" i="106"/>
  <c r="R30" i="106"/>
  <c r="S30" i="106"/>
  <c r="U30" i="106"/>
  <c r="W30" i="106"/>
  <c r="Y30" i="106"/>
  <c r="AC30" i="106"/>
  <c r="AD30" i="106"/>
  <c r="AF30" i="106"/>
  <c r="AH30" i="106"/>
  <c r="AI30" i="106"/>
  <c r="AJ30" i="106"/>
  <c r="AK30" i="106"/>
  <c r="AW30" i="106"/>
  <c r="AX30" i="106"/>
  <c r="AY30" i="106"/>
  <c r="BB30" i="106"/>
  <c r="BC30" i="106"/>
  <c r="BD30" i="106"/>
  <c r="BE30" i="106"/>
  <c r="BH30" i="106"/>
  <c r="BI30" i="106"/>
  <c r="B31" i="106"/>
  <c r="C31" i="106"/>
  <c r="F31" i="106"/>
  <c r="H31" i="106"/>
  <c r="J31" i="106"/>
  <c r="L31" i="106"/>
  <c r="N31" i="106"/>
  <c r="P31" i="106"/>
  <c r="Q31" i="106"/>
  <c r="R31" i="106"/>
  <c r="S31" i="106"/>
  <c r="U31" i="106"/>
  <c r="W31" i="106"/>
  <c r="Y31" i="106"/>
  <c r="AC31" i="106"/>
  <c r="AD31" i="106"/>
  <c r="AF31" i="106"/>
  <c r="AH31" i="106"/>
  <c r="AI31" i="106"/>
  <c r="AJ31" i="106"/>
  <c r="AK31" i="106"/>
  <c r="AW31" i="106"/>
  <c r="AX31" i="106"/>
  <c r="AY31" i="106"/>
  <c r="BB31" i="106"/>
  <c r="BC31" i="106"/>
  <c r="BD31" i="106"/>
  <c r="BE31" i="106"/>
  <c r="BH31" i="106"/>
  <c r="BI31" i="106"/>
  <c r="B32" i="106"/>
  <c r="C32" i="106"/>
  <c r="F32" i="106"/>
  <c r="H32" i="106"/>
  <c r="J32" i="106"/>
  <c r="L32" i="106"/>
  <c r="N32" i="106"/>
  <c r="P32" i="106"/>
  <c r="Q32" i="106"/>
  <c r="R32" i="106"/>
  <c r="S32" i="106"/>
  <c r="U32" i="106"/>
  <c r="W32" i="106"/>
  <c r="Y32" i="106"/>
  <c r="AC32" i="106"/>
  <c r="AD32" i="106"/>
  <c r="AF32" i="106"/>
  <c r="AH32" i="106"/>
  <c r="AI32" i="106"/>
  <c r="AJ32" i="106"/>
  <c r="AK32" i="106"/>
  <c r="AW32" i="106"/>
  <c r="AX32" i="106"/>
  <c r="AY32" i="106"/>
  <c r="BB32" i="106"/>
  <c r="BC32" i="106"/>
  <c r="BD32" i="106"/>
  <c r="BE32" i="106"/>
  <c r="BH32" i="106"/>
  <c r="BI32" i="106"/>
  <c r="B33" i="106"/>
  <c r="C33" i="106"/>
  <c r="F33" i="106"/>
  <c r="H33" i="106"/>
  <c r="J33" i="106"/>
  <c r="L33" i="106"/>
  <c r="N33" i="106"/>
  <c r="P33" i="106"/>
  <c r="Q33" i="106"/>
  <c r="R33" i="106"/>
  <c r="S33" i="106"/>
  <c r="U33" i="106"/>
  <c r="W33" i="106"/>
  <c r="Y33" i="106"/>
  <c r="AC33" i="106"/>
  <c r="AD33" i="106"/>
  <c r="AF33" i="106"/>
  <c r="AH33" i="106"/>
  <c r="AI33" i="106"/>
  <c r="AJ33" i="106"/>
  <c r="AK33" i="106"/>
  <c r="AW33" i="106"/>
  <c r="AX33" i="106"/>
  <c r="AY33" i="106"/>
  <c r="BB33" i="106"/>
  <c r="BC33" i="106"/>
  <c r="BD33" i="106"/>
  <c r="BE33" i="106"/>
  <c r="BH33" i="106"/>
  <c r="BI33" i="106"/>
  <c r="B34" i="106"/>
  <c r="C34" i="106"/>
  <c r="F34" i="106"/>
  <c r="H34" i="106"/>
  <c r="J34" i="106"/>
  <c r="L34" i="106"/>
  <c r="N34" i="106"/>
  <c r="P34" i="106"/>
  <c r="Q34" i="106"/>
  <c r="R34" i="106"/>
  <c r="S34" i="106"/>
  <c r="U34" i="106"/>
  <c r="W34" i="106"/>
  <c r="Y34" i="106"/>
  <c r="AC34" i="106"/>
  <c r="AD34" i="106"/>
  <c r="AF34" i="106"/>
  <c r="AH34" i="106"/>
  <c r="AI34" i="106"/>
  <c r="AJ34" i="106"/>
  <c r="AK34" i="106"/>
  <c r="AW34" i="106"/>
  <c r="AX34" i="106"/>
  <c r="AY34" i="106"/>
  <c r="BB34" i="106"/>
  <c r="BC34" i="106"/>
  <c r="BD34" i="106"/>
  <c r="BE34" i="106"/>
  <c r="BH34" i="106"/>
  <c r="BI34" i="106"/>
  <c r="B35" i="106"/>
  <c r="C35" i="106"/>
  <c r="F35" i="106"/>
  <c r="H35" i="106"/>
  <c r="J35" i="106"/>
  <c r="L35" i="106"/>
  <c r="N35" i="106"/>
  <c r="P35" i="106"/>
  <c r="Q35" i="106"/>
  <c r="R35" i="106"/>
  <c r="S35" i="106"/>
  <c r="U35" i="106"/>
  <c r="W35" i="106"/>
  <c r="Y35" i="106"/>
  <c r="AC35" i="106"/>
  <c r="AD35" i="106"/>
  <c r="AF35" i="106"/>
  <c r="AH35" i="106"/>
  <c r="AI35" i="106"/>
  <c r="AJ35" i="106"/>
  <c r="AK35" i="106"/>
  <c r="AW35" i="106"/>
  <c r="AX35" i="106"/>
  <c r="AY35" i="106"/>
  <c r="BB35" i="106"/>
  <c r="BC35" i="106"/>
  <c r="BD35" i="106"/>
  <c r="BE35" i="106"/>
  <c r="BH35" i="106"/>
  <c r="BI35" i="106"/>
  <c r="B36" i="106"/>
  <c r="C36" i="106"/>
  <c r="F36" i="106"/>
  <c r="H36" i="106"/>
  <c r="J36" i="106"/>
  <c r="L36" i="106"/>
  <c r="N36" i="106"/>
  <c r="P36" i="106"/>
  <c r="Q36" i="106"/>
  <c r="R36" i="106"/>
  <c r="S36" i="106"/>
  <c r="U36" i="106"/>
  <c r="W36" i="106"/>
  <c r="Y36" i="106"/>
  <c r="AC36" i="106"/>
  <c r="AD36" i="106"/>
  <c r="AF36" i="106"/>
  <c r="AH36" i="106"/>
  <c r="AI36" i="106"/>
  <c r="AJ36" i="106"/>
  <c r="AK36" i="106"/>
  <c r="AW36" i="106"/>
  <c r="AX36" i="106"/>
  <c r="AY36" i="106"/>
  <c r="BB36" i="106"/>
  <c r="BC36" i="106"/>
  <c r="BD36" i="106"/>
  <c r="BE36" i="106"/>
  <c r="BH36" i="106"/>
  <c r="BI36" i="106"/>
  <c r="B37" i="106"/>
  <c r="C37" i="106"/>
  <c r="F37" i="106"/>
  <c r="H37" i="106"/>
  <c r="J37" i="106"/>
  <c r="L37" i="106"/>
  <c r="N37" i="106"/>
  <c r="P37" i="106"/>
  <c r="Q37" i="106"/>
  <c r="R37" i="106"/>
  <c r="S37" i="106"/>
  <c r="U37" i="106"/>
  <c r="W37" i="106"/>
  <c r="Y37" i="106"/>
  <c r="AC37" i="106"/>
  <c r="AD37" i="106"/>
  <c r="AF37" i="106"/>
  <c r="AH37" i="106"/>
  <c r="AI37" i="106"/>
  <c r="AJ37" i="106"/>
  <c r="AK37" i="106"/>
  <c r="AW37" i="106"/>
  <c r="AX37" i="106"/>
  <c r="AY37" i="106"/>
  <c r="BB37" i="106"/>
  <c r="BC37" i="106"/>
  <c r="BD37" i="106"/>
  <c r="BE37" i="106"/>
  <c r="BH37" i="106"/>
  <c r="BI37" i="106"/>
  <c r="B38" i="106"/>
  <c r="C38" i="106"/>
  <c r="F38" i="106"/>
  <c r="H38" i="106"/>
  <c r="J38" i="106"/>
  <c r="L38" i="106"/>
  <c r="N38" i="106"/>
  <c r="P38" i="106"/>
  <c r="Q38" i="106"/>
  <c r="R38" i="106"/>
  <c r="S38" i="106"/>
  <c r="U38" i="106"/>
  <c r="W38" i="106"/>
  <c r="Y38" i="106"/>
  <c r="AC38" i="106"/>
  <c r="AD38" i="106"/>
  <c r="AF38" i="106"/>
  <c r="AH38" i="106"/>
  <c r="AI38" i="106"/>
  <c r="AJ38" i="106"/>
  <c r="AK38" i="106"/>
  <c r="AW38" i="106"/>
  <c r="AX38" i="106"/>
  <c r="AY38" i="106"/>
  <c r="BB38" i="106"/>
  <c r="BC38" i="106"/>
  <c r="BD38" i="106"/>
  <c r="BE38" i="106"/>
  <c r="BH38" i="106"/>
  <c r="BI38" i="106"/>
  <c r="B39" i="106"/>
  <c r="C39" i="106"/>
  <c r="F39" i="106"/>
  <c r="H39" i="106"/>
  <c r="J39" i="106"/>
  <c r="L39" i="106"/>
  <c r="N39" i="106"/>
  <c r="P39" i="106"/>
  <c r="Q39" i="106"/>
  <c r="R39" i="106"/>
  <c r="S39" i="106"/>
  <c r="U39" i="106"/>
  <c r="W39" i="106"/>
  <c r="Y39" i="106"/>
  <c r="AC39" i="106"/>
  <c r="AD39" i="106"/>
  <c r="AF39" i="106"/>
  <c r="AH39" i="106"/>
  <c r="AI39" i="106"/>
  <c r="AJ39" i="106"/>
  <c r="AK39" i="106"/>
  <c r="AW39" i="106"/>
  <c r="AX39" i="106"/>
  <c r="AY39" i="106"/>
  <c r="BB39" i="106"/>
  <c r="BC39" i="106"/>
  <c r="BD39" i="106"/>
  <c r="BE39" i="106"/>
  <c r="BH39" i="106"/>
  <c r="BI39" i="106"/>
  <c r="B40" i="106"/>
  <c r="C40" i="106"/>
  <c r="F40" i="106"/>
  <c r="H40" i="106"/>
  <c r="J40" i="106"/>
  <c r="L40" i="106"/>
  <c r="N40" i="106"/>
  <c r="P40" i="106"/>
  <c r="Q40" i="106"/>
  <c r="R40" i="106"/>
  <c r="S40" i="106"/>
  <c r="U40" i="106"/>
  <c r="W40" i="106"/>
  <c r="Y40" i="106"/>
  <c r="AC40" i="106"/>
  <c r="AD40" i="106"/>
  <c r="AF40" i="106"/>
  <c r="AH40" i="106"/>
  <c r="AI40" i="106"/>
  <c r="AJ40" i="106"/>
  <c r="AK40" i="106"/>
  <c r="AW40" i="106"/>
  <c r="AX40" i="106"/>
  <c r="AY40" i="106"/>
  <c r="BB40" i="106"/>
  <c r="BC40" i="106"/>
  <c r="BD40" i="106"/>
  <c r="BE40" i="106"/>
  <c r="BH40" i="106"/>
  <c r="BI40" i="106"/>
  <c r="B41" i="106"/>
  <c r="C41" i="106"/>
  <c r="F41" i="106"/>
  <c r="H41" i="106"/>
  <c r="J41" i="106"/>
  <c r="L41" i="106"/>
  <c r="N41" i="106"/>
  <c r="P41" i="106"/>
  <c r="Q41" i="106"/>
  <c r="R41" i="106"/>
  <c r="S41" i="106"/>
  <c r="U41" i="106"/>
  <c r="W41" i="106"/>
  <c r="Y41" i="106"/>
  <c r="AC41" i="106"/>
  <c r="AD41" i="106"/>
  <c r="AF41" i="106"/>
  <c r="AH41" i="106"/>
  <c r="AI41" i="106"/>
  <c r="AJ41" i="106"/>
  <c r="AK41" i="106"/>
  <c r="AW41" i="106"/>
  <c r="AX41" i="106"/>
  <c r="AY41" i="106"/>
  <c r="BB41" i="106"/>
  <c r="BC41" i="106"/>
  <c r="BD41" i="106"/>
  <c r="BE41" i="106"/>
  <c r="BH41" i="106"/>
  <c r="BI41" i="106"/>
  <c r="B42" i="106"/>
  <c r="C42" i="106"/>
  <c r="F42" i="106"/>
  <c r="H42" i="106"/>
  <c r="J42" i="106"/>
  <c r="L42" i="106"/>
  <c r="N42" i="106"/>
  <c r="P42" i="106"/>
  <c r="Q42" i="106"/>
  <c r="R42" i="106"/>
  <c r="S42" i="106"/>
  <c r="U42" i="106"/>
  <c r="W42" i="106"/>
  <c r="Y42" i="106"/>
  <c r="AC42" i="106"/>
  <c r="AD42" i="106"/>
  <c r="AF42" i="106"/>
  <c r="AH42" i="106"/>
  <c r="AI42" i="106"/>
  <c r="AJ42" i="106"/>
  <c r="AK42" i="106"/>
  <c r="AW42" i="106"/>
  <c r="AX42" i="106"/>
  <c r="AY42" i="106"/>
  <c r="BB42" i="106"/>
  <c r="BC42" i="106"/>
  <c r="BD42" i="106"/>
  <c r="BE42" i="106"/>
  <c r="BH42" i="106"/>
  <c r="BI42" i="106"/>
  <c r="B43" i="106"/>
  <c r="C43" i="106"/>
  <c r="F43" i="106"/>
  <c r="H43" i="106"/>
  <c r="J43" i="106"/>
  <c r="L43" i="106"/>
  <c r="N43" i="106"/>
  <c r="P43" i="106"/>
  <c r="Q43" i="106"/>
  <c r="R43" i="106"/>
  <c r="S43" i="106"/>
  <c r="U43" i="106"/>
  <c r="W43" i="106"/>
  <c r="Y43" i="106"/>
  <c r="AC43" i="106"/>
  <c r="AD43" i="106"/>
  <c r="AF43" i="106"/>
  <c r="AH43" i="106"/>
  <c r="AI43" i="106"/>
  <c r="AJ43" i="106"/>
  <c r="AK43" i="106"/>
  <c r="AW43" i="106"/>
  <c r="AX43" i="106"/>
  <c r="AY43" i="106"/>
  <c r="BB43" i="106"/>
  <c r="BC43" i="106"/>
  <c r="BD43" i="106"/>
  <c r="BE43" i="106"/>
  <c r="BH43" i="106"/>
  <c r="BI43" i="106"/>
  <c r="B44" i="106"/>
  <c r="C44" i="106"/>
  <c r="F44" i="106"/>
  <c r="H44" i="106"/>
  <c r="J44" i="106"/>
  <c r="L44" i="106"/>
  <c r="N44" i="106"/>
  <c r="P44" i="106"/>
  <c r="Q44" i="106"/>
  <c r="R44" i="106"/>
  <c r="S44" i="106"/>
  <c r="U44" i="106"/>
  <c r="W44" i="106"/>
  <c r="Y44" i="106"/>
  <c r="AC44" i="106"/>
  <c r="AD44" i="106"/>
  <c r="AF44" i="106"/>
  <c r="AH44" i="106"/>
  <c r="AI44" i="106"/>
  <c r="AJ44" i="106"/>
  <c r="AK44" i="106"/>
  <c r="AW44" i="106"/>
  <c r="AX44" i="106"/>
  <c r="AY44" i="106"/>
  <c r="BB44" i="106"/>
  <c r="BC44" i="106"/>
  <c r="BD44" i="106"/>
  <c r="BE44" i="106"/>
  <c r="BH44" i="106"/>
  <c r="BI44" i="106"/>
  <c r="B45" i="106"/>
  <c r="C45" i="106"/>
  <c r="F45" i="106"/>
  <c r="H45" i="106"/>
  <c r="J45" i="106"/>
  <c r="L45" i="106"/>
  <c r="N45" i="106"/>
  <c r="P45" i="106"/>
  <c r="Q45" i="106"/>
  <c r="R45" i="106"/>
  <c r="S45" i="106"/>
  <c r="U45" i="106"/>
  <c r="W45" i="106"/>
  <c r="Y45" i="106"/>
  <c r="AC45" i="106"/>
  <c r="AD45" i="106"/>
  <c r="AF45" i="106"/>
  <c r="AH45" i="106"/>
  <c r="AI45" i="106"/>
  <c r="AJ45" i="106"/>
  <c r="AK45" i="106"/>
  <c r="AW45" i="106"/>
  <c r="AX45" i="106"/>
  <c r="AY45" i="106"/>
  <c r="BB45" i="106"/>
  <c r="BC45" i="106"/>
  <c r="BD45" i="106"/>
  <c r="BE45" i="106"/>
  <c r="BH45" i="106"/>
  <c r="BI45" i="106"/>
  <c r="B46" i="106"/>
  <c r="C46" i="106"/>
  <c r="F46" i="106"/>
  <c r="H46" i="106"/>
  <c r="J46" i="106"/>
  <c r="L46" i="106"/>
  <c r="N46" i="106"/>
  <c r="P46" i="106"/>
  <c r="Q46" i="106"/>
  <c r="R46" i="106"/>
  <c r="S46" i="106"/>
  <c r="U46" i="106"/>
  <c r="W46" i="106"/>
  <c r="Y46" i="106"/>
  <c r="AC46" i="106"/>
  <c r="AD46" i="106"/>
  <c r="AF46" i="106"/>
  <c r="AH46" i="106"/>
  <c r="AI46" i="106"/>
  <c r="AJ46" i="106"/>
  <c r="AK46" i="106"/>
  <c r="AW46" i="106"/>
  <c r="AX46" i="106"/>
  <c r="AY46" i="106"/>
  <c r="BB46" i="106"/>
  <c r="BC46" i="106"/>
  <c r="BD46" i="106"/>
  <c r="BE46" i="106"/>
  <c r="BH46" i="106"/>
  <c r="BI46" i="106"/>
  <c r="B47" i="106"/>
  <c r="C47" i="106"/>
  <c r="F47" i="106"/>
  <c r="H47" i="106"/>
  <c r="J47" i="106"/>
  <c r="L47" i="106"/>
  <c r="N47" i="106"/>
  <c r="P47" i="106"/>
  <c r="Q47" i="106"/>
  <c r="R47" i="106"/>
  <c r="S47" i="106"/>
  <c r="U47" i="106"/>
  <c r="W47" i="106"/>
  <c r="Y47" i="106"/>
  <c r="AC47" i="106"/>
  <c r="AD47" i="106"/>
  <c r="AF47" i="106"/>
  <c r="AH47" i="106"/>
  <c r="AI47" i="106"/>
  <c r="AJ47" i="106"/>
  <c r="AK47" i="106"/>
  <c r="AW47" i="106"/>
  <c r="AX47" i="106"/>
  <c r="AY47" i="106"/>
  <c r="BB47" i="106"/>
  <c r="BC47" i="106"/>
  <c r="BD47" i="106"/>
  <c r="BE47" i="106"/>
  <c r="BH47" i="106"/>
  <c r="BI47" i="106"/>
  <c r="B48" i="106"/>
  <c r="C48" i="106"/>
  <c r="F48" i="106"/>
  <c r="H48" i="106"/>
  <c r="J48" i="106"/>
  <c r="L48" i="106"/>
  <c r="N48" i="106"/>
  <c r="P48" i="106"/>
  <c r="Q48" i="106"/>
  <c r="R48" i="106"/>
  <c r="S48" i="106"/>
  <c r="U48" i="106"/>
  <c r="W48" i="106"/>
  <c r="Y48" i="106"/>
  <c r="AC48" i="106"/>
  <c r="AD48" i="106"/>
  <c r="AF48" i="106"/>
  <c r="AH48" i="106"/>
  <c r="AI48" i="106"/>
  <c r="AJ48" i="106"/>
  <c r="AK48" i="106"/>
  <c r="AW48" i="106"/>
  <c r="AX48" i="106"/>
  <c r="AY48" i="106"/>
  <c r="BB48" i="106"/>
  <c r="BC48" i="106"/>
  <c r="BD48" i="106"/>
  <c r="BE48" i="106"/>
  <c r="BH48" i="106"/>
  <c r="BI48" i="106"/>
  <c r="B49" i="106"/>
  <c r="C49" i="106"/>
  <c r="F49" i="106"/>
  <c r="H49" i="106"/>
  <c r="J49" i="106"/>
  <c r="L49" i="106"/>
  <c r="N49" i="106"/>
  <c r="P49" i="106"/>
  <c r="Q49" i="106"/>
  <c r="R49" i="106"/>
  <c r="S49" i="106"/>
  <c r="U49" i="106"/>
  <c r="W49" i="106"/>
  <c r="Y49" i="106"/>
  <c r="AC49" i="106"/>
  <c r="AD49" i="106"/>
  <c r="AF49" i="106"/>
  <c r="AH49" i="106"/>
  <c r="AI49" i="106"/>
  <c r="AJ49" i="106"/>
  <c r="AK49" i="106"/>
  <c r="AW49" i="106"/>
  <c r="AX49" i="106"/>
  <c r="AY49" i="106"/>
  <c r="BB49" i="106"/>
  <c r="BC49" i="106"/>
  <c r="BD49" i="106"/>
  <c r="BE49" i="106"/>
  <c r="BH49" i="106"/>
  <c r="BI49" i="106"/>
  <c r="B50" i="106"/>
  <c r="C50" i="106"/>
  <c r="F50" i="106"/>
  <c r="H50" i="106"/>
  <c r="J50" i="106"/>
  <c r="L50" i="106"/>
  <c r="N50" i="106"/>
  <c r="P50" i="106"/>
  <c r="Q50" i="106"/>
  <c r="R50" i="106"/>
  <c r="S50" i="106"/>
  <c r="U50" i="106"/>
  <c r="W50" i="106"/>
  <c r="Y50" i="106"/>
  <c r="AC50" i="106"/>
  <c r="AD50" i="106"/>
  <c r="AF50" i="106"/>
  <c r="AH50" i="106"/>
  <c r="AI50" i="106"/>
  <c r="AJ50" i="106"/>
  <c r="AK50" i="106"/>
  <c r="AW50" i="106"/>
  <c r="AX50" i="106"/>
  <c r="AY50" i="106"/>
  <c r="BB50" i="106"/>
  <c r="BC50" i="106"/>
  <c r="BD50" i="106"/>
  <c r="BE50" i="106"/>
  <c r="BH50" i="106"/>
  <c r="BI50" i="106"/>
  <c r="C51" i="106"/>
  <c r="D51" i="106"/>
  <c r="E51" i="106"/>
  <c r="F51" i="106"/>
  <c r="G51" i="106"/>
  <c r="H51" i="106"/>
  <c r="I51" i="106"/>
  <c r="J51" i="106"/>
  <c r="K51" i="106"/>
  <c r="L51" i="106"/>
  <c r="M51" i="106"/>
  <c r="N51" i="106"/>
  <c r="O51" i="106"/>
  <c r="P51" i="106"/>
  <c r="Q51" i="106"/>
  <c r="R51" i="106"/>
  <c r="S51" i="106"/>
  <c r="T51" i="106"/>
  <c r="U51" i="106"/>
  <c r="V51" i="106"/>
  <c r="W51" i="106"/>
  <c r="X51" i="106"/>
  <c r="Y51" i="106"/>
  <c r="AD51" i="106"/>
  <c r="AE51" i="106"/>
  <c r="AF51" i="106"/>
  <c r="AG51" i="106"/>
  <c r="AH51" i="106"/>
  <c r="AI51" i="106"/>
  <c r="AJ51" i="106"/>
  <c r="AK51" i="106"/>
  <c r="AX51" i="106"/>
  <c r="AY51" i="106"/>
  <c r="AZ51" i="106"/>
  <c r="BA51" i="106"/>
  <c r="BB51" i="106"/>
  <c r="BC51" i="106"/>
  <c r="BD51" i="106"/>
  <c r="BE51" i="106"/>
  <c r="BF51" i="106"/>
  <c r="BG51" i="106"/>
  <c r="BH51" i="106"/>
  <c r="BI51" i="106"/>
  <c r="AN10" i="105"/>
  <c r="AO10" i="105"/>
  <c r="AQ10" i="105"/>
  <c r="AS10" i="105"/>
  <c r="AT10" i="105"/>
  <c r="B11" i="105"/>
  <c r="C11" i="105"/>
  <c r="F11" i="105"/>
  <c r="H11" i="105"/>
  <c r="J11" i="105"/>
  <c r="L11" i="105"/>
  <c r="N11" i="105"/>
  <c r="P11" i="105"/>
  <c r="Q11" i="105"/>
  <c r="R11" i="105"/>
  <c r="S11" i="105"/>
  <c r="U11" i="105"/>
  <c r="W11" i="105"/>
  <c r="Y11" i="105"/>
  <c r="AC11" i="105"/>
  <c r="AD11" i="105"/>
  <c r="AF11" i="105"/>
  <c r="AH11" i="105"/>
  <c r="AI11" i="105"/>
  <c r="AJ11" i="105"/>
  <c r="AK11" i="105"/>
  <c r="AN11" i="105"/>
  <c r="AO11" i="105"/>
  <c r="AQ11" i="105"/>
  <c r="AS11" i="105"/>
  <c r="AT11" i="105"/>
  <c r="AW11" i="105"/>
  <c r="AX11" i="105"/>
  <c r="AY11" i="105"/>
  <c r="BB11" i="105"/>
  <c r="BC11" i="105"/>
  <c r="BD11" i="105"/>
  <c r="BE11" i="105"/>
  <c r="BH11" i="105"/>
  <c r="BI11" i="105"/>
  <c r="B12" i="105"/>
  <c r="C12" i="105"/>
  <c r="F12" i="105"/>
  <c r="H12" i="105"/>
  <c r="J12" i="105"/>
  <c r="L12" i="105"/>
  <c r="N12" i="105"/>
  <c r="P12" i="105"/>
  <c r="Q12" i="105"/>
  <c r="R12" i="105"/>
  <c r="S12" i="105"/>
  <c r="U12" i="105"/>
  <c r="W12" i="105"/>
  <c r="Y12" i="105"/>
  <c r="AC12" i="105"/>
  <c r="AD12" i="105"/>
  <c r="AF12" i="105"/>
  <c r="AH12" i="105"/>
  <c r="AI12" i="105"/>
  <c r="AJ12" i="105"/>
  <c r="AK12" i="105"/>
  <c r="AN12" i="105"/>
  <c r="AO12" i="105"/>
  <c r="AQ12" i="105"/>
  <c r="AS12" i="105"/>
  <c r="AT12" i="105"/>
  <c r="AW12" i="105"/>
  <c r="AX12" i="105"/>
  <c r="AY12" i="105"/>
  <c r="BB12" i="105"/>
  <c r="BC12" i="105"/>
  <c r="BD12" i="105"/>
  <c r="BE12" i="105"/>
  <c r="BH12" i="105"/>
  <c r="BI12" i="105"/>
  <c r="B13" i="105"/>
  <c r="C13" i="105"/>
  <c r="F13" i="105"/>
  <c r="H13" i="105"/>
  <c r="J13" i="105"/>
  <c r="L13" i="105"/>
  <c r="N13" i="105"/>
  <c r="P13" i="105"/>
  <c r="Q13" i="105"/>
  <c r="R13" i="105"/>
  <c r="S13" i="105"/>
  <c r="U13" i="105"/>
  <c r="W13" i="105"/>
  <c r="Y13" i="105"/>
  <c r="AC13" i="105"/>
  <c r="AD13" i="105"/>
  <c r="AF13" i="105"/>
  <c r="AH13" i="105"/>
  <c r="AI13" i="105"/>
  <c r="AJ13" i="105"/>
  <c r="AK13" i="105"/>
  <c r="AO13" i="105"/>
  <c r="AP13" i="105"/>
  <c r="AQ13" i="105"/>
  <c r="AR13" i="105"/>
  <c r="AS13" i="105"/>
  <c r="AT13" i="105"/>
  <c r="AW13" i="105"/>
  <c r="AX13" i="105"/>
  <c r="AY13" i="105"/>
  <c r="BB13" i="105"/>
  <c r="BC13" i="105"/>
  <c r="BD13" i="105"/>
  <c r="BE13" i="105"/>
  <c r="BH13" i="105"/>
  <c r="BI13" i="105"/>
  <c r="B14" i="105"/>
  <c r="C14" i="105"/>
  <c r="F14" i="105"/>
  <c r="H14" i="105"/>
  <c r="J14" i="105"/>
  <c r="L14" i="105"/>
  <c r="N14" i="105"/>
  <c r="P14" i="105"/>
  <c r="Q14" i="105"/>
  <c r="R14" i="105"/>
  <c r="S14" i="105"/>
  <c r="U14" i="105"/>
  <c r="W14" i="105"/>
  <c r="Y14" i="105"/>
  <c r="AC14" i="105"/>
  <c r="AD14" i="105"/>
  <c r="AF14" i="105"/>
  <c r="AH14" i="105"/>
  <c r="AI14" i="105"/>
  <c r="AJ14" i="105"/>
  <c r="AK14" i="105"/>
  <c r="AT14" i="105"/>
  <c r="AW14" i="105"/>
  <c r="AX14" i="105"/>
  <c r="AY14" i="105"/>
  <c r="BB14" i="105"/>
  <c r="BC14" i="105"/>
  <c r="BD14" i="105"/>
  <c r="BE14" i="105"/>
  <c r="BH14" i="105"/>
  <c r="BI14" i="105"/>
  <c r="B15" i="105"/>
  <c r="C15" i="105"/>
  <c r="F15" i="105"/>
  <c r="H15" i="105"/>
  <c r="J15" i="105"/>
  <c r="L15" i="105"/>
  <c r="N15" i="105"/>
  <c r="P15" i="105"/>
  <c r="Q15" i="105"/>
  <c r="R15" i="105"/>
  <c r="S15" i="105"/>
  <c r="U15" i="105"/>
  <c r="W15" i="105"/>
  <c r="Y15" i="105"/>
  <c r="AC15" i="105"/>
  <c r="AD15" i="105"/>
  <c r="AF15" i="105"/>
  <c r="AH15" i="105"/>
  <c r="AI15" i="105"/>
  <c r="AJ15" i="105"/>
  <c r="AK15" i="105"/>
  <c r="AW15" i="105"/>
  <c r="AX15" i="105"/>
  <c r="AY15" i="105"/>
  <c r="BB15" i="105"/>
  <c r="BC15" i="105"/>
  <c r="BD15" i="105"/>
  <c r="BE15" i="105"/>
  <c r="BH15" i="105"/>
  <c r="BI15" i="105"/>
  <c r="B16" i="105"/>
  <c r="C16" i="105"/>
  <c r="F16" i="105"/>
  <c r="H16" i="105"/>
  <c r="J16" i="105"/>
  <c r="L16" i="105"/>
  <c r="N16" i="105"/>
  <c r="P16" i="105"/>
  <c r="Q16" i="105"/>
  <c r="R16" i="105"/>
  <c r="S16" i="105"/>
  <c r="U16" i="105"/>
  <c r="W16" i="105"/>
  <c r="Y16" i="105"/>
  <c r="AC16" i="105"/>
  <c r="AD16" i="105"/>
  <c r="AF16" i="105"/>
  <c r="AH16" i="105"/>
  <c r="AI16" i="105"/>
  <c r="AJ16" i="105"/>
  <c r="AK16" i="105"/>
  <c r="AW16" i="105"/>
  <c r="AX16" i="105"/>
  <c r="AY16" i="105"/>
  <c r="BB16" i="105"/>
  <c r="BC16" i="105"/>
  <c r="BD16" i="105"/>
  <c r="BE16" i="105"/>
  <c r="BH16" i="105"/>
  <c r="BI16" i="105"/>
  <c r="B17" i="105"/>
  <c r="C17" i="105"/>
  <c r="F17" i="105"/>
  <c r="H17" i="105"/>
  <c r="J17" i="105"/>
  <c r="L17" i="105"/>
  <c r="N17" i="105"/>
  <c r="P17" i="105"/>
  <c r="Q17" i="105"/>
  <c r="R17" i="105"/>
  <c r="S17" i="105"/>
  <c r="U17" i="105"/>
  <c r="W17" i="105"/>
  <c r="Y17" i="105"/>
  <c r="AC17" i="105"/>
  <c r="AD17" i="105"/>
  <c r="AF17" i="105"/>
  <c r="AH17" i="105"/>
  <c r="AI17" i="105"/>
  <c r="AJ17" i="105"/>
  <c r="AK17" i="105"/>
  <c r="AW17" i="105"/>
  <c r="AX17" i="105"/>
  <c r="AY17" i="105"/>
  <c r="BB17" i="105"/>
  <c r="BC17" i="105"/>
  <c r="BD17" i="105"/>
  <c r="BE17" i="105"/>
  <c r="BH17" i="105"/>
  <c r="BI17" i="105"/>
  <c r="B18" i="105"/>
  <c r="C18" i="105"/>
  <c r="F18" i="105"/>
  <c r="H18" i="105"/>
  <c r="J18" i="105"/>
  <c r="L18" i="105"/>
  <c r="N18" i="105"/>
  <c r="P18" i="105"/>
  <c r="Q18" i="105"/>
  <c r="R18" i="105"/>
  <c r="S18" i="105"/>
  <c r="U18" i="105"/>
  <c r="W18" i="105"/>
  <c r="Y18" i="105"/>
  <c r="AC18" i="105"/>
  <c r="AD18" i="105"/>
  <c r="AF18" i="105"/>
  <c r="AH18" i="105"/>
  <c r="AI18" i="105"/>
  <c r="AJ18" i="105"/>
  <c r="AK18" i="105"/>
  <c r="AW18" i="105"/>
  <c r="AX18" i="105"/>
  <c r="AY18" i="105"/>
  <c r="BB18" i="105"/>
  <c r="BC18" i="105"/>
  <c r="BD18" i="105"/>
  <c r="BE18" i="105"/>
  <c r="BH18" i="105"/>
  <c r="BI18" i="105"/>
  <c r="B19" i="105"/>
  <c r="C19" i="105"/>
  <c r="F19" i="105"/>
  <c r="H19" i="105"/>
  <c r="J19" i="105"/>
  <c r="L19" i="105"/>
  <c r="N19" i="105"/>
  <c r="P19" i="105"/>
  <c r="Q19" i="105"/>
  <c r="R19" i="105"/>
  <c r="S19" i="105"/>
  <c r="U19" i="105"/>
  <c r="W19" i="105"/>
  <c r="Y19" i="105"/>
  <c r="AC19" i="105"/>
  <c r="AD19" i="105"/>
  <c r="AF19" i="105"/>
  <c r="AH19" i="105"/>
  <c r="AI19" i="105"/>
  <c r="AJ19" i="105"/>
  <c r="AK19" i="105"/>
  <c r="AW19" i="105"/>
  <c r="AX19" i="105"/>
  <c r="AY19" i="105"/>
  <c r="BB19" i="105"/>
  <c r="BC19" i="105"/>
  <c r="BD19" i="105"/>
  <c r="BE19" i="105"/>
  <c r="BH19" i="105"/>
  <c r="BI19" i="105"/>
  <c r="B20" i="105"/>
  <c r="C20" i="105"/>
  <c r="F20" i="105"/>
  <c r="H20" i="105"/>
  <c r="J20" i="105"/>
  <c r="L20" i="105"/>
  <c r="N20" i="105"/>
  <c r="P20" i="105"/>
  <c r="Q20" i="105"/>
  <c r="R20" i="105"/>
  <c r="S20" i="105"/>
  <c r="U20" i="105"/>
  <c r="W20" i="105"/>
  <c r="Y20" i="105"/>
  <c r="AC20" i="105"/>
  <c r="AD20" i="105"/>
  <c r="AF20" i="105"/>
  <c r="AH20" i="105"/>
  <c r="AI20" i="105"/>
  <c r="AJ20" i="105"/>
  <c r="AK20" i="105"/>
  <c r="AW20" i="105"/>
  <c r="AX20" i="105"/>
  <c r="AY20" i="105"/>
  <c r="BB20" i="105"/>
  <c r="BC20" i="105"/>
  <c r="BD20" i="105"/>
  <c r="BE20" i="105"/>
  <c r="BH20" i="105"/>
  <c r="BI20" i="105"/>
  <c r="B21" i="105"/>
  <c r="C21" i="105"/>
  <c r="F21" i="105"/>
  <c r="H21" i="105"/>
  <c r="J21" i="105"/>
  <c r="L21" i="105"/>
  <c r="N21" i="105"/>
  <c r="P21" i="105"/>
  <c r="Q21" i="105"/>
  <c r="R21" i="105"/>
  <c r="S21" i="105"/>
  <c r="U21" i="105"/>
  <c r="W21" i="105"/>
  <c r="Y21" i="105"/>
  <c r="AC21" i="105"/>
  <c r="AD21" i="105"/>
  <c r="AF21" i="105"/>
  <c r="AH21" i="105"/>
  <c r="AI21" i="105"/>
  <c r="AJ21" i="105"/>
  <c r="AK21" i="105"/>
  <c r="AW21" i="105"/>
  <c r="AX21" i="105"/>
  <c r="AY21" i="105"/>
  <c r="BB21" i="105"/>
  <c r="BC21" i="105"/>
  <c r="BD21" i="105"/>
  <c r="BE21" i="105"/>
  <c r="BH21" i="105"/>
  <c r="BI21" i="105"/>
  <c r="B22" i="105"/>
  <c r="C22" i="105"/>
  <c r="F22" i="105"/>
  <c r="H22" i="105"/>
  <c r="J22" i="105"/>
  <c r="L22" i="105"/>
  <c r="N22" i="105"/>
  <c r="P22" i="105"/>
  <c r="Q22" i="105"/>
  <c r="R22" i="105"/>
  <c r="S22" i="105"/>
  <c r="U22" i="105"/>
  <c r="W22" i="105"/>
  <c r="Y22" i="105"/>
  <c r="AC22" i="105"/>
  <c r="AD22" i="105"/>
  <c r="AF22" i="105"/>
  <c r="AH22" i="105"/>
  <c r="AI22" i="105"/>
  <c r="AJ22" i="105"/>
  <c r="AK22" i="105"/>
  <c r="AW22" i="105"/>
  <c r="AX22" i="105"/>
  <c r="AY22" i="105"/>
  <c r="BB22" i="105"/>
  <c r="BC22" i="105"/>
  <c r="BD22" i="105"/>
  <c r="BE22" i="105"/>
  <c r="BH22" i="105"/>
  <c r="BI22" i="105"/>
  <c r="B23" i="105"/>
  <c r="C23" i="105"/>
  <c r="F23" i="105"/>
  <c r="H23" i="105"/>
  <c r="J23" i="105"/>
  <c r="L23" i="105"/>
  <c r="N23" i="105"/>
  <c r="P23" i="105"/>
  <c r="Q23" i="105"/>
  <c r="R23" i="105"/>
  <c r="S23" i="105"/>
  <c r="U23" i="105"/>
  <c r="W23" i="105"/>
  <c r="Y23" i="105"/>
  <c r="AC23" i="105"/>
  <c r="AD23" i="105"/>
  <c r="AF23" i="105"/>
  <c r="AH23" i="105"/>
  <c r="AI23" i="105"/>
  <c r="AJ23" i="105"/>
  <c r="AK23" i="105"/>
  <c r="AW23" i="105"/>
  <c r="AX23" i="105"/>
  <c r="AY23" i="105"/>
  <c r="BB23" i="105"/>
  <c r="BC23" i="105"/>
  <c r="BD23" i="105"/>
  <c r="BE23" i="105"/>
  <c r="BH23" i="105"/>
  <c r="BI23" i="105"/>
  <c r="B24" i="105"/>
  <c r="C24" i="105"/>
  <c r="F24" i="105"/>
  <c r="H24" i="105"/>
  <c r="J24" i="105"/>
  <c r="L24" i="105"/>
  <c r="N24" i="105"/>
  <c r="P24" i="105"/>
  <c r="Q24" i="105"/>
  <c r="R24" i="105"/>
  <c r="S24" i="105"/>
  <c r="U24" i="105"/>
  <c r="W24" i="105"/>
  <c r="Y24" i="105"/>
  <c r="AC24" i="105"/>
  <c r="AD24" i="105"/>
  <c r="AF24" i="105"/>
  <c r="AH24" i="105"/>
  <c r="AI24" i="105"/>
  <c r="AJ24" i="105"/>
  <c r="AK24" i="105"/>
  <c r="AW24" i="105"/>
  <c r="AX24" i="105"/>
  <c r="AY24" i="105"/>
  <c r="BB24" i="105"/>
  <c r="BC24" i="105"/>
  <c r="BD24" i="105"/>
  <c r="BE24" i="105"/>
  <c r="BH24" i="105"/>
  <c r="BI24" i="105"/>
  <c r="B25" i="105"/>
  <c r="C25" i="105"/>
  <c r="F25" i="105"/>
  <c r="H25" i="105"/>
  <c r="J25" i="105"/>
  <c r="L25" i="105"/>
  <c r="N25" i="105"/>
  <c r="P25" i="105"/>
  <c r="Q25" i="105"/>
  <c r="R25" i="105"/>
  <c r="S25" i="105"/>
  <c r="U25" i="105"/>
  <c r="W25" i="105"/>
  <c r="Y25" i="105"/>
  <c r="AC25" i="105"/>
  <c r="AD25" i="105"/>
  <c r="AF25" i="105"/>
  <c r="AH25" i="105"/>
  <c r="AI25" i="105"/>
  <c r="AJ25" i="105"/>
  <c r="AK25" i="105"/>
  <c r="AW25" i="105"/>
  <c r="AX25" i="105"/>
  <c r="AY25" i="105"/>
  <c r="BB25" i="105"/>
  <c r="BC25" i="105"/>
  <c r="BD25" i="105"/>
  <c r="BE25" i="105"/>
  <c r="BH25" i="105"/>
  <c r="BI25" i="105"/>
  <c r="B26" i="105"/>
  <c r="C26" i="105"/>
  <c r="F26" i="105"/>
  <c r="H26" i="105"/>
  <c r="J26" i="105"/>
  <c r="L26" i="105"/>
  <c r="N26" i="105"/>
  <c r="P26" i="105"/>
  <c r="Q26" i="105"/>
  <c r="R26" i="105"/>
  <c r="S26" i="105"/>
  <c r="U26" i="105"/>
  <c r="W26" i="105"/>
  <c r="Y26" i="105"/>
  <c r="AC26" i="105"/>
  <c r="AD26" i="105"/>
  <c r="AF26" i="105"/>
  <c r="AH26" i="105"/>
  <c r="AI26" i="105"/>
  <c r="AJ26" i="105"/>
  <c r="AK26" i="105"/>
  <c r="AW26" i="105"/>
  <c r="AX26" i="105"/>
  <c r="AY26" i="105"/>
  <c r="BB26" i="105"/>
  <c r="BC26" i="105"/>
  <c r="BD26" i="105"/>
  <c r="BE26" i="105"/>
  <c r="BH26" i="105"/>
  <c r="BI26" i="105"/>
  <c r="B27" i="105"/>
  <c r="C27" i="105"/>
  <c r="F27" i="105"/>
  <c r="H27" i="105"/>
  <c r="J27" i="105"/>
  <c r="L27" i="105"/>
  <c r="N27" i="105"/>
  <c r="P27" i="105"/>
  <c r="Q27" i="105"/>
  <c r="R27" i="105"/>
  <c r="S27" i="105"/>
  <c r="U27" i="105"/>
  <c r="W27" i="105"/>
  <c r="Y27" i="105"/>
  <c r="AC27" i="105"/>
  <c r="AD27" i="105"/>
  <c r="AF27" i="105"/>
  <c r="AH27" i="105"/>
  <c r="AI27" i="105"/>
  <c r="AJ27" i="105"/>
  <c r="AK27" i="105"/>
  <c r="AW27" i="105"/>
  <c r="AX27" i="105"/>
  <c r="AY27" i="105"/>
  <c r="BB27" i="105"/>
  <c r="BC27" i="105"/>
  <c r="BD27" i="105"/>
  <c r="BE27" i="105"/>
  <c r="BH27" i="105"/>
  <c r="BI27" i="105"/>
  <c r="B28" i="105"/>
  <c r="C28" i="105"/>
  <c r="F28" i="105"/>
  <c r="H28" i="105"/>
  <c r="J28" i="105"/>
  <c r="L28" i="105"/>
  <c r="N28" i="105"/>
  <c r="P28" i="105"/>
  <c r="Q28" i="105"/>
  <c r="R28" i="105"/>
  <c r="S28" i="105"/>
  <c r="U28" i="105"/>
  <c r="W28" i="105"/>
  <c r="Y28" i="105"/>
  <c r="AC28" i="105"/>
  <c r="AD28" i="105"/>
  <c r="AF28" i="105"/>
  <c r="AH28" i="105"/>
  <c r="AI28" i="105"/>
  <c r="AJ28" i="105"/>
  <c r="AK28" i="105"/>
  <c r="AW28" i="105"/>
  <c r="AX28" i="105"/>
  <c r="AY28" i="105"/>
  <c r="BB28" i="105"/>
  <c r="BC28" i="105"/>
  <c r="BD28" i="105"/>
  <c r="BE28" i="105"/>
  <c r="BH28" i="105"/>
  <c r="BI28" i="105"/>
  <c r="B29" i="105"/>
  <c r="C29" i="105"/>
  <c r="F29" i="105"/>
  <c r="H29" i="105"/>
  <c r="J29" i="105"/>
  <c r="L29" i="105"/>
  <c r="N29" i="105"/>
  <c r="P29" i="105"/>
  <c r="Q29" i="105"/>
  <c r="R29" i="105"/>
  <c r="S29" i="105"/>
  <c r="U29" i="105"/>
  <c r="W29" i="105"/>
  <c r="Y29" i="105"/>
  <c r="AC29" i="105"/>
  <c r="AD29" i="105"/>
  <c r="AF29" i="105"/>
  <c r="AH29" i="105"/>
  <c r="AI29" i="105"/>
  <c r="AJ29" i="105"/>
  <c r="AK29" i="105"/>
  <c r="AW29" i="105"/>
  <c r="AX29" i="105"/>
  <c r="AY29" i="105"/>
  <c r="BB29" i="105"/>
  <c r="BC29" i="105"/>
  <c r="BD29" i="105"/>
  <c r="BE29" i="105"/>
  <c r="BH29" i="105"/>
  <c r="BI29" i="105"/>
  <c r="B30" i="105"/>
  <c r="C30" i="105"/>
  <c r="F30" i="105"/>
  <c r="H30" i="105"/>
  <c r="J30" i="105"/>
  <c r="L30" i="105"/>
  <c r="N30" i="105"/>
  <c r="P30" i="105"/>
  <c r="Q30" i="105"/>
  <c r="R30" i="105"/>
  <c r="S30" i="105"/>
  <c r="U30" i="105"/>
  <c r="W30" i="105"/>
  <c r="Y30" i="105"/>
  <c r="AC30" i="105"/>
  <c r="AD30" i="105"/>
  <c r="AF30" i="105"/>
  <c r="AH30" i="105"/>
  <c r="AI30" i="105"/>
  <c r="AJ30" i="105"/>
  <c r="AK30" i="105"/>
  <c r="AW30" i="105"/>
  <c r="AX30" i="105"/>
  <c r="AY30" i="105"/>
  <c r="BB30" i="105"/>
  <c r="BC30" i="105"/>
  <c r="BD30" i="105"/>
  <c r="BE30" i="105"/>
  <c r="BH30" i="105"/>
  <c r="BI30" i="105"/>
  <c r="B31" i="105"/>
  <c r="C31" i="105"/>
  <c r="F31" i="105"/>
  <c r="H31" i="105"/>
  <c r="J31" i="105"/>
  <c r="L31" i="105"/>
  <c r="N31" i="105"/>
  <c r="P31" i="105"/>
  <c r="Q31" i="105"/>
  <c r="R31" i="105"/>
  <c r="S31" i="105"/>
  <c r="U31" i="105"/>
  <c r="W31" i="105"/>
  <c r="Y31" i="105"/>
  <c r="AC31" i="105"/>
  <c r="AD31" i="105"/>
  <c r="AF31" i="105"/>
  <c r="AH31" i="105"/>
  <c r="AI31" i="105"/>
  <c r="AJ31" i="105"/>
  <c r="AK31" i="105"/>
  <c r="AW31" i="105"/>
  <c r="AX31" i="105"/>
  <c r="AY31" i="105"/>
  <c r="BB31" i="105"/>
  <c r="BC31" i="105"/>
  <c r="BD31" i="105"/>
  <c r="BE31" i="105"/>
  <c r="BH31" i="105"/>
  <c r="BI31" i="105"/>
  <c r="B32" i="105"/>
  <c r="C32" i="105"/>
  <c r="F32" i="105"/>
  <c r="H32" i="105"/>
  <c r="J32" i="105"/>
  <c r="L32" i="105"/>
  <c r="N32" i="105"/>
  <c r="P32" i="105"/>
  <c r="Q32" i="105"/>
  <c r="R32" i="105"/>
  <c r="S32" i="105"/>
  <c r="U32" i="105"/>
  <c r="W32" i="105"/>
  <c r="Y32" i="105"/>
  <c r="AC32" i="105"/>
  <c r="AD32" i="105"/>
  <c r="AF32" i="105"/>
  <c r="AH32" i="105"/>
  <c r="AI32" i="105"/>
  <c r="AJ32" i="105"/>
  <c r="AK32" i="105"/>
  <c r="AW32" i="105"/>
  <c r="AX32" i="105"/>
  <c r="AY32" i="105"/>
  <c r="BB32" i="105"/>
  <c r="BC32" i="105"/>
  <c r="BD32" i="105"/>
  <c r="BE32" i="105"/>
  <c r="BH32" i="105"/>
  <c r="BI32" i="105"/>
  <c r="B33" i="105"/>
  <c r="C33" i="105"/>
  <c r="F33" i="105"/>
  <c r="H33" i="105"/>
  <c r="J33" i="105"/>
  <c r="L33" i="105"/>
  <c r="N33" i="105"/>
  <c r="P33" i="105"/>
  <c r="Q33" i="105"/>
  <c r="R33" i="105"/>
  <c r="S33" i="105"/>
  <c r="U33" i="105"/>
  <c r="W33" i="105"/>
  <c r="Y33" i="105"/>
  <c r="AC33" i="105"/>
  <c r="AD33" i="105"/>
  <c r="AF33" i="105"/>
  <c r="AH33" i="105"/>
  <c r="AI33" i="105"/>
  <c r="AJ33" i="105"/>
  <c r="AK33" i="105"/>
  <c r="AW33" i="105"/>
  <c r="AX33" i="105"/>
  <c r="AY33" i="105"/>
  <c r="BB33" i="105"/>
  <c r="BC33" i="105"/>
  <c r="BD33" i="105"/>
  <c r="BE33" i="105"/>
  <c r="BH33" i="105"/>
  <c r="BI33" i="105"/>
  <c r="B34" i="105"/>
  <c r="C34" i="105"/>
  <c r="F34" i="105"/>
  <c r="H34" i="105"/>
  <c r="J34" i="105"/>
  <c r="L34" i="105"/>
  <c r="N34" i="105"/>
  <c r="P34" i="105"/>
  <c r="Q34" i="105"/>
  <c r="R34" i="105"/>
  <c r="S34" i="105"/>
  <c r="U34" i="105"/>
  <c r="W34" i="105"/>
  <c r="Y34" i="105"/>
  <c r="AC34" i="105"/>
  <c r="AD34" i="105"/>
  <c r="AF34" i="105"/>
  <c r="AH34" i="105"/>
  <c r="AI34" i="105"/>
  <c r="AJ34" i="105"/>
  <c r="AK34" i="105"/>
  <c r="AW34" i="105"/>
  <c r="AX34" i="105"/>
  <c r="AY34" i="105"/>
  <c r="BB34" i="105"/>
  <c r="BC34" i="105"/>
  <c r="BD34" i="105"/>
  <c r="BE34" i="105"/>
  <c r="BH34" i="105"/>
  <c r="BI34" i="105"/>
  <c r="B35" i="105"/>
  <c r="C35" i="105"/>
  <c r="F35" i="105"/>
  <c r="H35" i="105"/>
  <c r="J35" i="105"/>
  <c r="L35" i="105"/>
  <c r="N35" i="105"/>
  <c r="P35" i="105"/>
  <c r="Q35" i="105"/>
  <c r="R35" i="105"/>
  <c r="S35" i="105"/>
  <c r="U35" i="105"/>
  <c r="W35" i="105"/>
  <c r="Y35" i="105"/>
  <c r="AC35" i="105"/>
  <c r="AD35" i="105"/>
  <c r="AF35" i="105"/>
  <c r="AH35" i="105"/>
  <c r="AI35" i="105"/>
  <c r="AJ35" i="105"/>
  <c r="AK35" i="105"/>
  <c r="AW35" i="105"/>
  <c r="AX35" i="105"/>
  <c r="AY35" i="105"/>
  <c r="BB35" i="105"/>
  <c r="BC35" i="105"/>
  <c r="BD35" i="105"/>
  <c r="BE35" i="105"/>
  <c r="BH35" i="105"/>
  <c r="BI35" i="105"/>
  <c r="B36" i="105"/>
  <c r="C36" i="105"/>
  <c r="F36" i="105"/>
  <c r="H36" i="105"/>
  <c r="J36" i="105"/>
  <c r="L36" i="105"/>
  <c r="N36" i="105"/>
  <c r="P36" i="105"/>
  <c r="Q36" i="105"/>
  <c r="R36" i="105"/>
  <c r="S36" i="105"/>
  <c r="U36" i="105"/>
  <c r="W36" i="105"/>
  <c r="Y36" i="105"/>
  <c r="AC36" i="105"/>
  <c r="AD36" i="105"/>
  <c r="AF36" i="105"/>
  <c r="AH36" i="105"/>
  <c r="AI36" i="105"/>
  <c r="AJ36" i="105"/>
  <c r="AK36" i="105"/>
  <c r="AW36" i="105"/>
  <c r="AX36" i="105"/>
  <c r="AY36" i="105"/>
  <c r="BB36" i="105"/>
  <c r="BC36" i="105"/>
  <c r="BD36" i="105"/>
  <c r="BE36" i="105"/>
  <c r="BH36" i="105"/>
  <c r="BI36" i="105"/>
  <c r="B37" i="105"/>
  <c r="C37" i="105"/>
  <c r="F37" i="105"/>
  <c r="H37" i="105"/>
  <c r="J37" i="105"/>
  <c r="L37" i="105"/>
  <c r="N37" i="105"/>
  <c r="P37" i="105"/>
  <c r="Q37" i="105"/>
  <c r="R37" i="105"/>
  <c r="S37" i="105"/>
  <c r="U37" i="105"/>
  <c r="W37" i="105"/>
  <c r="Y37" i="105"/>
  <c r="AC37" i="105"/>
  <c r="AD37" i="105"/>
  <c r="AF37" i="105"/>
  <c r="AH37" i="105"/>
  <c r="AI37" i="105"/>
  <c r="AJ37" i="105"/>
  <c r="AK37" i="105"/>
  <c r="AW37" i="105"/>
  <c r="AX37" i="105"/>
  <c r="AY37" i="105"/>
  <c r="BB37" i="105"/>
  <c r="BC37" i="105"/>
  <c r="BD37" i="105"/>
  <c r="BE37" i="105"/>
  <c r="BH37" i="105"/>
  <c r="BI37" i="105"/>
  <c r="B38" i="105"/>
  <c r="C38" i="105"/>
  <c r="F38" i="105"/>
  <c r="H38" i="105"/>
  <c r="J38" i="105"/>
  <c r="L38" i="105"/>
  <c r="N38" i="105"/>
  <c r="P38" i="105"/>
  <c r="Q38" i="105"/>
  <c r="R38" i="105"/>
  <c r="S38" i="105"/>
  <c r="U38" i="105"/>
  <c r="W38" i="105"/>
  <c r="Y38" i="105"/>
  <c r="AC38" i="105"/>
  <c r="AD38" i="105"/>
  <c r="AF38" i="105"/>
  <c r="AH38" i="105"/>
  <c r="AI38" i="105"/>
  <c r="AJ38" i="105"/>
  <c r="AK38" i="105"/>
  <c r="AW38" i="105"/>
  <c r="AX38" i="105"/>
  <c r="AY38" i="105"/>
  <c r="BB38" i="105"/>
  <c r="BC38" i="105"/>
  <c r="BD38" i="105"/>
  <c r="BE38" i="105"/>
  <c r="BH38" i="105"/>
  <c r="BI38" i="105"/>
  <c r="B39" i="105"/>
  <c r="C39" i="105"/>
  <c r="F39" i="105"/>
  <c r="H39" i="105"/>
  <c r="J39" i="105"/>
  <c r="L39" i="105"/>
  <c r="N39" i="105"/>
  <c r="P39" i="105"/>
  <c r="Q39" i="105"/>
  <c r="R39" i="105"/>
  <c r="S39" i="105"/>
  <c r="U39" i="105"/>
  <c r="W39" i="105"/>
  <c r="Y39" i="105"/>
  <c r="AC39" i="105"/>
  <c r="AD39" i="105"/>
  <c r="AF39" i="105"/>
  <c r="AH39" i="105"/>
  <c r="AI39" i="105"/>
  <c r="AJ39" i="105"/>
  <c r="AK39" i="105"/>
  <c r="AW39" i="105"/>
  <c r="AX39" i="105"/>
  <c r="AY39" i="105"/>
  <c r="BB39" i="105"/>
  <c r="BC39" i="105"/>
  <c r="BD39" i="105"/>
  <c r="BE39" i="105"/>
  <c r="BH39" i="105"/>
  <c r="BI39" i="105"/>
  <c r="B40" i="105"/>
  <c r="C40" i="105"/>
  <c r="F40" i="105"/>
  <c r="H40" i="105"/>
  <c r="J40" i="105"/>
  <c r="L40" i="105"/>
  <c r="N40" i="105"/>
  <c r="P40" i="105"/>
  <c r="Q40" i="105"/>
  <c r="R40" i="105"/>
  <c r="S40" i="105"/>
  <c r="U40" i="105"/>
  <c r="W40" i="105"/>
  <c r="Y40" i="105"/>
  <c r="AC40" i="105"/>
  <c r="AD40" i="105"/>
  <c r="AF40" i="105"/>
  <c r="AH40" i="105"/>
  <c r="AI40" i="105"/>
  <c r="AJ40" i="105"/>
  <c r="AK40" i="105"/>
  <c r="AW40" i="105"/>
  <c r="AX40" i="105"/>
  <c r="AY40" i="105"/>
  <c r="BB40" i="105"/>
  <c r="BC40" i="105"/>
  <c r="BD40" i="105"/>
  <c r="BE40" i="105"/>
  <c r="BH40" i="105"/>
  <c r="BI40" i="105"/>
  <c r="B41" i="105"/>
  <c r="C41" i="105"/>
  <c r="F41" i="105"/>
  <c r="H41" i="105"/>
  <c r="J41" i="105"/>
  <c r="L41" i="105"/>
  <c r="N41" i="105"/>
  <c r="P41" i="105"/>
  <c r="Q41" i="105"/>
  <c r="R41" i="105"/>
  <c r="S41" i="105"/>
  <c r="U41" i="105"/>
  <c r="W41" i="105"/>
  <c r="Y41" i="105"/>
  <c r="AC41" i="105"/>
  <c r="AD41" i="105"/>
  <c r="AF41" i="105"/>
  <c r="AH41" i="105"/>
  <c r="AI41" i="105"/>
  <c r="AJ41" i="105"/>
  <c r="AK41" i="105"/>
  <c r="AW41" i="105"/>
  <c r="AX41" i="105"/>
  <c r="AY41" i="105"/>
  <c r="BB41" i="105"/>
  <c r="BC41" i="105"/>
  <c r="BD41" i="105"/>
  <c r="BE41" i="105"/>
  <c r="BH41" i="105"/>
  <c r="BI41" i="105"/>
  <c r="B42" i="105"/>
  <c r="C42" i="105"/>
  <c r="F42" i="105"/>
  <c r="H42" i="105"/>
  <c r="J42" i="105"/>
  <c r="L42" i="105"/>
  <c r="N42" i="105"/>
  <c r="P42" i="105"/>
  <c r="Q42" i="105"/>
  <c r="R42" i="105"/>
  <c r="S42" i="105"/>
  <c r="U42" i="105"/>
  <c r="W42" i="105"/>
  <c r="Y42" i="105"/>
  <c r="AC42" i="105"/>
  <c r="AD42" i="105"/>
  <c r="AF42" i="105"/>
  <c r="AH42" i="105"/>
  <c r="AI42" i="105"/>
  <c r="AJ42" i="105"/>
  <c r="AK42" i="105"/>
  <c r="AW42" i="105"/>
  <c r="AX42" i="105"/>
  <c r="AY42" i="105"/>
  <c r="BB42" i="105"/>
  <c r="BC42" i="105"/>
  <c r="BD42" i="105"/>
  <c r="BE42" i="105"/>
  <c r="BH42" i="105"/>
  <c r="BI42" i="105"/>
  <c r="B43" i="105"/>
  <c r="C43" i="105"/>
  <c r="F43" i="105"/>
  <c r="H43" i="105"/>
  <c r="J43" i="105"/>
  <c r="L43" i="105"/>
  <c r="N43" i="105"/>
  <c r="P43" i="105"/>
  <c r="Q43" i="105"/>
  <c r="R43" i="105"/>
  <c r="S43" i="105"/>
  <c r="U43" i="105"/>
  <c r="W43" i="105"/>
  <c r="Y43" i="105"/>
  <c r="AC43" i="105"/>
  <c r="AD43" i="105"/>
  <c r="AF43" i="105"/>
  <c r="AH43" i="105"/>
  <c r="AI43" i="105"/>
  <c r="AJ43" i="105"/>
  <c r="AK43" i="105"/>
  <c r="AW43" i="105"/>
  <c r="AX43" i="105"/>
  <c r="AY43" i="105"/>
  <c r="BB43" i="105"/>
  <c r="BC43" i="105"/>
  <c r="BD43" i="105"/>
  <c r="BE43" i="105"/>
  <c r="BH43" i="105"/>
  <c r="BI43" i="105"/>
  <c r="B44" i="105"/>
  <c r="C44" i="105"/>
  <c r="F44" i="105"/>
  <c r="H44" i="105"/>
  <c r="J44" i="105"/>
  <c r="L44" i="105"/>
  <c r="N44" i="105"/>
  <c r="P44" i="105"/>
  <c r="Q44" i="105"/>
  <c r="R44" i="105"/>
  <c r="S44" i="105"/>
  <c r="U44" i="105"/>
  <c r="W44" i="105"/>
  <c r="Y44" i="105"/>
  <c r="AC44" i="105"/>
  <c r="AD44" i="105"/>
  <c r="AF44" i="105"/>
  <c r="AH44" i="105"/>
  <c r="AI44" i="105"/>
  <c r="AJ44" i="105"/>
  <c r="AK44" i="105"/>
  <c r="AW44" i="105"/>
  <c r="AX44" i="105"/>
  <c r="AY44" i="105"/>
  <c r="BB44" i="105"/>
  <c r="BC44" i="105"/>
  <c r="BD44" i="105"/>
  <c r="BE44" i="105"/>
  <c r="BH44" i="105"/>
  <c r="BI44" i="105"/>
  <c r="B45" i="105"/>
  <c r="C45" i="105"/>
  <c r="F45" i="105"/>
  <c r="H45" i="105"/>
  <c r="J45" i="105"/>
  <c r="L45" i="105"/>
  <c r="N45" i="105"/>
  <c r="P45" i="105"/>
  <c r="Q45" i="105"/>
  <c r="R45" i="105"/>
  <c r="S45" i="105"/>
  <c r="U45" i="105"/>
  <c r="W45" i="105"/>
  <c r="Y45" i="105"/>
  <c r="AC45" i="105"/>
  <c r="AD45" i="105"/>
  <c r="AF45" i="105"/>
  <c r="AH45" i="105"/>
  <c r="AI45" i="105"/>
  <c r="AJ45" i="105"/>
  <c r="AK45" i="105"/>
  <c r="AW45" i="105"/>
  <c r="AX45" i="105"/>
  <c r="AY45" i="105"/>
  <c r="BB45" i="105"/>
  <c r="BC45" i="105"/>
  <c r="BD45" i="105"/>
  <c r="BE45" i="105"/>
  <c r="BH45" i="105"/>
  <c r="BI45" i="105"/>
  <c r="B46" i="105"/>
  <c r="C46" i="105"/>
  <c r="F46" i="105"/>
  <c r="H46" i="105"/>
  <c r="J46" i="105"/>
  <c r="L46" i="105"/>
  <c r="N46" i="105"/>
  <c r="P46" i="105"/>
  <c r="Q46" i="105"/>
  <c r="R46" i="105"/>
  <c r="S46" i="105"/>
  <c r="U46" i="105"/>
  <c r="W46" i="105"/>
  <c r="Y46" i="105"/>
  <c r="AC46" i="105"/>
  <c r="AD46" i="105"/>
  <c r="AF46" i="105"/>
  <c r="AH46" i="105"/>
  <c r="AI46" i="105"/>
  <c r="AJ46" i="105"/>
  <c r="AK46" i="105"/>
  <c r="AW46" i="105"/>
  <c r="AX46" i="105"/>
  <c r="AY46" i="105"/>
  <c r="BB46" i="105"/>
  <c r="BC46" i="105"/>
  <c r="BD46" i="105"/>
  <c r="BE46" i="105"/>
  <c r="BH46" i="105"/>
  <c r="BI46" i="105"/>
  <c r="B47" i="105"/>
  <c r="C47" i="105"/>
  <c r="F47" i="105"/>
  <c r="H47" i="105"/>
  <c r="J47" i="105"/>
  <c r="L47" i="105"/>
  <c r="N47" i="105"/>
  <c r="P47" i="105"/>
  <c r="Q47" i="105"/>
  <c r="R47" i="105"/>
  <c r="S47" i="105"/>
  <c r="U47" i="105"/>
  <c r="W47" i="105"/>
  <c r="Y47" i="105"/>
  <c r="AC47" i="105"/>
  <c r="AD47" i="105"/>
  <c r="AF47" i="105"/>
  <c r="AH47" i="105"/>
  <c r="AI47" i="105"/>
  <c r="AJ47" i="105"/>
  <c r="AK47" i="105"/>
  <c r="AW47" i="105"/>
  <c r="AX47" i="105"/>
  <c r="AY47" i="105"/>
  <c r="BB47" i="105"/>
  <c r="BC47" i="105"/>
  <c r="BD47" i="105"/>
  <c r="BE47" i="105"/>
  <c r="BH47" i="105"/>
  <c r="BI47" i="105"/>
  <c r="B48" i="105"/>
  <c r="C48" i="105"/>
  <c r="F48" i="105"/>
  <c r="H48" i="105"/>
  <c r="J48" i="105"/>
  <c r="L48" i="105"/>
  <c r="N48" i="105"/>
  <c r="P48" i="105"/>
  <c r="Q48" i="105"/>
  <c r="R48" i="105"/>
  <c r="S48" i="105"/>
  <c r="U48" i="105"/>
  <c r="W48" i="105"/>
  <c r="Y48" i="105"/>
  <c r="AC48" i="105"/>
  <c r="AD48" i="105"/>
  <c r="AF48" i="105"/>
  <c r="AH48" i="105"/>
  <c r="AI48" i="105"/>
  <c r="AJ48" i="105"/>
  <c r="AK48" i="105"/>
  <c r="AW48" i="105"/>
  <c r="AX48" i="105"/>
  <c r="AY48" i="105"/>
  <c r="BB48" i="105"/>
  <c r="BC48" i="105"/>
  <c r="BD48" i="105"/>
  <c r="BE48" i="105"/>
  <c r="BH48" i="105"/>
  <c r="BI48" i="105"/>
  <c r="B49" i="105"/>
  <c r="C49" i="105"/>
  <c r="F49" i="105"/>
  <c r="H49" i="105"/>
  <c r="J49" i="105"/>
  <c r="L49" i="105"/>
  <c r="N49" i="105"/>
  <c r="P49" i="105"/>
  <c r="Q49" i="105"/>
  <c r="R49" i="105"/>
  <c r="S49" i="105"/>
  <c r="U49" i="105"/>
  <c r="W49" i="105"/>
  <c r="Y49" i="105"/>
  <c r="AC49" i="105"/>
  <c r="AD49" i="105"/>
  <c r="AF49" i="105"/>
  <c r="AH49" i="105"/>
  <c r="AI49" i="105"/>
  <c r="AJ49" i="105"/>
  <c r="AK49" i="105"/>
  <c r="AW49" i="105"/>
  <c r="AX49" i="105"/>
  <c r="AY49" i="105"/>
  <c r="BB49" i="105"/>
  <c r="BC49" i="105"/>
  <c r="BD49" i="105"/>
  <c r="BE49" i="105"/>
  <c r="BH49" i="105"/>
  <c r="BI49" i="105"/>
  <c r="B50" i="105"/>
  <c r="C50" i="105"/>
  <c r="F50" i="105"/>
  <c r="H50" i="105"/>
  <c r="J50" i="105"/>
  <c r="L50" i="105"/>
  <c r="N50" i="105"/>
  <c r="P50" i="105"/>
  <c r="Q50" i="105"/>
  <c r="R50" i="105"/>
  <c r="S50" i="105"/>
  <c r="U50" i="105"/>
  <c r="W50" i="105"/>
  <c r="Y50" i="105"/>
  <c r="AC50" i="105"/>
  <c r="AD50" i="105"/>
  <c r="AF50" i="105"/>
  <c r="AH50" i="105"/>
  <c r="AI50" i="105"/>
  <c r="AJ50" i="105"/>
  <c r="AK50" i="105"/>
  <c r="AW50" i="105"/>
  <c r="AX50" i="105"/>
  <c r="AY50" i="105"/>
  <c r="BB50" i="105"/>
  <c r="BC50" i="105"/>
  <c r="BD50" i="105"/>
  <c r="BE50" i="105"/>
  <c r="BH50" i="105"/>
  <c r="BI50" i="105"/>
  <c r="C51" i="105"/>
  <c r="D51" i="105"/>
  <c r="E51" i="105"/>
  <c r="F51" i="105"/>
  <c r="G51" i="105"/>
  <c r="H51" i="105"/>
  <c r="I51" i="105"/>
  <c r="J51" i="105"/>
  <c r="K51" i="105"/>
  <c r="L51" i="105"/>
  <c r="M51" i="105"/>
  <c r="N51" i="105"/>
  <c r="O51" i="105"/>
  <c r="P51" i="105"/>
  <c r="Q51" i="105"/>
  <c r="R51" i="105"/>
  <c r="S51" i="105"/>
  <c r="T51" i="105"/>
  <c r="U51" i="105"/>
  <c r="V51" i="105"/>
  <c r="W51" i="105"/>
  <c r="X51" i="105"/>
  <c r="Y51" i="105"/>
  <c r="AD51" i="105"/>
  <c r="AE51" i="105"/>
  <c r="AF51" i="105"/>
  <c r="AG51" i="105"/>
  <c r="AH51" i="105"/>
  <c r="AI51" i="105"/>
  <c r="AJ51" i="105"/>
  <c r="AK51" i="105"/>
  <c r="AX51" i="105"/>
  <c r="AY51" i="105"/>
  <c r="AZ51" i="105"/>
  <c r="BA51" i="105"/>
  <c r="BB51" i="105"/>
  <c r="BC51" i="105"/>
  <c r="BD51" i="105"/>
  <c r="BE51" i="105"/>
  <c r="BF51" i="105"/>
  <c r="BG51" i="105"/>
  <c r="BH51" i="105"/>
  <c r="BI51" i="105"/>
  <c r="AN10" i="85"/>
  <c r="AO10" i="85"/>
  <c r="AQ10" i="85"/>
  <c r="AS10" i="85"/>
  <c r="AT10" i="85"/>
  <c r="B11" i="85"/>
  <c r="C11" i="85"/>
  <c r="F11" i="85"/>
  <c r="H11" i="85"/>
  <c r="J11" i="85"/>
  <c r="L11" i="85"/>
  <c r="N11" i="85"/>
  <c r="P11" i="85"/>
  <c r="Q11" i="85"/>
  <c r="R11" i="85"/>
  <c r="S11" i="85"/>
  <c r="U11" i="85"/>
  <c r="W11" i="85"/>
  <c r="Y11" i="85"/>
  <c r="AC11" i="85"/>
  <c r="AD11" i="85"/>
  <c r="AF11" i="85"/>
  <c r="AH11" i="85"/>
  <c r="AI11" i="85"/>
  <c r="AJ11" i="85"/>
  <c r="AK11" i="85"/>
  <c r="AN11" i="85"/>
  <c r="AO11" i="85"/>
  <c r="AQ11" i="85"/>
  <c r="AS11" i="85"/>
  <c r="AT11" i="85"/>
  <c r="AW11" i="85"/>
  <c r="AX11" i="85"/>
  <c r="AY11" i="85"/>
  <c r="BB11" i="85"/>
  <c r="BC11" i="85"/>
  <c r="BD11" i="85"/>
  <c r="BE11" i="85"/>
  <c r="BH11" i="85"/>
  <c r="BI11" i="85"/>
  <c r="B12" i="85"/>
  <c r="C12" i="85"/>
  <c r="F12" i="85"/>
  <c r="H12" i="85"/>
  <c r="J12" i="85"/>
  <c r="L12" i="85"/>
  <c r="N12" i="85"/>
  <c r="P12" i="85"/>
  <c r="Q12" i="85"/>
  <c r="R12" i="85"/>
  <c r="S12" i="85"/>
  <c r="U12" i="85"/>
  <c r="W12" i="85"/>
  <c r="Y12" i="85"/>
  <c r="AC12" i="85"/>
  <c r="AD12" i="85"/>
  <c r="AF12" i="85"/>
  <c r="AH12" i="85"/>
  <c r="AI12" i="85"/>
  <c r="AJ12" i="85"/>
  <c r="AK12" i="85"/>
  <c r="AN12" i="85"/>
  <c r="AO12" i="85"/>
  <c r="AQ12" i="85"/>
  <c r="AS12" i="85"/>
  <c r="AT12" i="85"/>
  <c r="AW12" i="85"/>
  <c r="AX12" i="85"/>
  <c r="AY12" i="85"/>
  <c r="BB12" i="85"/>
  <c r="BC12" i="85"/>
  <c r="BD12" i="85"/>
  <c r="BE12" i="85"/>
  <c r="BH12" i="85"/>
  <c r="BI12" i="85"/>
  <c r="B13" i="85"/>
  <c r="C13" i="85"/>
  <c r="F13" i="85"/>
  <c r="H13" i="85"/>
  <c r="J13" i="85"/>
  <c r="L13" i="85"/>
  <c r="N13" i="85"/>
  <c r="P13" i="85"/>
  <c r="Q13" i="85"/>
  <c r="R13" i="85"/>
  <c r="S13" i="85"/>
  <c r="U13" i="85"/>
  <c r="W13" i="85"/>
  <c r="Y13" i="85"/>
  <c r="AC13" i="85"/>
  <c r="AD13" i="85"/>
  <c r="AF13" i="85"/>
  <c r="AH13" i="85"/>
  <c r="AI13" i="85"/>
  <c r="AJ13" i="85"/>
  <c r="AK13" i="85"/>
  <c r="AO13" i="85"/>
  <c r="AP13" i="85"/>
  <c r="AQ13" i="85"/>
  <c r="AR13" i="85"/>
  <c r="AS13" i="85"/>
  <c r="AT13" i="85"/>
  <c r="AW13" i="85"/>
  <c r="AX13" i="85"/>
  <c r="AY13" i="85"/>
  <c r="BB13" i="85"/>
  <c r="BC13" i="85"/>
  <c r="BD13" i="85"/>
  <c r="BE13" i="85"/>
  <c r="BH13" i="85"/>
  <c r="BI13" i="85"/>
  <c r="B14" i="85"/>
  <c r="C14" i="85"/>
  <c r="F14" i="85"/>
  <c r="H14" i="85"/>
  <c r="J14" i="85"/>
  <c r="L14" i="85"/>
  <c r="N14" i="85"/>
  <c r="P14" i="85"/>
  <c r="Q14" i="85"/>
  <c r="R14" i="85"/>
  <c r="S14" i="85"/>
  <c r="U14" i="85"/>
  <c r="W14" i="85"/>
  <c r="Y14" i="85"/>
  <c r="AC14" i="85"/>
  <c r="AD14" i="85"/>
  <c r="AF14" i="85"/>
  <c r="AH14" i="85"/>
  <c r="AI14" i="85"/>
  <c r="AJ14" i="85"/>
  <c r="AK14" i="85"/>
  <c r="AT14" i="85"/>
  <c r="AW14" i="85"/>
  <c r="AX14" i="85"/>
  <c r="AY14" i="85"/>
  <c r="BB14" i="85"/>
  <c r="BC14" i="85"/>
  <c r="BD14" i="85"/>
  <c r="BE14" i="85"/>
  <c r="BH14" i="85"/>
  <c r="BI14" i="85"/>
  <c r="B15" i="85"/>
  <c r="C15" i="85"/>
  <c r="F15" i="85"/>
  <c r="H15" i="85"/>
  <c r="J15" i="85"/>
  <c r="L15" i="85"/>
  <c r="N15" i="85"/>
  <c r="P15" i="85"/>
  <c r="Q15" i="85"/>
  <c r="R15" i="85"/>
  <c r="S15" i="85"/>
  <c r="U15" i="85"/>
  <c r="W15" i="85"/>
  <c r="Y15" i="85"/>
  <c r="AC15" i="85"/>
  <c r="AD15" i="85"/>
  <c r="AF15" i="85"/>
  <c r="AH15" i="85"/>
  <c r="AI15" i="85"/>
  <c r="AJ15" i="85"/>
  <c r="AK15" i="85"/>
  <c r="AW15" i="85"/>
  <c r="AX15" i="85"/>
  <c r="AY15" i="85"/>
  <c r="BB15" i="85"/>
  <c r="BC15" i="85"/>
  <c r="BD15" i="85"/>
  <c r="BE15" i="85"/>
  <c r="BH15" i="85"/>
  <c r="BI15" i="85"/>
  <c r="B16" i="85"/>
  <c r="C16" i="85"/>
  <c r="F16" i="85"/>
  <c r="H16" i="85"/>
  <c r="J16" i="85"/>
  <c r="L16" i="85"/>
  <c r="N16" i="85"/>
  <c r="P16" i="85"/>
  <c r="Q16" i="85"/>
  <c r="R16" i="85"/>
  <c r="S16" i="85"/>
  <c r="U16" i="85"/>
  <c r="W16" i="85"/>
  <c r="Y16" i="85"/>
  <c r="AC16" i="85"/>
  <c r="AD16" i="85"/>
  <c r="AF16" i="85"/>
  <c r="AH16" i="85"/>
  <c r="AI16" i="85"/>
  <c r="AJ16" i="85"/>
  <c r="AK16" i="85"/>
  <c r="AW16" i="85"/>
  <c r="AX16" i="85"/>
  <c r="AY16" i="85"/>
  <c r="BB16" i="85"/>
  <c r="BC16" i="85"/>
  <c r="BD16" i="85"/>
  <c r="BE16" i="85"/>
  <c r="BH16" i="85"/>
  <c r="BI16" i="85"/>
  <c r="B17" i="85"/>
  <c r="C17" i="85"/>
  <c r="F17" i="85"/>
  <c r="H17" i="85"/>
  <c r="J17" i="85"/>
  <c r="L17" i="85"/>
  <c r="N17" i="85"/>
  <c r="P17" i="85"/>
  <c r="Q17" i="85"/>
  <c r="R17" i="85"/>
  <c r="S17" i="85"/>
  <c r="U17" i="85"/>
  <c r="W17" i="85"/>
  <c r="Y17" i="85"/>
  <c r="AC17" i="85"/>
  <c r="AD17" i="85"/>
  <c r="AF17" i="85"/>
  <c r="AH17" i="85"/>
  <c r="AI17" i="85"/>
  <c r="AJ17" i="85"/>
  <c r="AK17" i="85"/>
  <c r="AW17" i="85"/>
  <c r="AX17" i="85"/>
  <c r="AY17" i="85"/>
  <c r="BB17" i="85"/>
  <c r="BC17" i="85"/>
  <c r="BD17" i="85"/>
  <c r="BE17" i="85"/>
  <c r="BH17" i="85"/>
  <c r="BI17" i="85"/>
  <c r="B18" i="85"/>
  <c r="C18" i="85"/>
  <c r="F18" i="85"/>
  <c r="H18" i="85"/>
  <c r="J18" i="85"/>
  <c r="L18" i="85"/>
  <c r="N18" i="85"/>
  <c r="P18" i="85"/>
  <c r="Q18" i="85"/>
  <c r="R18" i="85"/>
  <c r="S18" i="85"/>
  <c r="U18" i="85"/>
  <c r="W18" i="85"/>
  <c r="Y18" i="85"/>
  <c r="AC18" i="85"/>
  <c r="AD18" i="85"/>
  <c r="AF18" i="85"/>
  <c r="AH18" i="85"/>
  <c r="AI18" i="85"/>
  <c r="AJ18" i="85"/>
  <c r="AK18" i="85"/>
  <c r="AW18" i="85"/>
  <c r="AX18" i="85"/>
  <c r="AY18" i="85"/>
  <c r="BB18" i="85"/>
  <c r="BC18" i="85"/>
  <c r="BD18" i="85"/>
  <c r="BE18" i="85"/>
  <c r="BH18" i="85"/>
  <c r="BI18" i="85"/>
  <c r="B19" i="85"/>
  <c r="C19" i="85"/>
  <c r="F19" i="85"/>
  <c r="H19" i="85"/>
  <c r="J19" i="85"/>
  <c r="L19" i="85"/>
  <c r="N19" i="85"/>
  <c r="P19" i="85"/>
  <c r="Q19" i="85"/>
  <c r="R19" i="85"/>
  <c r="S19" i="85"/>
  <c r="U19" i="85"/>
  <c r="W19" i="85"/>
  <c r="Y19" i="85"/>
  <c r="AC19" i="85"/>
  <c r="AD19" i="85"/>
  <c r="AF19" i="85"/>
  <c r="AH19" i="85"/>
  <c r="AI19" i="85"/>
  <c r="AJ19" i="85"/>
  <c r="AK19" i="85"/>
  <c r="AW19" i="85"/>
  <c r="AX19" i="85"/>
  <c r="AY19" i="85"/>
  <c r="BB19" i="85"/>
  <c r="BC19" i="85"/>
  <c r="BD19" i="85"/>
  <c r="BE19" i="85"/>
  <c r="BH19" i="85"/>
  <c r="BI19" i="85"/>
  <c r="B20" i="85"/>
  <c r="C20" i="85"/>
  <c r="F20" i="85"/>
  <c r="H20" i="85"/>
  <c r="J20" i="85"/>
  <c r="L20" i="85"/>
  <c r="N20" i="85"/>
  <c r="P20" i="85"/>
  <c r="Q20" i="85"/>
  <c r="R20" i="85"/>
  <c r="S20" i="85"/>
  <c r="U20" i="85"/>
  <c r="W20" i="85"/>
  <c r="Y20" i="85"/>
  <c r="AC20" i="85"/>
  <c r="AD20" i="85"/>
  <c r="AF20" i="85"/>
  <c r="AH20" i="85"/>
  <c r="AI20" i="85"/>
  <c r="AJ20" i="85"/>
  <c r="AK20" i="85"/>
  <c r="AW20" i="85"/>
  <c r="AX20" i="85"/>
  <c r="AY20" i="85"/>
  <c r="BB20" i="85"/>
  <c r="BC20" i="85"/>
  <c r="BD20" i="85"/>
  <c r="BE20" i="85"/>
  <c r="BH20" i="85"/>
  <c r="BI20" i="85"/>
  <c r="B21" i="85"/>
  <c r="C21" i="85"/>
  <c r="F21" i="85"/>
  <c r="H21" i="85"/>
  <c r="J21" i="85"/>
  <c r="L21" i="85"/>
  <c r="N21" i="85"/>
  <c r="P21" i="85"/>
  <c r="Q21" i="85"/>
  <c r="R21" i="85"/>
  <c r="S21" i="85"/>
  <c r="U21" i="85"/>
  <c r="W21" i="85"/>
  <c r="Y21" i="85"/>
  <c r="AC21" i="85"/>
  <c r="AD21" i="85"/>
  <c r="AF21" i="85"/>
  <c r="AH21" i="85"/>
  <c r="AI21" i="85"/>
  <c r="AJ21" i="85"/>
  <c r="AK21" i="85"/>
  <c r="AW21" i="85"/>
  <c r="AX21" i="85"/>
  <c r="AY21" i="85"/>
  <c r="BB21" i="85"/>
  <c r="BC21" i="85"/>
  <c r="BD21" i="85"/>
  <c r="BE21" i="85"/>
  <c r="BH21" i="85"/>
  <c r="BI21" i="85"/>
  <c r="B22" i="85"/>
  <c r="C22" i="85"/>
  <c r="F22" i="85"/>
  <c r="H22" i="85"/>
  <c r="J22" i="85"/>
  <c r="L22" i="85"/>
  <c r="N22" i="85"/>
  <c r="P22" i="85"/>
  <c r="Q22" i="85"/>
  <c r="R22" i="85"/>
  <c r="S22" i="85"/>
  <c r="U22" i="85"/>
  <c r="W22" i="85"/>
  <c r="Y22" i="85"/>
  <c r="AC22" i="85"/>
  <c r="AD22" i="85"/>
  <c r="AF22" i="85"/>
  <c r="AH22" i="85"/>
  <c r="AI22" i="85"/>
  <c r="AJ22" i="85"/>
  <c r="AK22" i="85"/>
  <c r="AW22" i="85"/>
  <c r="AX22" i="85"/>
  <c r="AY22" i="85"/>
  <c r="BB22" i="85"/>
  <c r="BC22" i="85"/>
  <c r="BD22" i="85"/>
  <c r="BE22" i="85"/>
  <c r="BH22" i="85"/>
  <c r="BI22" i="85"/>
  <c r="B23" i="85"/>
  <c r="C23" i="85"/>
  <c r="F23" i="85"/>
  <c r="H23" i="85"/>
  <c r="J23" i="85"/>
  <c r="L23" i="85"/>
  <c r="N23" i="85"/>
  <c r="P23" i="85"/>
  <c r="Q23" i="85"/>
  <c r="R23" i="85"/>
  <c r="S23" i="85"/>
  <c r="U23" i="85"/>
  <c r="W23" i="85"/>
  <c r="Y23" i="85"/>
  <c r="AC23" i="85"/>
  <c r="AD23" i="85"/>
  <c r="AF23" i="85"/>
  <c r="AH23" i="85"/>
  <c r="AI23" i="85"/>
  <c r="AJ23" i="85"/>
  <c r="AK23" i="85"/>
  <c r="AW23" i="85"/>
  <c r="AX23" i="85"/>
  <c r="AY23" i="85"/>
  <c r="BB23" i="85"/>
  <c r="BC23" i="85"/>
  <c r="BD23" i="85"/>
  <c r="BE23" i="85"/>
  <c r="BH23" i="85"/>
  <c r="BI23" i="85"/>
  <c r="B24" i="85"/>
  <c r="C24" i="85"/>
  <c r="F24" i="85"/>
  <c r="H24" i="85"/>
  <c r="J24" i="85"/>
  <c r="L24" i="85"/>
  <c r="N24" i="85"/>
  <c r="P24" i="85"/>
  <c r="Q24" i="85"/>
  <c r="R24" i="85"/>
  <c r="S24" i="85"/>
  <c r="U24" i="85"/>
  <c r="W24" i="85"/>
  <c r="Y24" i="85"/>
  <c r="AC24" i="85"/>
  <c r="AD24" i="85"/>
  <c r="AF24" i="85"/>
  <c r="AH24" i="85"/>
  <c r="AI24" i="85"/>
  <c r="AJ24" i="85"/>
  <c r="AK24" i="85"/>
  <c r="AW24" i="85"/>
  <c r="AX24" i="85"/>
  <c r="AY24" i="85"/>
  <c r="BB24" i="85"/>
  <c r="BC24" i="85"/>
  <c r="BD24" i="85"/>
  <c r="BE24" i="85"/>
  <c r="BH24" i="85"/>
  <c r="BI24" i="85"/>
  <c r="B25" i="85"/>
  <c r="C25" i="85"/>
  <c r="F25" i="85"/>
  <c r="H25" i="85"/>
  <c r="J25" i="85"/>
  <c r="L25" i="85"/>
  <c r="N25" i="85"/>
  <c r="P25" i="85"/>
  <c r="Q25" i="85"/>
  <c r="R25" i="85"/>
  <c r="S25" i="85"/>
  <c r="U25" i="85"/>
  <c r="W25" i="85"/>
  <c r="Y25" i="85"/>
  <c r="AC25" i="85"/>
  <c r="AD25" i="85"/>
  <c r="AF25" i="85"/>
  <c r="AH25" i="85"/>
  <c r="AI25" i="85"/>
  <c r="AJ25" i="85"/>
  <c r="AK25" i="85"/>
  <c r="AW25" i="85"/>
  <c r="AX25" i="85"/>
  <c r="AY25" i="85"/>
  <c r="BB25" i="85"/>
  <c r="BC25" i="85"/>
  <c r="BD25" i="85"/>
  <c r="BE25" i="85"/>
  <c r="BH25" i="85"/>
  <c r="BI25" i="85"/>
  <c r="B26" i="85"/>
  <c r="C26" i="85"/>
  <c r="F26" i="85"/>
  <c r="H26" i="85"/>
  <c r="J26" i="85"/>
  <c r="L26" i="85"/>
  <c r="N26" i="85"/>
  <c r="P26" i="85"/>
  <c r="Q26" i="85"/>
  <c r="R26" i="85"/>
  <c r="S26" i="85"/>
  <c r="U26" i="85"/>
  <c r="W26" i="85"/>
  <c r="Y26" i="85"/>
  <c r="AC26" i="85"/>
  <c r="AD26" i="85"/>
  <c r="AF26" i="85"/>
  <c r="AH26" i="85"/>
  <c r="AI26" i="85"/>
  <c r="AJ26" i="85"/>
  <c r="AK26" i="85"/>
  <c r="AW26" i="85"/>
  <c r="AX26" i="85"/>
  <c r="AY26" i="85"/>
  <c r="BB26" i="85"/>
  <c r="BC26" i="85"/>
  <c r="BD26" i="85"/>
  <c r="BE26" i="85"/>
  <c r="BH26" i="85"/>
  <c r="BI26" i="85"/>
  <c r="B27" i="85"/>
  <c r="C27" i="85"/>
  <c r="F27" i="85"/>
  <c r="H27" i="85"/>
  <c r="J27" i="85"/>
  <c r="L27" i="85"/>
  <c r="N27" i="85"/>
  <c r="P27" i="85"/>
  <c r="Q27" i="85"/>
  <c r="R27" i="85"/>
  <c r="S27" i="85"/>
  <c r="U27" i="85"/>
  <c r="W27" i="85"/>
  <c r="Y27" i="85"/>
  <c r="AC27" i="85"/>
  <c r="AD27" i="85"/>
  <c r="AF27" i="85"/>
  <c r="AH27" i="85"/>
  <c r="AI27" i="85"/>
  <c r="AJ27" i="85"/>
  <c r="AK27" i="85"/>
  <c r="AW27" i="85"/>
  <c r="AX27" i="85"/>
  <c r="AY27" i="85"/>
  <c r="BB27" i="85"/>
  <c r="BC27" i="85"/>
  <c r="BD27" i="85"/>
  <c r="BE27" i="85"/>
  <c r="BH27" i="85"/>
  <c r="BI27" i="85"/>
  <c r="B28" i="85"/>
  <c r="C28" i="85"/>
  <c r="F28" i="85"/>
  <c r="H28" i="85"/>
  <c r="J28" i="85"/>
  <c r="L28" i="85"/>
  <c r="N28" i="85"/>
  <c r="P28" i="85"/>
  <c r="Q28" i="85"/>
  <c r="R28" i="85"/>
  <c r="S28" i="85"/>
  <c r="U28" i="85"/>
  <c r="W28" i="85"/>
  <c r="Y28" i="85"/>
  <c r="AC28" i="85"/>
  <c r="AD28" i="85"/>
  <c r="AF28" i="85"/>
  <c r="AH28" i="85"/>
  <c r="AI28" i="85"/>
  <c r="AJ28" i="85"/>
  <c r="AK28" i="85"/>
  <c r="AW28" i="85"/>
  <c r="AX28" i="85"/>
  <c r="AY28" i="85"/>
  <c r="BB28" i="85"/>
  <c r="BC28" i="85"/>
  <c r="BD28" i="85"/>
  <c r="BE28" i="85"/>
  <c r="BH28" i="85"/>
  <c r="BI28" i="85"/>
  <c r="B29" i="85"/>
  <c r="C29" i="85"/>
  <c r="F29" i="85"/>
  <c r="H29" i="85"/>
  <c r="J29" i="85"/>
  <c r="L29" i="85"/>
  <c r="N29" i="85"/>
  <c r="P29" i="85"/>
  <c r="Q29" i="85"/>
  <c r="R29" i="85"/>
  <c r="S29" i="85"/>
  <c r="U29" i="85"/>
  <c r="W29" i="85"/>
  <c r="Y29" i="85"/>
  <c r="AC29" i="85"/>
  <c r="AD29" i="85"/>
  <c r="AF29" i="85"/>
  <c r="AH29" i="85"/>
  <c r="AI29" i="85"/>
  <c r="AJ29" i="85"/>
  <c r="AK29" i="85"/>
  <c r="AW29" i="85"/>
  <c r="AX29" i="85"/>
  <c r="AY29" i="85"/>
  <c r="BB29" i="85"/>
  <c r="BC29" i="85"/>
  <c r="BD29" i="85"/>
  <c r="BE29" i="85"/>
  <c r="BH29" i="85"/>
  <c r="BI29" i="85"/>
  <c r="B30" i="85"/>
  <c r="C30" i="85"/>
  <c r="F30" i="85"/>
  <c r="H30" i="85"/>
  <c r="J30" i="85"/>
  <c r="L30" i="85"/>
  <c r="N30" i="85"/>
  <c r="P30" i="85"/>
  <c r="Q30" i="85"/>
  <c r="R30" i="85"/>
  <c r="S30" i="85"/>
  <c r="U30" i="85"/>
  <c r="W30" i="85"/>
  <c r="Y30" i="85"/>
  <c r="AC30" i="85"/>
  <c r="AD30" i="85"/>
  <c r="AF30" i="85"/>
  <c r="AH30" i="85"/>
  <c r="AI30" i="85"/>
  <c r="AJ30" i="85"/>
  <c r="AK30" i="85"/>
  <c r="AW30" i="85"/>
  <c r="AX30" i="85"/>
  <c r="AY30" i="85"/>
  <c r="BB30" i="85"/>
  <c r="BC30" i="85"/>
  <c r="BD30" i="85"/>
  <c r="BE30" i="85"/>
  <c r="BH30" i="85"/>
  <c r="BI30" i="85"/>
  <c r="B31" i="85"/>
  <c r="C31" i="85"/>
  <c r="F31" i="85"/>
  <c r="H31" i="85"/>
  <c r="J31" i="85"/>
  <c r="L31" i="85"/>
  <c r="N31" i="85"/>
  <c r="P31" i="85"/>
  <c r="Q31" i="85"/>
  <c r="R31" i="85"/>
  <c r="S31" i="85"/>
  <c r="U31" i="85"/>
  <c r="W31" i="85"/>
  <c r="Y31" i="85"/>
  <c r="AC31" i="85"/>
  <c r="AD31" i="85"/>
  <c r="AF31" i="85"/>
  <c r="AH31" i="85"/>
  <c r="AI31" i="85"/>
  <c r="AJ31" i="85"/>
  <c r="AK31" i="85"/>
  <c r="AW31" i="85"/>
  <c r="AX31" i="85"/>
  <c r="AY31" i="85"/>
  <c r="BB31" i="85"/>
  <c r="BC31" i="85"/>
  <c r="BD31" i="85"/>
  <c r="BE31" i="85"/>
  <c r="BH31" i="85"/>
  <c r="BI31" i="85"/>
  <c r="B32" i="85"/>
  <c r="C32" i="85"/>
  <c r="F32" i="85"/>
  <c r="H32" i="85"/>
  <c r="J32" i="85"/>
  <c r="L32" i="85"/>
  <c r="N32" i="85"/>
  <c r="P32" i="85"/>
  <c r="Q32" i="85"/>
  <c r="R32" i="85"/>
  <c r="S32" i="85"/>
  <c r="U32" i="85"/>
  <c r="W32" i="85"/>
  <c r="Y32" i="85"/>
  <c r="AC32" i="85"/>
  <c r="AD32" i="85"/>
  <c r="AF32" i="85"/>
  <c r="AH32" i="85"/>
  <c r="AI32" i="85"/>
  <c r="AJ32" i="85"/>
  <c r="AK32" i="85"/>
  <c r="AW32" i="85"/>
  <c r="AX32" i="85"/>
  <c r="AY32" i="85"/>
  <c r="BB32" i="85"/>
  <c r="BC32" i="85"/>
  <c r="BD32" i="85"/>
  <c r="BE32" i="85"/>
  <c r="BH32" i="85"/>
  <c r="BI32" i="85"/>
  <c r="B33" i="85"/>
  <c r="C33" i="85"/>
  <c r="F33" i="85"/>
  <c r="H33" i="85"/>
  <c r="J33" i="85"/>
  <c r="L33" i="85"/>
  <c r="N33" i="85"/>
  <c r="P33" i="85"/>
  <c r="Q33" i="85"/>
  <c r="R33" i="85"/>
  <c r="S33" i="85"/>
  <c r="U33" i="85"/>
  <c r="W33" i="85"/>
  <c r="Y33" i="85"/>
  <c r="AC33" i="85"/>
  <c r="AD33" i="85"/>
  <c r="AF33" i="85"/>
  <c r="AH33" i="85"/>
  <c r="AI33" i="85"/>
  <c r="AJ33" i="85"/>
  <c r="AK33" i="85"/>
  <c r="AW33" i="85"/>
  <c r="AX33" i="85"/>
  <c r="AY33" i="85"/>
  <c r="BB33" i="85"/>
  <c r="BC33" i="85"/>
  <c r="BD33" i="85"/>
  <c r="BE33" i="85"/>
  <c r="BH33" i="85"/>
  <c r="BI33" i="85"/>
  <c r="B34" i="85"/>
  <c r="C34" i="85"/>
  <c r="F34" i="85"/>
  <c r="H34" i="85"/>
  <c r="J34" i="85"/>
  <c r="L34" i="85"/>
  <c r="N34" i="85"/>
  <c r="P34" i="85"/>
  <c r="Q34" i="85"/>
  <c r="R34" i="85"/>
  <c r="S34" i="85"/>
  <c r="U34" i="85"/>
  <c r="W34" i="85"/>
  <c r="Y34" i="85"/>
  <c r="AC34" i="85"/>
  <c r="AD34" i="85"/>
  <c r="AF34" i="85"/>
  <c r="AH34" i="85"/>
  <c r="AI34" i="85"/>
  <c r="AJ34" i="85"/>
  <c r="AK34" i="85"/>
  <c r="AW34" i="85"/>
  <c r="AX34" i="85"/>
  <c r="AY34" i="85"/>
  <c r="BB34" i="85"/>
  <c r="BC34" i="85"/>
  <c r="BD34" i="85"/>
  <c r="BE34" i="85"/>
  <c r="BH34" i="85"/>
  <c r="BI34" i="85"/>
  <c r="B35" i="85"/>
  <c r="C35" i="85"/>
  <c r="F35" i="85"/>
  <c r="H35" i="85"/>
  <c r="J35" i="85"/>
  <c r="L35" i="85"/>
  <c r="N35" i="85"/>
  <c r="P35" i="85"/>
  <c r="Q35" i="85"/>
  <c r="R35" i="85"/>
  <c r="S35" i="85"/>
  <c r="U35" i="85"/>
  <c r="W35" i="85"/>
  <c r="Y35" i="85"/>
  <c r="AC35" i="85"/>
  <c r="AD35" i="85"/>
  <c r="AF35" i="85"/>
  <c r="AH35" i="85"/>
  <c r="AI35" i="85"/>
  <c r="AJ35" i="85"/>
  <c r="AK35" i="85"/>
  <c r="AW35" i="85"/>
  <c r="AX35" i="85"/>
  <c r="AY35" i="85"/>
  <c r="BB35" i="85"/>
  <c r="BC35" i="85"/>
  <c r="BD35" i="85"/>
  <c r="BE35" i="85"/>
  <c r="BH35" i="85"/>
  <c r="BI35" i="85"/>
  <c r="B36" i="85"/>
  <c r="C36" i="85"/>
  <c r="F36" i="85"/>
  <c r="H36" i="85"/>
  <c r="J36" i="85"/>
  <c r="L36" i="85"/>
  <c r="N36" i="85"/>
  <c r="P36" i="85"/>
  <c r="Q36" i="85"/>
  <c r="R36" i="85"/>
  <c r="S36" i="85"/>
  <c r="U36" i="85"/>
  <c r="W36" i="85"/>
  <c r="Y36" i="85"/>
  <c r="AC36" i="85"/>
  <c r="AD36" i="85"/>
  <c r="AF36" i="85"/>
  <c r="AH36" i="85"/>
  <c r="AI36" i="85"/>
  <c r="AJ36" i="85"/>
  <c r="AK36" i="85"/>
  <c r="AW36" i="85"/>
  <c r="AX36" i="85"/>
  <c r="AY36" i="85"/>
  <c r="BB36" i="85"/>
  <c r="BC36" i="85"/>
  <c r="BD36" i="85"/>
  <c r="BE36" i="85"/>
  <c r="BH36" i="85"/>
  <c r="BI36" i="85"/>
  <c r="B37" i="85"/>
  <c r="C37" i="85"/>
  <c r="F37" i="85"/>
  <c r="H37" i="85"/>
  <c r="J37" i="85"/>
  <c r="L37" i="85"/>
  <c r="N37" i="85"/>
  <c r="P37" i="85"/>
  <c r="Q37" i="85"/>
  <c r="R37" i="85"/>
  <c r="S37" i="85"/>
  <c r="U37" i="85"/>
  <c r="W37" i="85"/>
  <c r="Y37" i="85"/>
  <c r="AC37" i="85"/>
  <c r="AD37" i="85"/>
  <c r="AF37" i="85"/>
  <c r="AH37" i="85"/>
  <c r="AI37" i="85"/>
  <c r="AJ37" i="85"/>
  <c r="AK37" i="85"/>
  <c r="AW37" i="85"/>
  <c r="AX37" i="85"/>
  <c r="AY37" i="85"/>
  <c r="BB37" i="85"/>
  <c r="BC37" i="85"/>
  <c r="BD37" i="85"/>
  <c r="BE37" i="85"/>
  <c r="BH37" i="85"/>
  <c r="BI37" i="85"/>
  <c r="B38" i="85"/>
  <c r="C38" i="85"/>
  <c r="F38" i="85"/>
  <c r="H38" i="85"/>
  <c r="J38" i="85"/>
  <c r="L38" i="85"/>
  <c r="N38" i="85"/>
  <c r="P38" i="85"/>
  <c r="Q38" i="85"/>
  <c r="R38" i="85"/>
  <c r="S38" i="85"/>
  <c r="U38" i="85"/>
  <c r="W38" i="85"/>
  <c r="Y38" i="85"/>
  <c r="AC38" i="85"/>
  <c r="AD38" i="85"/>
  <c r="AF38" i="85"/>
  <c r="AH38" i="85"/>
  <c r="AI38" i="85"/>
  <c r="AJ38" i="85"/>
  <c r="AK38" i="85"/>
  <c r="AW38" i="85"/>
  <c r="AX38" i="85"/>
  <c r="AY38" i="85"/>
  <c r="BB38" i="85"/>
  <c r="BC38" i="85"/>
  <c r="BD38" i="85"/>
  <c r="BE38" i="85"/>
  <c r="BH38" i="85"/>
  <c r="BI38" i="85"/>
  <c r="B39" i="85"/>
  <c r="C39" i="85"/>
  <c r="F39" i="85"/>
  <c r="H39" i="85"/>
  <c r="J39" i="85"/>
  <c r="L39" i="85"/>
  <c r="N39" i="85"/>
  <c r="P39" i="85"/>
  <c r="Q39" i="85"/>
  <c r="R39" i="85"/>
  <c r="S39" i="85"/>
  <c r="U39" i="85"/>
  <c r="W39" i="85"/>
  <c r="Y39" i="85"/>
  <c r="AC39" i="85"/>
  <c r="AD39" i="85"/>
  <c r="AF39" i="85"/>
  <c r="AH39" i="85"/>
  <c r="AI39" i="85"/>
  <c r="AJ39" i="85"/>
  <c r="AK39" i="85"/>
  <c r="AW39" i="85"/>
  <c r="AX39" i="85"/>
  <c r="AY39" i="85"/>
  <c r="BB39" i="85"/>
  <c r="BC39" i="85"/>
  <c r="BD39" i="85"/>
  <c r="BE39" i="85"/>
  <c r="BH39" i="85"/>
  <c r="BI39" i="85"/>
  <c r="B40" i="85"/>
  <c r="C40" i="85"/>
  <c r="F40" i="85"/>
  <c r="H40" i="85"/>
  <c r="J40" i="85"/>
  <c r="L40" i="85"/>
  <c r="N40" i="85"/>
  <c r="P40" i="85"/>
  <c r="Q40" i="85"/>
  <c r="R40" i="85"/>
  <c r="S40" i="85"/>
  <c r="U40" i="85"/>
  <c r="W40" i="85"/>
  <c r="Y40" i="85"/>
  <c r="AC40" i="85"/>
  <c r="AD40" i="85"/>
  <c r="AF40" i="85"/>
  <c r="AH40" i="85"/>
  <c r="AI40" i="85"/>
  <c r="AJ40" i="85"/>
  <c r="AK40" i="85"/>
  <c r="AW40" i="85"/>
  <c r="AX40" i="85"/>
  <c r="AY40" i="85"/>
  <c r="BB40" i="85"/>
  <c r="BC40" i="85"/>
  <c r="BD40" i="85"/>
  <c r="BE40" i="85"/>
  <c r="BH40" i="85"/>
  <c r="BI40" i="85"/>
  <c r="B41" i="85"/>
  <c r="C41" i="85"/>
  <c r="F41" i="85"/>
  <c r="H41" i="85"/>
  <c r="J41" i="85"/>
  <c r="L41" i="85"/>
  <c r="N41" i="85"/>
  <c r="P41" i="85"/>
  <c r="Q41" i="85"/>
  <c r="R41" i="85"/>
  <c r="S41" i="85"/>
  <c r="U41" i="85"/>
  <c r="W41" i="85"/>
  <c r="Y41" i="85"/>
  <c r="AC41" i="85"/>
  <c r="AD41" i="85"/>
  <c r="AF41" i="85"/>
  <c r="AH41" i="85"/>
  <c r="AI41" i="85"/>
  <c r="AJ41" i="85"/>
  <c r="AK41" i="85"/>
  <c r="AW41" i="85"/>
  <c r="AX41" i="85"/>
  <c r="AY41" i="85"/>
  <c r="BB41" i="85"/>
  <c r="BC41" i="85"/>
  <c r="BD41" i="85"/>
  <c r="BE41" i="85"/>
  <c r="BH41" i="85"/>
  <c r="BI41" i="85"/>
  <c r="B42" i="85"/>
  <c r="C42" i="85"/>
  <c r="F42" i="85"/>
  <c r="H42" i="85"/>
  <c r="J42" i="85"/>
  <c r="L42" i="85"/>
  <c r="N42" i="85"/>
  <c r="P42" i="85"/>
  <c r="Q42" i="85"/>
  <c r="R42" i="85"/>
  <c r="S42" i="85"/>
  <c r="U42" i="85"/>
  <c r="W42" i="85"/>
  <c r="Y42" i="85"/>
  <c r="AC42" i="85"/>
  <c r="AD42" i="85"/>
  <c r="AF42" i="85"/>
  <c r="AH42" i="85"/>
  <c r="AI42" i="85"/>
  <c r="AJ42" i="85"/>
  <c r="AK42" i="85"/>
  <c r="AW42" i="85"/>
  <c r="AX42" i="85"/>
  <c r="AY42" i="85"/>
  <c r="BB42" i="85"/>
  <c r="BC42" i="85"/>
  <c r="BD42" i="85"/>
  <c r="BE42" i="85"/>
  <c r="BH42" i="85"/>
  <c r="BI42" i="85"/>
  <c r="B43" i="85"/>
  <c r="C43" i="85"/>
  <c r="F43" i="85"/>
  <c r="H43" i="85"/>
  <c r="J43" i="85"/>
  <c r="L43" i="85"/>
  <c r="N43" i="85"/>
  <c r="P43" i="85"/>
  <c r="Q43" i="85"/>
  <c r="R43" i="85"/>
  <c r="S43" i="85"/>
  <c r="U43" i="85"/>
  <c r="W43" i="85"/>
  <c r="Y43" i="85"/>
  <c r="AC43" i="85"/>
  <c r="AD43" i="85"/>
  <c r="AF43" i="85"/>
  <c r="AH43" i="85"/>
  <c r="AI43" i="85"/>
  <c r="AJ43" i="85"/>
  <c r="AK43" i="85"/>
  <c r="AW43" i="85"/>
  <c r="AX43" i="85"/>
  <c r="AY43" i="85"/>
  <c r="BB43" i="85"/>
  <c r="BC43" i="85"/>
  <c r="BD43" i="85"/>
  <c r="BE43" i="85"/>
  <c r="BH43" i="85"/>
  <c r="BI43" i="85"/>
  <c r="B44" i="85"/>
  <c r="C44" i="85"/>
  <c r="F44" i="85"/>
  <c r="H44" i="85"/>
  <c r="J44" i="85"/>
  <c r="L44" i="85"/>
  <c r="N44" i="85"/>
  <c r="P44" i="85"/>
  <c r="Q44" i="85"/>
  <c r="R44" i="85"/>
  <c r="S44" i="85"/>
  <c r="U44" i="85"/>
  <c r="W44" i="85"/>
  <c r="Y44" i="85"/>
  <c r="AC44" i="85"/>
  <c r="AD44" i="85"/>
  <c r="AF44" i="85"/>
  <c r="AH44" i="85"/>
  <c r="AI44" i="85"/>
  <c r="AJ44" i="85"/>
  <c r="AK44" i="85"/>
  <c r="AW44" i="85"/>
  <c r="AX44" i="85"/>
  <c r="AY44" i="85"/>
  <c r="BB44" i="85"/>
  <c r="BC44" i="85"/>
  <c r="BD44" i="85"/>
  <c r="BE44" i="85"/>
  <c r="BH44" i="85"/>
  <c r="BI44" i="85"/>
  <c r="B45" i="85"/>
  <c r="C45" i="85"/>
  <c r="F45" i="85"/>
  <c r="H45" i="85"/>
  <c r="J45" i="85"/>
  <c r="L45" i="85"/>
  <c r="N45" i="85"/>
  <c r="P45" i="85"/>
  <c r="Q45" i="85"/>
  <c r="R45" i="85"/>
  <c r="S45" i="85"/>
  <c r="U45" i="85"/>
  <c r="W45" i="85"/>
  <c r="Y45" i="85"/>
  <c r="AC45" i="85"/>
  <c r="AD45" i="85"/>
  <c r="AF45" i="85"/>
  <c r="AH45" i="85"/>
  <c r="AI45" i="85"/>
  <c r="AJ45" i="85"/>
  <c r="AK45" i="85"/>
  <c r="AW45" i="85"/>
  <c r="AX45" i="85"/>
  <c r="AY45" i="85"/>
  <c r="BB45" i="85"/>
  <c r="BC45" i="85"/>
  <c r="BD45" i="85"/>
  <c r="BE45" i="85"/>
  <c r="BH45" i="85"/>
  <c r="BI45" i="85"/>
  <c r="B46" i="85"/>
  <c r="C46" i="85"/>
  <c r="F46" i="85"/>
  <c r="H46" i="85"/>
  <c r="J46" i="85"/>
  <c r="L46" i="85"/>
  <c r="N46" i="85"/>
  <c r="P46" i="85"/>
  <c r="Q46" i="85"/>
  <c r="R46" i="85"/>
  <c r="S46" i="85"/>
  <c r="U46" i="85"/>
  <c r="W46" i="85"/>
  <c r="Y46" i="85"/>
  <c r="AC46" i="85"/>
  <c r="AD46" i="85"/>
  <c r="AF46" i="85"/>
  <c r="AH46" i="85"/>
  <c r="AI46" i="85"/>
  <c r="AJ46" i="85"/>
  <c r="AK46" i="85"/>
  <c r="AW46" i="85"/>
  <c r="AX46" i="85"/>
  <c r="AY46" i="85"/>
  <c r="BB46" i="85"/>
  <c r="BC46" i="85"/>
  <c r="BD46" i="85"/>
  <c r="BE46" i="85"/>
  <c r="BH46" i="85"/>
  <c r="BI46" i="85"/>
  <c r="B47" i="85"/>
  <c r="C47" i="85"/>
  <c r="F47" i="85"/>
  <c r="H47" i="85"/>
  <c r="J47" i="85"/>
  <c r="L47" i="85"/>
  <c r="N47" i="85"/>
  <c r="P47" i="85"/>
  <c r="Q47" i="85"/>
  <c r="R47" i="85"/>
  <c r="S47" i="85"/>
  <c r="U47" i="85"/>
  <c r="W47" i="85"/>
  <c r="Y47" i="85"/>
  <c r="AC47" i="85"/>
  <c r="AD47" i="85"/>
  <c r="AF47" i="85"/>
  <c r="AH47" i="85"/>
  <c r="AI47" i="85"/>
  <c r="AJ47" i="85"/>
  <c r="AK47" i="85"/>
  <c r="AW47" i="85"/>
  <c r="AX47" i="85"/>
  <c r="AY47" i="85"/>
  <c r="BB47" i="85"/>
  <c r="BC47" i="85"/>
  <c r="BD47" i="85"/>
  <c r="BE47" i="85"/>
  <c r="BH47" i="85"/>
  <c r="BI47" i="85"/>
  <c r="B48" i="85"/>
  <c r="C48" i="85"/>
  <c r="F48" i="85"/>
  <c r="H48" i="85"/>
  <c r="J48" i="85"/>
  <c r="L48" i="85"/>
  <c r="N48" i="85"/>
  <c r="P48" i="85"/>
  <c r="Q48" i="85"/>
  <c r="R48" i="85"/>
  <c r="S48" i="85"/>
  <c r="U48" i="85"/>
  <c r="W48" i="85"/>
  <c r="Y48" i="85"/>
  <c r="AC48" i="85"/>
  <c r="AD48" i="85"/>
  <c r="AF48" i="85"/>
  <c r="AH48" i="85"/>
  <c r="AI48" i="85"/>
  <c r="AJ48" i="85"/>
  <c r="AK48" i="85"/>
  <c r="AW48" i="85"/>
  <c r="AX48" i="85"/>
  <c r="AY48" i="85"/>
  <c r="BB48" i="85"/>
  <c r="BC48" i="85"/>
  <c r="BD48" i="85"/>
  <c r="BE48" i="85"/>
  <c r="BH48" i="85"/>
  <c r="BI48" i="85"/>
  <c r="B49" i="85"/>
  <c r="C49" i="85"/>
  <c r="F49" i="85"/>
  <c r="H49" i="85"/>
  <c r="J49" i="85"/>
  <c r="L49" i="85"/>
  <c r="N49" i="85"/>
  <c r="P49" i="85"/>
  <c r="Q49" i="85"/>
  <c r="R49" i="85"/>
  <c r="S49" i="85"/>
  <c r="U49" i="85"/>
  <c r="W49" i="85"/>
  <c r="Y49" i="85"/>
  <c r="AC49" i="85"/>
  <c r="AD49" i="85"/>
  <c r="AF49" i="85"/>
  <c r="AH49" i="85"/>
  <c r="AI49" i="85"/>
  <c r="AJ49" i="85"/>
  <c r="AK49" i="85"/>
  <c r="AW49" i="85"/>
  <c r="AX49" i="85"/>
  <c r="AY49" i="85"/>
  <c r="BB49" i="85"/>
  <c r="BC49" i="85"/>
  <c r="BD49" i="85"/>
  <c r="BE49" i="85"/>
  <c r="BH49" i="85"/>
  <c r="BI49" i="85"/>
  <c r="B50" i="85"/>
  <c r="C50" i="85"/>
  <c r="F50" i="85"/>
  <c r="H50" i="85"/>
  <c r="J50" i="85"/>
  <c r="L50" i="85"/>
  <c r="N50" i="85"/>
  <c r="P50" i="85"/>
  <c r="Q50" i="85"/>
  <c r="R50" i="85"/>
  <c r="S50" i="85"/>
  <c r="U50" i="85"/>
  <c r="W50" i="85"/>
  <c r="Y50" i="85"/>
  <c r="AC50" i="85"/>
  <c r="AD50" i="85"/>
  <c r="AF50" i="85"/>
  <c r="AH50" i="85"/>
  <c r="AI50" i="85"/>
  <c r="AJ50" i="85"/>
  <c r="AK50" i="85"/>
  <c r="AW50" i="85"/>
  <c r="AX50" i="85"/>
  <c r="AY50" i="85"/>
  <c r="BB50" i="85"/>
  <c r="BC50" i="85"/>
  <c r="BD50" i="85"/>
  <c r="BE50" i="85"/>
  <c r="BH50" i="85"/>
  <c r="BI50" i="85"/>
  <c r="C51" i="85"/>
  <c r="D51" i="85"/>
  <c r="E51" i="85"/>
  <c r="F51" i="85"/>
  <c r="G51" i="85"/>
  <c r="H51" i="85"/>
  <c r="I51" i="85"/>
  <c r="J51" i="85"/>
  <c r="K51" i="85"/>
  <c r="L51" i="85"/>
  <c r="M51" i="85"/>
  <c r="N51" i="85"/>
  <c r="O51" i="85"/>
  <c r="P51" i="85"/>
  <c r="Q51" i="85"/>
  <c r="R51" i="85"/>
  <c r="S51" i="85"/>
  <c r="T51" i="85"/>
  <c r="U51" i="85"/>
  <c r="V51" i="85"/>
  <c r="W51" i="85"/>
  <c r="X51" i="85"/>
  <c r="Y51" i="85"/>
  <c r="AD51" i="85"/>
  <c r="AE51" i="85"/>
  <c r="AF51" i="85"/>
  <c r="AG51" i="85"/>
  <c r="AH51" i="85"/>
  <c r="AI51" i="85"/>
  <c r="AJ51" i="85"/>
  <c r="AK51" i="85"/>
  <c r="AX51" i="85"/>
  <c r="AY51" i="85"/>
  <c r="AZ51" i="85"/>
  <c r="BA51" i="85"/>
  <c r="BB51" i="85"/>
  <c r="BC51" i="85"/>
  <c r="BD51" i="85"/>
  <c r="BE51" i="85"/>
  <c r="BF51" i="85"/>
  <c r="BG51" i="85"/>
  <c r="BH51" i="85"/>
  <c r="BI51" i="85"/>
  <c r="AN10" i="63"/>
  <c r="AO10" i="63"/>
  <c r="AQ10" i="63"/>
  <c r="AS10" i="63"/>
  <c r="AT10" i="63"/>
  <c r="B11" i="63"/>
  <c r="C11" i="63"/>
  <c r="F11" i="63"/>
  <c r="H11" i="63"/>
  <c r="J11" i="63"/>
  <c r="L11" i="63"/>
  <c r="N11" i="63"/>
  <c r="P11" i="63"/>
  <c r="Q11" i="63"/>
  <c r="R11" i="63"/>
  <c r="S11" i="63"/>
  <c r="U11" i="63"/>
  <c r="W11" i="63"/>
  <c r="Y11" i="63"/>
  <c r="AC11" i="63"/>
  <c r="AD11" i="63"/>
  <c r="AF11" i="63"/>
  <c r="AH11" i="63"/>
  <c r="AI11" i="63"/>
  <c r="AJ11" i="63"/>
  <c r="AK11" i="63"/>
  <c r="AN11" i="63"/>
  <c r="AO11" i="63"/>
  <c r="AQ11" i="63"/>
  <c r="AS11" i="63"/>
  <c r="AT11" i="63"/>
  <c r="AW11" i="63"/>
  <c r="AX11" i="63"/>
  <c r="AY11" i="63"/>
  <c r="BB11" i="63"/>
  <c r="BC11" i="63"/>
  <c r="BD11" i="63"/>
  <c r="BE11" i="63"/>
  <c r="BH11" i="63"/>
  <c r="BI11" i="63"/>
  <c r="B12" i="63"/>
  <c r="C12" i="63"/>
  <c r="F12" i="63"/>
  <c r="H12" i="63"/>
  <c r="J12" i="63"/>
  <c r="L12" i="63"/>
  <c r="N12" i="63"/>
  <c r="P12" i="63"/>
  <c r="Q12" i="63"/>
  <c r="R12" i="63"/>
  <c r="S12" i="63"/>
  <c r="U12" i="63"/>
  <c r="W12" i="63"/>
  <c r="Y12" i="63"/>
  <c r="AC12" i="63"/>
  <c r="AD12" i="63"/>
  <c r="AF12" i="63"/>
  <c r="AH12" i="63"/>
  <c r="AI12" i="63"/>
  <c r="AJ12" i="63"/>
  <c r="AK12" i="63"/>
  <c r="AO12" i="63"/>
  <c r="AQ12" i="63"/>
  <c r="AS12" i="63"/>
  <c r="AT12" i="63"/>
  <c r="AW12" i="63"/>
  <c r="AX12" i="63"/>
  <c r="AY12" i="63"/>
  <c r="BB12" i="63"/>
  <c r="BC12" i="63"/>
  <c r="BD12" i="63"/>
  <c r="BE12" i="63"/>
  <c r="BH12" i="63"/>
  <c r="BI12" i="63"/>
  <c r="B13" i="63"/>
  <c r="C13" i="63"/>
  <c r="F13" i="63"/>
  <c r="H13" i="63"/>
  <c r="J13" i="63"/>
  <c r="L13" i="63"/>
  <c r="N13" i="63"/>
  <c r="P13" i="63"/>
  <c r="Q13" i="63"/>
  <c r="R13" i="63"/>
  <c r="S13" i="63"/>
  <c r="U13" i="63"/>
  <c r="W13" i="63"/>
  <c r="Y13" i="63"/>
  <c r="AC13" i="63"/>
  <c r="AD13" i="63"/>
  <c r="AF13" i="63"/>
  <c r="AH13" i="63"/>
  <c r="AI13" i="63"/>
  <c r="AJ13" i="63"/>
  <c r="AK13" i="63"/>
  <c r="AO13" i="63"/>
  <c r="AP13" i="63"/>
  <c r="AQ13" i="63"/>
  <c r="AR13" i="63"/>
  <c r="AS13" i="63"/>
  <c r="AT13" i="63"/>
  <c r="AW13" i="63"/>
  <c r="AX13" i="63"/>
  <c r="AY13" i="63"/>
  <c r="BB13" i="63"/>
  <c r="BC13" i="63"/>
  <c r="BD13" i="63"/>
  <c r="BE13" i="63"/>
  <c r="BH13" i="63"/>
  <c r="BI13" i="63"/>
  <c r="B14" i="63"/>
  <c r="C14" i="63"/>
  <c r="F14" i="63"/>
  <c r="H14" i="63"/>
  <c r="J14" i="63"/>
  <c r="L14" i="63"/>
  <c r="N14" i="63"/>
  <c r="P14" i="63"/>
  <c r="Q14" i="63"/>
  <c r="R14" i="63"/>
  <c r="S14" i="63"/>
  <c r="U14" i="63"/>
  <c r="W14" i="63"/>
  <c r="Y14" i="63"/>
  <c r="AC14" i="63"/>
  <c r="AD14" i="63"/>
  <c r="AF14" i="63"/>
  <c r="AH14" i="63"/>
  <c r="AI14" i="63"/>
  <c r="AJ14" i="63"/>
  <c r="AK14" i="63"/>
  <c r="AT14" i="63"/>
  <c r="AW14" i="63"/>
  <c r="AX14" i="63"/>
  <c r="AY14" i="63"/>
  <c r="BB14" i="63"/>
  <c r="BC14" i="63"/>
  <c r="BD14" i="63"/>
  <c r="BE14" i="63"/>
  <c r="BH14" i="63"/>
  <c r="BI14" i="63"/>
  <c r="B15" i="63"/>
  <c r="C15" i="63"/>
  <c r="F15" i="63"/>
  <c r="H15" i="63"/>
  <c r="J15" i="63"/>
  <c r="L15" i="63"/>
  <c r="N15" i="63"/>
  <c r="P15" i="63"/>
  <c r="Q15" i="63"/>
  <c r="R15" i="63"/>
  <c r="S15" i="63"/>
  <c r="U15" i="63"/>
  <c r="W15" i="63"/>
  <c r="Y15" i="63"/>
  <c r="AC15" i="63"/>
  <c r="AD15" i="63"/>
  <c r="AF15" i="63"/>
  <c r="AH15" i="63"/>
  <c r="AI15" i="63"/>
  <c r="AJ15" i="63"/>
  <c r="AK15" i="63"/>
  <c r="AW15" i="63"/>
  <c r="AX15" i="63"/>
  <c r="AY15" i="63"/>
  <c r="BB15" i="63"/>
  <c r="BC15" i="63"/>
  <c r="BD15" i="63"/>
  <c r="BE15" i="63"/>
  <c r="BH15" i="63"/>
  <c r="BI15" i="63"/>
  <c r="B16" i="63"/>
  <c r="C16" i="63"/>
  <c r="F16" i="63"/>
  <c r="H16" i="63"/>
  <c r="J16" i="63"/>
  <c r="L16" i="63"/>
  <c r="N16" i="63"/>
  <c r="P16" i="63"/>
  <c r="Q16" i="63"/>
  <c r="R16" i="63"/>
  <c r="S16" i="63"/>
  <c r="U16" i="63"/>
  <c r="W16" i="63"/>
  <c r="Y16" i="63"/>
  <c r="AC16" i="63"/>
  <c r="AD16" i="63"/>
  <c r="AF16" i="63"/>
  <c r="AH16" i="63"/>
  <c r="AI16" i="63"/>
  <c r="AJ16" i="63"/>
  <c r="AK16" i="63"/>
  <c r="AW16" i="63"/>
  <c r="AX16" i="63"/>
  <c r="AY16" i="63"/>
  <c r="BB16" i="63"/>
  <c r="BC16" i="63"/>
  <c r="BD16" i="63"/>
  <c r="BE16" i="63"/>
  <c r="BH16" i="63"/>
  <c r="BI16" i="63"/>
  <c r="B17" i="63"/>
  <c r="C17" i="63"/>
  <c r="F17" i="63"/>
  <c r="H17" i="63"/>
  <c r="J17" i="63"/>
  <c r="L17" i="63"/>
  <c r="N17" i="63"/>
  <c r="P17" i="63"/>
  <c r="Q17" i="63"/>
  <c r="R17" i="63"/>
  <c r="S17" i="63"/>
  <c r="U17" i="63"/>
  <c r="W17" i="63"/>
  <c r="Y17" i="63"/>
  <c r="AC17" i="63"/>
  <c r="AD17" i="63"/>
  <c r="AF17" i="63"/>
  <c r="AH17" i="63"/>
  <c r="AI17" i="63"/>
  <c r="AJ17" i="63"/>
  <c r="AK17" i="63"/>
  <c r="AW17" i="63"/>
  <c r="AX17" i="63"/>
  <c r="AY17" i="63"/>
  <c r="BB17" i="63"/>
  <c r="BC17" i="63"/>
  <c r="BD17" i="63"/>
  <c r="BE17" i="63"/>
  <c r="BH17" i="63"/>
  <c r="BI17" i="63"/>
  <c r="B18" i="63"/>
  <c r="C18" i="63"/>
  <c r="F18" i="63"/>
  <c r="H18" i="63"/>
  <c r="J18" i="63"/>
  <c r="L18" i="63"/>
  <c r="N18" i="63"/>
  <c r="P18" i="63"/>
  <c r="Q18" i="63"/>
  <c r="R18" i="63"/>
  <c r="S18" i="63"/>
  <c r="U18" i="63"/>
  <c r="W18" i="63"/>
  <c r="Y18" i="63"/>
  <c r="AC18" i="63"/>
  <c r="AD18" i="63"/>
  <c r="AF18" i="63"/>
  <c r="AH18" i="63"/>
  <c r="AI18" i="63"/>
  <c r="AJ18" i="63"/>
  <c r="AK18" i="63"/>
  <c r="AW18" i="63"/>
  <c r="AX18" i="63"/>
  <c r="AY18" i="63"/>
  <c r="BB18" i="63"/>
  <c r="BC18" i="63"/>
  <c r="BD18" i="63"/>
  <c r="BE18" i="63"/>
  <c r="BH18" i="63"/>
  <c r="BI18" i="63"/>
  <c r="B19" i="63"/>
  <c r="C19" i="63"/>
  <c r="F19" i="63"/>
  <c r="H19" i="63"/>
  <c r="J19" i="63"/>
  <c r="L19" i="63"/>
  <c r="N19" i="63"/>
  <c r="P19" i="63"/>
  <c r="Q19" i="63"/>
  <c r="R19" i="63"/>
  <c r="S19" i="63"/>
  <c r="U19" i="63"/>
  <c r="W19" i="63"/>
  <c r="Y19" i="63"/>
  <c r="AC19" i="63"/>
  <c r="AD19" i="63"/>
  <c r="AF19" i="63"/>
  <c r="AH19" i="63"/>
  <c r="AI19" i="63"/>
  <c r="AJ19" i="63"/>
  <c r="AK19" i="63"/>
  <c r="AW19" i="63"/>
  <c r="AX19" i="63"/>
  <c r="AY19" i="63"/>
  <c r="BB19" i="63"/>
  <c r="BC19" i="63"/>
  <c r="BD19" i="63"/>
  <c r="BE19" i="63"/>
  <c r="BH19" i="63"/>
  <c r="BI19" i="63"/>
  <c r="B20" i="63"/>
  <c r="C20" i="63"/>
  <c r="F20" i="63"/>
  <c r="H20" i="63"/>
  <c r="J20" i="63"/>
  <c r="L20" i="63"/>
  <c r="N20" i="63"/>
  <c r="P20" i="63"/>
  <c r="Q20" i="63"/>
  <c r="R20" i="63"/>
  <c r="S20" i="63"/>
  <c r="U20" i="63"/>
  <c r="W20" i="63"/>
  <c r="Y20" i="63"/>
  <c r="AC20" i="63"/>
  <c r="AD20" i="63"/>
  <c r="AF20" i="63"/>
  <c r="AH20" i="63"/>
  <c r="AI20" i="63"/>
  <c r="AJ20" i="63"/>
  <c r="AK20" i="63"/>
  <c r="AW20" i="63"/>
  <c r="AX20" i="63"/>
  <c r="AY20" i="63"/>
  <c r="BB20" i="63"/>
  <c r="BC20" i="63"/>
  <c r="BD20" i="63"/>
  <c r="BE20" i="63"/>
  <c r="BH20" i="63"/>
  <c r="BI20" i="63"/>
  <c r="B21" i="63"/>
  <c r="C21" i="63"/>
  <c r="F21" i="63"/>
  <c r="H21" i="63"/>
  <c r="J21" i="63"/>
  <c r="L21" i="63"/>
  <c r="N21" i="63"/>
  <c r="P21" i="63"/>
  <c r="Q21" i="63"/>
  <c r="R21" i="63"/>
  <c r="S21" i="63"/>
  <c r="U21" i="63"/>
  <c r="W21" i="63"/>
  <c r="Y21" i="63"/>
  <c r="AC21" i="63"/>
  <c r="AD21" i="63"/>
  <c r="AF21" i="63"/>
  <c r="AH21" i="63"/>
  <c r="AI21" i="63"/>
  <c r="AJ21" i="63"/>
  <c r="AK21" i="63"/>
  <c r="AW21" i="63"/>
  <c r="AX21" i="63"/>
  <c r="AY21" i="63"/>
  <c r="BB21" i="63"/>
  <c r="BC21" i="63"/>
  <c r="BD21" i="63"/>
  <c r="BE21" i="63"/>
  <c r="BH21" i="63"/>
  <c r="BI21" i="63"/>
  <c r="B22" i="63"/>
  <c r="C22" i="63"/>
  <c r="F22" i="63"/>
  <c r="H22" i="63"/>
  <c r="J22" i="63"/>
  <c r="L22" i="63"/>
  <c r="N22" i="63"/>
  <c r="P22" i="63"/>
  <c r="Q22" i="63"/>
  <c r="R22" i="63"/>
  <c r="S22" i="63"/>
  <c r="U22" i="63"/>
  <c r="W22" i="63"/>
  <c r="Y22" i="63"/>
  <c r="AC22" i="63"/>
  <c r="AD22" i="63"/>
  <c r="AF22" i="63"/>
  <c r="AH22" i="63"/>
  <c r="AI22" i="63"/>
  <c r="AJ22" i="63"/>
  <c r="AK22" i="63"/>
  <c r="AW22" i="63"/>
  <c r="AX22" i="63"/>
  <c r="AY22" i="63"/>
  <c r="BB22" i="63"/>
  <c r="BC22" i="63"/>
  <c r="BD22" i="63"/>
  <c r="BE22" i="63"/>
  <c r="BH22" i="63"/>
  <c r="BI22" i="63"/>
  <c r="B23" i="63"/>
  <c r="C23" i="63"/>
  <c r="F23" i="63"/>
  <c r="H23" i="63"/>
  <c r="J23" i="63"/>
  <c r="L23" i="63"/>
  <c r="N23" i="63"/>
  <c r="P23" i="63"/>
  <c r="Q23" i="63"/>
  <c r="R23" i="63"/>
  <c r="S23" i="63"/>
  <c r="U23" i="63"/>
  <c r="W23" i="63"/>
  <c r="Y23" i="63"/>
  <c r="AC23" i="63"/>
  <c r="AD23" i="63"/>
  <c r="AF23" i="63"/>
  <c r="AH23" i="63"/>
  <c r="AI23" i="63"/>
  <c r="AJ23" i="63"/>
  <c r="AK23" i="63"/>
  <c r="AW23" i="63"/>
  <c r="AX23" i="63"/>
  <c r="AY23" i="63"/>
  <c r="BB23" i="63"/>
  <c r="BC23" i="63"/>
  <c r="BD23" i="63"/>
  <c r="BE23" i="63"/>
  <c r="BH23" i="63"/>
  <c r="BI23" i="63"/>
  <c r="B24" i="63"/>
  <c r="C24" i="63"/>
  <c r="F24" i="63"/>
  <c r="H24" i="63"/>
  <c r="J24" i="63"/>
  <c r="L24" i="63"/>
  <c r="N24" i="63"/>
  <c r="P24" i="63"/>
  <c r="Q24" i="63"/>
  <c r="R24" i="63"/>
  <c r="S24" i="63"/>
  <c r="U24" i="63"/>
  <c r="W24" i="63"/>
  <c r="Y24" i="63"/>
  <c r="AC24" i="63"/>
  <c r="AD24" i="63"/>
  <c r="AF24" i="63"/>
  <c r="AH24" i="63"/>
  <c r="AI24" i="63"/>
  <c r="AJ24" i="63"/>
  <c r="AK24" i="63"/>
  <c r="AW24" i="63"/>
  <c r="AX24" i="63"/>
  <c r="AY24" i="63"/>
  <c r="BB24" i="63"/>
  <c r="BC24" i="63"/>
  <c r="BD24" i="63"/>
  <c r="BE24" i="63"/>
  <c r="BH24" i="63"/>
  <c r="BI24" i="63"/>
  <c r="B25" i="63"/>
  <c r="C25" i="63"/>
  <c r="F25" i="63"/>
  <c r="H25" i="63"/>
  <c r="J25" i="63"/>
  <c r="L25" i="63"/>
  <c r="N25" i="63"/>
  <c r="P25" i="63"/>
  <c r="Q25" i="63"/>
  <c r="R25" i="63"/>
  <c r="S25" i="63"/>
  <c r="U25" i="63"/>
  <c r="W25" i="63"/>
  <c r="Y25" i="63"/>
  <c r="AC25" i="63"/>
  <c r="AD25" i="63"/>
  <c r="AF25" i="63"/>
  <c r="AH25" i="63"/>
  <c r="AI25" i="63"/>
  <c r="AJ25" i="63"/>
  <c r="AK25" i="63"/>
  <c r="AW25" i="63"/>
  <c r="AX25" i="63"/>
  <c r="AY25" i="63"/>
  <c r="BB25" i="63"/>
  <c r="BC25" i="63"/>
  <c r="BD25" i="63"/>
  <c r="BE25" i="63"/>
  <c r="BH25" i="63"/>
  <c r="BI25" i="63"/>
  <c r="B26" i="63"/>
  <c r="C26" i="63"/>
  <c r="F26" i="63"/>
  <c r="H26" i="63"/>
  <c r="J26" i="63"/>
  <c r="L26" i="63"/>
  <c r="N26" i="63"/>
  <c r="P26" i="63"/>
  <c r="Q26" i="63"/>
  <c r="R26" i="63"/>
  <c r="S26" i="63"/>
  <c r="U26" i="63"/>
  <c r="W26" i="63"/>
  <c r="Y26" i="63"/>
  <c r="AC26" i="63"/>
  <c r="AD26" i="63"/>
  <c r="AF26" i="63"/>
  <c r="AH26" i="63"/>
  <c r="AI26" i="63"/>
  <c r="AJ26" i="63"/>
  <c r="AK26" i="63"/>
  <c r="AW26" i="63"/>
  <c r="AX26" i="63"/>
  <c r="AY26" i="63"/>
  <c r="BB26" i="63"/>
  <c r="BC26" i="63"/>
  <c r="BD26" i="63"/>
  <c r="BE26" i="63"/>
  <c r="BH26" i="63"/>
  <c r="BI26" i="63"/>
  <c r="B27" i="63"/>
  <c r="C27" i="63"/>
  <c r="F27" i="63"/>
  <c r="H27" i="63"/>
  <c r="J27" i="63"/>
  <c r="L27" i="63"/>
  <c r="N27" i="63"/>
  <c r="P27" i="63"/>
  <c r="Q27" i="63"/>
  <c r="R27" i="63"/>
  <c r="S27" i="63"/>
  <c r="U27" i="63"/>
  <c r="W27" i="63"/>
  <c r="Y27" i="63"/>
  <c r="AC27" i="63"/>
  <c r="AD27" i="63"/>
  <c r="AF27" i="63"/>
  <c r="AH27" i="63"/>
  <c r="AI27" i="63"/>
  <c r="AJ27" i="63"/>
  <c r="AK27" i="63"/>
  <c r="AW27" i="63"/>
  <c r="AX27" i="63"/>
  <c r="AY27" i="63"/>
  <c r="BB27" i="63"/>
  <c r="BC27" i="63"/>
  <c r="BD27" i="63"/>
  <c r="BE27" i="63"/>
  <c r="BH27" i="63"/>
  <c r="BI27" i="63"/>
  <c r="B28" i="63"/>
  <c r="C28" i="63"/>
  <c r="F28" i="63"/>
  <c r="H28" i="63"/>
  <c r="J28" i="63"/>
  <c r="L28" i="63"/>
  <c r="N28" i="63"/>
  <c r="P28" i="63"/>
  <c r="Q28" i="63"/>
  <c r="R28" i="63"/>
  <c r="S28" i="63"/>
  <c r="U28" i="63"/>
  <c r="W28" i="63"/>
  <c r="Y28" i="63"/>
  <c r="AC28" i="63"/>
  <c r="AD28" i="63"/>
  <c r="AF28" i="63"/>
  <c r="AH28" i="63"/>
  <c r="AI28" i="63"/>
  <c r="AJ28" i="63"/>
  <c r="AK28" i="63"/>
  <c r="AW28" i="63"/>
  <c r="AX28" i="63"/>
  <c r="AY28" i="63"/>
  <c r="BB28" i="63"/>
  <c r="BC28" i="63"/>
  <c r="BD28" i="63"/>
  <c r="BE28" i="63"/>
  <c r="BH28" i="63"/>
  <c r="BI28" i="63"/>
  <c r="B29" i="63"/>
  <c r="C29" i="63"/>
  <c r="F29" i="63"/>
  <c r="H29" i="63"/>
  <c r="J29" i="63"/>
  <c r="L29" i="63"/>
  <c r="N29" i="63"/>
  <c r="P29" i="63"/>
  <c r="Q29" i="63"/>
  <c r="R29" i="63"/>
  <c r="S29" i="63"/>
  <c r="U29" i="63"/>
  <c r="W29" i="63"/>
  <c r="Y29" i="63"/>
  <c r="AC29" i="63"/>
  <c r="AD29" i="63"/>
  <c r="AF29" i="63"/>
  <c r="AH29" i="63"/>
  <c r="AI29" i="63"/>
  <c r="AJ29" i="63"/>
  <c r="AK29" i="63"/>
  <c r="AW29" i="63"/>
  <c r="AX29" i="63"/>
  <c r="AY29" i="63"/>
  <c r="BB29" i="63"/>
  <c r="BC29" i="63"/>
  <c r="BD29" i="63"/>
  <c r="BE29" i="63"/>
  <c r="BH29" i="63"/>
  <c r="BI29" i="63"/>
  <c r="B30" i="63"/>
  <c r="C30" i="63"/>
  <c r="F30" i="63"/>
  <c r="H30" i="63"/>
  <c r="J30" i="63"/>
  <c r="L30" i="63"/>
  <c r="N30" i="63"/>
  <c r="P30" i="63"/>
  <c r="Q30" i="63"/>
  <c r="R30" i="63"/>
  <c r="S30" i="63"/>
  <c r="U30" i="63"/>
  <c r="W30" i="63"/>
  <c r="Y30" i="63"/>
  <c r="AC30" i="63"/>
  <c r="AD30" i="63"/>
  <c r="AF30" i="63"/>
  <c r="AH30" i="63"/>
  <c r="AI30" i="63"/>
  <c r="AJ30" i="63"/>
  <c r="AK30" i="63"/>
  <c r="AW30" i="63"/>
  <c r="AX30" i="63"/>
  <c r="AY30" i="63"/>
  <c r="BB30" i="63"/>
  <c r="BC30" i="63"/>
  <c r="BD30" i="63"/>
  <c r="BE30" i="63"/>
  <c r="BH30" i="63"/>
  <c r="BI30" i="63"/>
  <c r="B31" i="63"/>
  <c r="C31" i="63"/>
  <c r="F31" i="63"/>
  <c r="H31" i="63"/>
  <c r="J31" i="63"/>
  <c r="L31" i="63"/>
  <c r="N31" i="63"/>
  <c r="P31" i="63"/>
  <c r="Q31" i="63"/>
  <c r="R31" i="63"/>
  <c r="S31" i="63"/>
  <c r="U31" i="63"/>
  <c r="W31" i="63"/>
  <c r="Y31" i="63"/>
  <c r="AC31" i="63"/>
  <c r="AD31" i="63"/>
  <c r="AF31" i="63"/>
  <c r="AH31" i="63"/>
  <c r="AI31" i="63"/>
  <c r="AJ31" i="63"/>
  <c r="AK31" i="63"/>
  <c r="AW31" i="63"/>
  <c r="AX31" i="63"/>
  <c r="AY31" i="63"/>
  <c r="BB31" i="63"/>
  <c r="BC31" i="63"/>
  <c r="BD31" i="63"/>
  <c r="BE31" i="63"/>
  <c r="BH31" i="63"/>
  <c r="BI31" i="63"/>
  <c r="B32" i="63"/>
  <c r="C32" i="63"/>
  <c r="F32" i="63"/>
  <c r="H32" i="63"/>
  <c r="J32" i="63"/>
  <c r="L32" i="63"/>
  <c r="N32" i="63"/>
  <c r="P32" i="63"/>
  <c r="Q32" i="63"/>
  <c r="R32" i="63"/>
  <c r="S32" i="63"/>
  <c r="U32" i="63"/>
  <c r="W32" i="63"/>
  <c r="Y32" i="63"/>
  <c r="AC32" i="63"/>
  <c r="AD32" i="63"/>
  <c r="AF32" i="63"/>
  <c r="AH32" i="63"/>
  <c r="AI32" i="63"/>
  <c r="AJ32" i="63"/>
  <c r="AK32" i="63"/>
  <c r="AW32" i="63"/>
  <c r="AX32" i="63"/>
  <c r="AY32" i="63"/>
  <c r="BB32" i="63"/>
  <c r="BC32" i="63"/>
  <c r="BD32" i="63"/>
  <c r="BE32" i="63"/>
  <c r="BH32" i="63"/>
  <c r="BI32" i="63"/>
  <c r="B33" i="63"/>
  <c r="C33" i="63"/>
  <c r="F33" i="63"/>
  <c r="H33" i="63"/>
  <c r="J33" i="63"/>
  <c r="L33" i="63"/>
  <c r="N33" i="63"/>
  <c r="P33" i="63"/>
  <c r="Q33" i="63"/>
  <c r="R33" i="63"/>
  <c r="S33" i="63"/>
  <c r="U33" i="63"/>
  <c r="W33" i="63"/>
  <c r="Y33" i="63"/>
  <c r="AC33" i="63"/>
  <c r="AD33" i="63"/>
  <c r="AF33" i="63"/>
  <c r="AH33" i="63"/>
  <c r="AI33" i="63"/>
  <c r="AJ33" i="63"/>
  <c r="AK33" i="63"/>
  <c r="AW33" i="63"/>
  <c r="AX33" i="63"/>
  <c r="AY33" i="63"/>
  <c r="BB33" i="63"/>
  <c r="BC33" i="63"/>
  <c r="BD33" i="63"/>
  <c r="BE33" i="63"/>
  <c r="BH33" i="63"/>
  <c r="BI33" i="63"/>
  <c r="B34" i="63"/>
  <c r="C34" i="63"/>
  <c r="F34" i="63"/>
  <c r="H34" i="63"/>
  <c r="J34" i="63"/>
  <c r="L34" i="63"/>
  <c r="N34" i="63"/>
  <c r="P34" i="63"/>
  <c r="Q34" i="63"/>
  <c r="R34" i="63"/>
  <c r="S34" i="63"/>
  <c r="U34" i="63"/>
  <c r="W34" i="63"/>
  <c r="Y34" i="63"/>
  <c r="AC34" i="63"/>
  <c r="AD34" i="63"/>
  <c r="AF34" i="63"/>
  <c r="AH34" i="63"/>
  <c r="AI34" i="63"/>
  <c r="AJ34" i="63"/>
  <c r="AK34" i="63"/>
  <c r="AW34" i="63"/>
  <c r="AX34" i="63"/>
  <c r="AY34" i="63"/>
  <c r="BB34" i="63"/>
  <c r="BC34" i="63"/>
  <c r="BD34" i="63"/>
  <c r="BE34" i="63"/>
  <c r="BH34" i="63"/>
  <c r="BI34" i="63"/>
  <c r="B35" i="63"/>
  <c r="C35" i="63"/>
  <c r="F35" i="63"/>
  <c r="H35" i="63"/>
  <c r="J35" i="63"/>
  <c r="L35" i="63"/>
  <c r="N35" i="63"/>
  <c r="P35" i="63"/>
  <c r="Q35" i="63"/>
  <c r="R35" i="63"/>
  <c r="S35" i="63"/>
  <c r="U35" i="63"/>
  <c r="W35" i="63"/>
  <c r="Y35" i="63"/>
  <c r="AC35" i="63"/>
  <c r="AD35" i="63"/>
  <c r="AF35" i="63"/>
  <c r="AH35" i="63"/>
  <c r="AI35" i="63"/>
  <c r="AJ35" i="63"/>
  <c r="AK35" i="63"/>
  <c r="AW35" i="63"/>
  <c r="AX35" i="63"/>
  <c r="AY35" i="63"/>
  <c r="BB35" i="63"/>
  <c r="BC35" i="63"/>
  <c r="BD35" i="63"/>
  <c r="BE35" i="63"/>
  <c r="BH35" i="63"/>
  <c r="BI35" i="63"/>
  <c r="B36" i="63"/>
  <c r="C36" i="63"/>
  <c r="F36" i="63"/>
  <c r="H36" i="63"/>
  <c r="J36" i="63"/>
  <c r="L36" i="63"/>
  <c r="N36" i="63"/>
  <c r="P36" i="63"/>
  <c r="Q36" i="63"/>
  <c r="R36" i="63"/>
  <c r="S36" i="63"/>
  <c r="U36" i="63"/>
  <c r="W36" i="63"/>
  <c r="Y36" i="63"/>
  <c r="AC36" i="63"/>
  <c r="AD36" i="63"/>
  <c r="AF36" i="63"/>
  <c r="AH36" i="63"/>
  <c r="AI36" i="63"/>
  <c r="AJ36" i="63"/>
  <c r="AK36" i="63"/>
  <c r="AW36" i="63"/>
  <c r="AX36" i="63"/>
  <c r="AY36" i="63"/>
  <c r="BB36" i="63"/>
  <c r="BC36" i="63"/>
  <c r="BD36" i="63"/>
  <c r="BE36" i="63"/>
  <c r="BH36" i="63"/>
  <c r="BI36" i="63"/>
  <c r="B37" i="63"/>
  <c r="C37" i="63"/>
  <c r="F37" i="63"/>
  <c r="H37" i="63"/>
  <c r="J37" i="63"/>
  <c r="L37" i="63"/>
  <c r="N37" i="63"/>
  <c r="P37" i="63"/>
  <c r="Q37" i="63"/>
  <c r="R37" i="63"/>
  <c r="S37" i="63"/>
  <c r="U37" i="63"/>
  <c r="W37" i="63"/>
  <c r="Y37" i="63"/>
  <c r="AC37" i="63"/>
  <c r="AD37" i="63"/>
  <c r="AF37" i="63"/>
  <c r="AH37" i="63"/>
  <c r="AI37" i="63"/>
  <c r="AJ37" i="63"/>
  <c r="AK37" i="63"/>
  <c r="AW37" i="63"/>
  <c r="AX37" i="63"/>
  <c r="AY37" i="63"/>
  <c r="BB37" i="63"/>
  <c r="BC37" i="63"/>
  <c r="BD37" i="63"/>
  <c r="BE37" i="63"/>
  <c r="BH37" i="63"/>
  <c r="BI37" i="63"/>
  <c r="B38" i="63"/>
  <c r="C38" i="63"/>
  <c r="F38" i="63"/>
  <c r="H38" i="63"/>
  <c r="J38" i="63"/>
  <c r="L38" i="63"/>
  <c r="N38" i="63"/>
  <c r="P38" i="63"/>
  <c r="Q38" i="63"/>
  <c r="R38" i="63"/>
  <c r="S38" i="63"/>
  <c r="U38" i="63"/>
  <c r="W38" i="63"/>
  <c r="Y38" i="63"/>
  <c r="AC38" i="63"/>
  <c r="AD38" i="63"/>
  <c r="AF38" i="63"/>
  <c r="AH38" i="63"/>
  <c r="AI38" i="63"/>
  <c r="AJ38" i="63"/>
  <c r="AK38" i="63"/>
  <c r="AW38" i="63"/>
  <c r="AX38" i="63"/>
  <c r="AY38" i="63"/>
  <c r="BB38" i="63"/>
  <c r="BC38" i="63"/>
  <c r="BD38" i="63"/>
  <c r="BE38" i="63"/>
  <c r="BH38" i="63"/>
  <c r="BI38" i="63"/>
  <c r="B39" i="63"/>
  <c r="C39" i="63"/>
  <c r="F39" i="63"/>
  <c r="H39" i="63"/>
  <c r="J39" i="63"/>
  <c r="L39" i="63"/>
  <c r="N39" i="63"/>
  <c r="P39" i="63"/>
  <c r="Q39" i="63"/>
  <c r="R39" i="63"/>
  <c r="S39" i="63"/>
  <c r="U39" i="63"/>
  <c r="W39" i="63"/>
  <c r="Y39" i="63"/>
  <c r="AC39" i="63"/>
  <c r="AD39" i="63"/>
  <c r="AF39" i="63"/>
  <c r="AH39" i="63"/>
  <c r="AI39" i="63"/>
  <c r="AJ39" i="63"/>
  <c r="AK39" i="63"/>
  <c r="AW39" i="63"/>
  <c r="AX39" i="63"/>
  <c r="AY39" i="63"/>
  <c r="BB39" i="63"/>
  <c r="BC39" i="63"/>
  <c r="BD39" i="63"/>
  <c r="BE39" i="63"/>
  <c r="BH39" i="63"/>
  <c r="BI39" i="63"/>
  <c r="B40" i="63"/>
  <c r="C40" i="63"/>
  <c r="F40" i="63"/>
  <c r="H40" i="63"/>
  <c r="J40" i="63"/>
  <c r="L40" i="63"/>
  <c r="N40" i="63"/>
  <c r="P40" i="63"/>
  <c r="Q40" i="63"/>
  <c r="R40" i="63"/>
  <c r="S40" i="63"/>
  <c r="U40" i="63"/>
  <c r="W40" i="63"/>
  <c r="Y40" i="63"/>
  <c r="AC40" i="63"/>
  <c r="AD40" i="63"/>
  <c r="AF40" i="63"/>
  <c r="AH40" i="63"/>
  <c r="AI40" i="63"/>
  <c r="AJ40" i="63"/>
  <c r="AK40" i="63"/>
  <c r="AW40" i="63"/>
  <c r="AX40" i="63"/>
  <c r="AY40" i="63"/>
  <c r="BB40" i="63"/>
  <c r="BC40" i="63"/>
  <c r="BD40" i="63"/>
  <c r="BE40" i="63"/>
  <c r="BH40" i="63"/>
  <c r="BI40" i="63"/>
  <c r="B41" i="63"/>
  <c r="C41" i="63"/>
  <c r="F41" i="63"/>
  <c r="H41" i="63"/>
  <c r="J41" i="63"/>
  <c r="L41" i="63"/>
  <c r="N41" i="63"/>
  <c r="P41" i="63"/>
  <c r="Q41" i="63"/>
  <c r="R41" i="63"/>
  <c r="S41" i="63"/>
  <c r="U41" i="63"/>
  <c r="W41" i="63"/>
  <c r="Y41" i="63"/>
  <c r="AC41" i="63"/>
  <c r="AD41" i="63"/>
  <c r="AF41" i="63"/>
  <c r="AH41" i="63"/>
  <c r="AI41" i="63"/>
  <c r="AJ41" i="63"/>
  <c r="AK41" i="63"/>
  <c r="AW41" i="63"/>
  <c r="AX41" i="63"/>
  <c r="AY41" i="63"/>
  <c r="BB41" i="63"/>
  <c r="BC41" i="63"/>
  <c r="BD41" i="63"/>
  <c r="BE41" i="63"/>
  <c r="BH41" i="63"/>
  <c r="BI41" i="63"/>
  <c r="B42" i="63"/>
  <c r="C42" i="63"/>
  <c r="F42" i="63"/>
  <c r="H42" i="63"/>
  <c r="J42" i="63"/>
  <c r="L42" i="63"/>
  <c r="N42" i="63"/>
  <c r="P42" i="63"/>
  <c r="Q42" i="63"/>
  <c r="R42" i="63"/>
  <c r="S42" i="63"/>
  <c r="U42" i="63"/>
  <c r="W42" i="63"/>
  <c r="Y42" i="63"/>
  <c r="AC42" i="63"/>
  <c r="AD42" i="63"/>
  <c r="AF42" i="63"/>
  <c r="AH42" i="63"/>
  <c r="AI42" i="63"/>
  <c r="AJ42" i="63"/>
  <c r="AK42" i="63"/>
  <c r="AW42" i="63"/>
  <c r="AX42" i="63"/>
  <c r="AY42" i="63"/>
  <c r="BB42" i="63"/>
  <c r="BC42" i="63"/>
  <c r="BD42" i="63"/>
  <c r="BE42" i="63"/>
  <c r="BH42" i="63"/>
  <c r="BI42" i="63"/>
  <c r="B43" i="63"/>
  <c r="C43" i="63"/>
  <c r="F43" i="63"/>
  <c r="H43" i="63"/>
  <c r="J43" i="63"/>
  <c r="L43" i="63"/>
  <c r="N43" i="63"/>
  <c r="P43" i="63"/>
  <c r="Q43" i="63"/>
  <c r="R43" i="63"/>
  <c r="S43" i="63"/>
  <c r="U43" i="63"/>
  <c r="W43" i="63"/>
  <c r="Y43" i="63"/>
  <c r="AC43" i="63"/>
  <c r="AD43" i="63"/>
  <c r="AF43" i="63"/>
  <c r="AH43" i="63"/>
  <c r="AI43" i="63"/>
  <c r="AJ43" i="63"/>
  <c r="AK43" i="63"/>
  <c r="AW43" i="63"/>
  <c r="AX43" i="63"/>
  <c r="AY43" i="63"/>
  <c r="BB43" i="63"/>
  <c r="BC43" i="63"/>
  <c r="BD43" i="63"/>
  <c r="BE43" i="63"/>
  <c r="BH43" i="63"/>
  <c r="BI43" i="63"/>
  <c r="B44" i="63"/>
  <c r="C44" i="63"/>
  <c r="F44" i="63"/>
  <c r="H44" i="63"/>
  <c r="J44" i="63"/>
  <c r="L44" i="63"/>
  <c r="N44" i="63"/>
  <c r="P44" i="63"/>
  <c r="Q44" i="63"/>
  <c r="R44" i="63"/>
  <c r="S44" i="63"/>
  <c r="U44" i="63"/>
  <c r="W44" i="63"/>
  <c r="Y44" i="63"/>
  <c r="AC44" i="63"/>
  <c r="AD44" i="63"/>
  <c r="AF44" i="63"/>
  <c r="AH44" i="63"/>
  <c r="AI44" i="63"/>
  <c r="AJ44" i="63"/>
  <c r="AK44" i="63"/>
  <c r="AW44" i="63"/>
  <c r="AX44" i="63"/>
  <c r="AY44" i="63"/>
  <c r="BB44" i="63"/>
  <c r="BC44" i="63"/>
  <c r="BD44" i="63"/>
  <c r="BE44" i="63"/>
  <c r="BH44" i="63"/>
  <c r="BI44" i="63"/>
  <c r="B45" i="63"/>
  <c r="C45" i="63"/>
  <c r="F45" i="63"/>
  <c r="H45" i="63"/>
  <c r="J45" i="63"/>
  <c r="L45" i="63"/>
  <c r="N45" i="63"/>
  <c r="P45" i="63"/>
  <c r="Q45" i="63"/>
  <c r="R45" i="63"/>
  <c r="S45" i="63"/>
  <c r="U45" i="63"/>
  <c r="W45" i="63"/>
  <c r="Y45" i="63"/>
  <c r="AC45" i="63"/>
  <c r="AD45" i="63"/>
  <c r="AF45" i="63"/>
  <c r="AH45" i="63"/>
  <c r="AI45" i="63"/>
  <c r="AJ45" i="63"/>
  <c r="AK45" i="63"/>
  <c r="AW45" i="63"/>
  <c r="AX45" i="63"/>
  <c r="AY45" i="63"/>
  <c r="BB45" i="63"/>
  <c r="BC45" i="63"/>
  <c r="BD45" i="63"/>
  <c r="BE45" i="63"/>
  <c r="BH45" i="63"/>
  <c r="BI45" i="63"/>
  <c r="B46" i="63"/>
  <c r="C46" i="63"/>
  <c r="F46" i="63"/>
  <c r="H46" i="63"/>
  <c r="J46" i="63"/>
  <c r="L46" i="63"/>
  <c r="N46" i="63"/>
  <c r="P46" i="63"/>
  <c r="Q46" i="63"/>
  <c r="R46" i="63"/>
  <c r="S46" i="63"/>
  <c r="U46" i="63"/>
  <c r="W46" i="63"/>
  <c r="Y46" i="63"/>
  <c r="AC46" i="63"/>
  <c r="AD46" i="63"/>
  <c r="AF46" i="63"/>
  <c r="AH46" i="63"/>
  <c r="AI46" i="63"/>
  <c r="AJ46" i="63"/>
  <c r="AK46" i="63"/>
  <c r="AW46" i="63"/>
  <c r="AX46" i="63"/>
  <c r="AY46" i="63"/>
  <c r="BB46" i="63"/>
  <c r="BC46" i="63"/>
  <c r="BD46" i="63"/>
  <c r="BE46" i="63"/>
  <c r="BH46" i="63"/>
  <c r="BI46" i="63"/>
  <c r="B47" i="63"/>
  <c r="C47" i="63"/>
  <c r="F47" i="63"/>
  <c r="H47" i="63"/>
  <c r="J47" i="63"/>
  <c r="L47" i="63"/>
  <c r="N47" i="63"/>
  <c r="P47" i="63"/>
  <c r="Q47" i="63"/>
  <c r="R47" i="63"/>
  <c r="S47" i="63"/>
  <c r="U47" i="63"/>
  <c r="W47" i="63"/>
  <c r="Y47" i="63"/>
  <c r="AC47" i="63"/>
  <c r="AD47" i="63"/>
  <c r="AF47" i="63"/>
  <c r="AH47" i="63"/>
  <c r="AI47" i="63"/>
  <c r="AJ47" i="63"/>
  <c r="AK47" i="63"/>
  <c r="AW47" i="63"/>
  <c r="AX47" i="63"/>
  <c r="AY47" i="63"/>
  <c r="BB47" i="63"/>
  <c r="BC47" i="63"/>
  <c r="BD47" i="63"/>
  <c r="BE47" i="63"/>
  <c r="BH47" i="63"/>
  <c r="BI47" i="63"/>
  <c r="B48" i="63"/>
  <c r="C48" i="63"/>
  <c r="F48" i="63"/>
  <c r="H48" i="63"/>
  <c r="J48" i="63"/>
  <c r="L48" i="63"/>
  <c r="N48" i="63"/>
  <c r="P48" i="63"/>
  <c r="Q48" i="63"/>
  <c r="R48" i="63"/>
  <c r="S48" i="63"/>
  <c r="U48" i="63"/>
  <c r="W48" i="63"/>
  <c r="Y48" i="63"/>
  <c r="AC48" i="63"/>
  <c r="AD48" i="63"/>
  <c r="AF48" i="63"/>
  <c r="AH48" i="63"/>
  <c r="AI48" i="63"/>
  <c r="AJ48" i="63"/>
  <c r="AK48" i="63"/>
  <c r="AW48" i="63"/>
  <c r="AX48" i="63"/>
  <c r="AY48" i="63"/>
  <c r="BB48" i="63"/>
  <c r="BC48" i="63"/>
  <c r="BD48" i="63"/>
  <c r="BE48" i="63"/>
  <c r="BH48" i="63"/>
  <c r="BI48" i="63"/>
  <c r="B49" i="63"/>
  <c r="C49" i="63"/>
  <c r="F49" i="63"/>
  <c r="H49" i="63"/>
  <c r="J49" i="63"/>
  <c r="L49" i="63"/>
  <c r="N49" i="63"/>
  <c r="P49" i="63"/>
  <c r="Q49" i="63"/>
  <c r="R49" i="63"/>
  <c r="S49" i="63"/>
  <c r="U49" i="63"/>
  <c r="W49" i="63"/>
  <c r="Y49" i="63"/>
  <c r="AC49" i="63"/>
  <c r="AD49" i="63"/>
  <c r="AF49" i="63"/>
  <c r="AH49" i="63"/>
  <c r="AI49" i="63"/>
  <c r="AJ49" i="63"/>
  <c r="AK49" i="63"/>
  <c r="AW49" i="63"/>
  <c r="AX49" i="63"/>
  <c r="AY49" i="63"/>
  <c r="BB49" i="63"/>
  <c r="BC49" i="63"/>
  <c r="BD49" i="63"/>
  <c r="BE49" i="63"/>
  <c r="BH49" i="63"/>
  <c r="BI49" i="63"/>
  <c r="B50" i="63"/>
  <c r="C50" i="63"/>
  <c r="F50" i="63"/>
  <c r="H50" i="63"/>
  <c r="J50" i="63"/>
  <c r="L50" i="63"/>
  <c r="N50" i="63"/>
  <c r="P50" i="63"/>
  <c r="Q50" i="63"/>
  <c r="R50" i="63"/>
  <c r="S50" i="63"/>
  <c r="U50" i="63"/>
  <c r="W50" i="63"/>
  <c r="Y50" i="63"/>
  <c r="AC50" i="63"/>
  <c r="AD50" i="63"/>
  <c r="AF50" i="63"/>
  <c r="AH50" i="63"/>
  <c r="AI50" i="63"/>
  <c r="AJ50" i="63"/>
  <c r="AK50" i="63"/>
  <c r="AW50" i="63"/>
  <c r="AX50" i="63"/>
  <c r="AY50" i="63"/>
  <c r="BB50" i="63"/>
  <c r="BC50" i="63"/>
  <c r="BD50" i="63"/>
  <c r="BE50" i="63"/>
  <c r="BH50" i="63"/>
  <c r="BI50" i="63"/>
  <c r="C51" i="63"/>
  <c r="D51" i="63"/>
  <c r="E51" i="63"/>
  <c r="F51" i="63"/>
  <c r="G51" i="63"/>
  <c r="H51" i="63"/>
  <c r="I51" i="63"/>
  <c r="J51" i="63"/>
  <c r="K51" i="63"/>
  <c r="L51" i="63"/>
  <c r="M51" i="63"/>
  <c r="N51" i="63"/>
  <c r="O51" i="63"/>
  <c r="P51" i="63"/>
  <c r="Q51" i="63"/>
  <c r="R51" i="63"/>
  <c r="S51" i="63"/>
  <c r="T51" i="63"/>
  <c r="U51" i="63"/>
  <c r="V51" i="63"/>
  <c r="W51" i="63"/>
  <c r="X51" i="63"/>
  <c r="Y51" i="63"/>
  <c r="AD51" i="63"/>
  <c r="AE51" i="63"/>
  <c r="AF51" i="63"/>
  <c r="AG51" i="63"/>
  <c r="AH51" i="63"/>
  <c r="AI51" i="63"/>
  <c r="AJ51" i="63"/>
  <c r="AK51" i="63"/>
  <c r="AX51" i="63"/>
  <c r="AY51" i="63"/>
  <c r="AZ51" i="63"/>
  <c r="BA51" i="63"/>
  <c r="BB51" i="63"/>
  <c r="BC51" i="63"/>
  <c r="BD51" i="63"/>
  <c r="BE51" i="63"/>
  <c r="BF51" i="63"/>
  <c r="BG51" i="63"/>
  <c r="BH51" i="63"/>
  <c r="BI51" i="63"/>
  <c r="AQ10" i="3"/>
  <c r="AS10" i="3"/>
  <c r="AT10" i="3"/>
  <c r="F11" i="3"/>
  <c r="H11" i="3"/>
  <c r="J11" i="3"/>
  <c r="L11" i="3"/>
  <c r="N11" i="3"/>
  <c r="P11" i="3"/>
  <c r="Q11" i="3"/>
  <c r="R11" i="3"/>
  <c r="S11" i="3"/>
  <c r="U11" i="3"/>
  <c r="W11" i="3"/>
  <c r="Y11" i="3"/>
  <c r="AC11" i="3"/>
  <c r="AF11" i="3"/>
  <c r="AH11" i="3"/>
  <c r="AI11" i="3"/>
  <c r="AJ11" i="3"/>
  <c r="AK11" i="3"/>
  <c r="AQ11" i="3"/>
  <c r="AS11" i="3"/>
  <c r="AT11" i="3"/>
  <c r="AW11" i="3"/>
  <c r="BB11" i="3"/>
  <c r="BC11" i="3"/>
  <c r="BH11" i="3"/>
  <c r="BI11" i="3"/>
  <c r="F12" i="3"/>
  <c r="H12" i="3"/>
  <c r="J12" i="3"/>
  <c r="L12" i="3"/>
  <c r="N12" i="3"/>
  <c r="P12" i="3"/>
  <c r="Q12" i="3"/>
  <c r="R12" i="3"/>
  <c r="S12" i="3"/>
  <c r="U12" i="3"/>
  <c r="W12" i="3"/>
  <c r="Y12" i="3"/>
  <c r="AC12" i="3"/>
  <c r="AF12" i="3"/>
  <c r="AH12" i="3"/>
  <c r="AI12" i="3"/>
  <c r="AJ12" i="3"/>
  <c r="AK12" i="3"/>
  <c r="AQ12" i="3"/>
  <c r="AS12" i="3"/>
  <c r="AT12" i="3"/>
  <c r="AW12" i="3"/>
  <c r="BB12" i="3"/>
  <c r="BC12" i="3"/>
  <c r="BH12" i="3"/>
  <c r="BI12" i="3"/>
  <c r="F13" i="3"/>
  <c r="H13" i="3"/>
  <c r="J13" i="3"/>
  <c r="L13" i="3"/>
  <c r="N13" i="3"/>
  <c r="P13" i="3"/>
  <c r="Q13" i="3"/>
  <c r="R13" i="3"/>
  <c r="S13" i="3"/>
  <c r="U13" i="3"/>
  <c r="W13" i="3"/>
  <c r="Y13" i="3"/>
  <c r="AC13" i="3"/>
  <c r="AF13" i="3"/>
  <c r="AH13" i="3"/>
  <c r="AI13" i="3"/>
  <c r="AJ13" i="3"/>
  <c r="AK13" i="3"/>
  <c r="AO13" i="3"/>
  <c r="AP13" i="3"/>
  <c r="AQ13" i="3"/>
  <c r="AR13" i="3"/>
  <c r="AS13" i="3"/>
  <c r="AT13" i="3"/>
  <c r="AW13" i="3"/>
  <c r="BB13" i="3"/>
  <c r="BC13" i="3"/>
  <c r="BH13" i="3"/>
  <c r="BI13" i="3"/>
  <c r="F14" i="3"/>
  <c r="H14" i="3"/>
  <c r="J14" i="3"/>
  <c r="L14" i="3"/>
  <c r="N14" i="3"/>
  <c r="P14" i="3"/>
  <c r="Q14" i="3"/>
  <c r="R14" i="3"/>
  <c r="S14" i="3"/>
  <c r="U14" i="3"/>
  <c r="W14" i="3"/>
  <c r="Y14" i="3"/>
  <c r="AC14" i="3"/>
  <c r="AF14" i="3"/>
  <c r="AH14" i="3"/>
  <c r="AI14" i="3"/>
  <c r="AJ14" i="3"/>
  <c r="AK14" i="3"/>
  <c r="AT14" i="3"/>
  <c r="AW14" i="3"/>
  <c r="BB14" i="3"/>
  <c r="BC14" i="3"/>
  <c r="BH14" i="3"/>
  <c r="BI14" i="3"/>
  <c r="F15" i="3"/>
  <c r="H15" i="3"/>
  <c r="J15" i="3"/>
  <c r="L15" i="3"/>
  <c r="N15" i="3"/>
  <c r="P15" i="3"/>
  <c r="Q15" i="3"/>
  <c r="R15" i="3"/>
  <c r="S15" i="3"/>
  <c r="U15" i="3"/>
  <c r="W15" i="3"/>
  <c r="Y15" i="3"/>
  <c r="AC15" i="3"/>
  <c r="AF15" i="3"/>
  <c r="AH15" i="3"/>
  <c r="AI15" i="3"/>
  <c r="AJ15" i="3"/>
  <c r="AK15" i="3"/>
  <c r="AW15" i="3"/>
  <c r="BB15" i="3"/>
  <c r="BC15" i="3"/>
  <c r="BH15" i="3"/>
  <c r="BI15" i="3"/>
  <c r="F16" i="3"/>
  <c r="H16" i="3"/>
  <c r="J16" i="3"/>
  <c r="L16" i="3"/>
  <c r="N16" i="3"/>
  <c r="P16" i="3"/>
  <c r="Q16" i="3"/>
  <c r="R16" i="3"/>
  <c r="S16" i="3"/>
  <c r="U16" i="3"/>
  <c r="W16" i="3"/>
  <c r="Y16" i="3"/>
  <c r="AC16" i="3"/>
  <c r="AF16" i="3"/>
  <c r="AH16" i="3"/>
  <c r="AI16" i="3"/>
  <c r="AJ16" i="3"/>
  <c r="AK16" i="3"/>
  <c r="AW16" i="3"/>
  <c r="BB16" i="3"/>
  <c r="BC16" i="3"/>
  <c r="BH16" i="3"/>
  <c r="BI16" i="3"/>
  <c r="F17" i="3"/>
  <c r="H17" i="3"/>
  <c r="J17" i="3"/>
  <c r="L17" i="3"/>
  <c r="N17" i="3"/>
  <c r="P17" i="3"/>
  <c r="Q17" i="3"/>
  <c r="R17" i="3"/>
  <c r="S17" i="3"/>
  <c r="U17" i="3"/>
  <c r="W17" i="3"/>
  <c r="Y17" i="3"/>
  <c r="AC17" i="3"/>
  <c r="AF17" i="3"/>
  <c r="AH17" i="3"/>
  <c r="AI17" i="3"/>
  <c r="AJ17" i="3"/>
  <c r="AK17" i="3"/>
  <c r="AW17" i="3"/>
  <c r="BB17" i="3"/>
  <c r="BC17" i="3"/>
  <c r="BH17" i="3"/>
  <c r="BI17" i="3"/>
  <c r="F18" i="3"/>
  <c r="H18" i="3"/>
  <c r="J18" i="3"/>
  <c r="L18" i="3"/>
  <c r="N18" i="3"/>
  <c r="P18" i="3"/>
  <c r="Q18" i="3"/>
  <c r="R18" i="3"/>
  <c r="S18" i="3"/>
  <c r="U18" i="3"/>
  <c r="W18" i="3"/>
  <c r="Y18" i="3"/>
  <c r="AC18" i="3"/>
  <c r="AF18" i="3"/>
  <c r="AH18" i="3"/>
  <c r="AI18" i="3"/>
  <c r="AJ18" i="3"/>
  <c r="AK18" i="3"/>
  <c r="AW18" i="3"/>
  <c r="BB18" i="3"/>
  <c r="BC18" i="3"/>
  <c r="BH18" i="3"/>
  <c r="BI18" i="3"/>
  <c r="F19" i="3"/>
  <c r="H19" i="3"/>
  <c r="J19" i="3"/>
  <c r="L19" i="3"/>
  <c r="N19" i="3"/>
  <c r="P19" i="3"/>
  <c r="Q19" i="3"/>
  <c r="R19" i="3"/>
  <c r="S19" i="3"/>
  <c r="U19" i="3"/>
  <c r="W19" i="3"/>
  <c r="Y19" i="3"/>
  <c r="AC19" i="3"/>
  <c r="AF19" i="3"/>
  <c r="AH19" i="3"/>
  <c r="AI19" i="3"/>
  <c r="AJ19" i="3"/>
  <c r="AK19" i="3"/>
  <c r="AW19" i="3"/>
  <c r="BB19" i="3"/>
  <c r="BC19" i="3"/>
  <c r="BH19" i="3"/>
  <c r="BI19" i="3"/>
  <c r="F20" i="3"/>
  <c r="H20" i="3"/>
  <c r="J20" i="3"/>
  <c r="L20" i="3"/>
  <c r="N20" i="3"/>
  <c r="P20" i="3"/>
  <c r="Q20" i="3"/>
  <c r="R20" i="3"/>
  <c r="S20" i="3"/>
  <c r="U20" i="3"/>
  <c r="W20" i="3"/>
  <c r="Y20" i="3"/>
  <c r="AC20" i="3"/>
  <c r="AF20" i="3"/>
  <c r="AH20" i="3"/>
  <c r="AI20" i="3"/>
  <c r="AJ20" i="3"/>
  <c r="AK20" i="3"/>
  <c r="AW20" i="3"/>
  <c r="BB20" i="3"/>
  <c r="BC20" i="3"/>
  <c r="BH20" i="3"/>
  <c r="BI20" i="3"/>
  <c r="F21" i="3"/>
  <c r="H21" i="3"/>
  <c r="J21" i="3"/>
  <c r="L21" i="3"/>
  <c r="N21" i="3"/>
  <c r="P21" i="3"/>
  <c r="Q21" i="3"/>
  <c r="R21" i="3"/>
  <c r="S21" i="3"/>
  <c r="U21" i="3"/>
  <c r="W21" i="3"/>
  <c r="Y21" i="3"/>
  <c r="AC21" i="3"/>
  <c r="AF21" i="3"/>
  <c r="AH21" i="3"/>
  <c r="AI21" i="3"/>
  <c r="AJ21" i="3"/>
  <c r="AK21" i="3"/>
  <c r="AW21" i="3"/>
  <c r="BB21" i="3"/>
  <c r="BC21" i="3"/>
  <c r="BH21" i="3"/>
  <c r="BI21" i="3"/>
  <c r="F22" i="3"/>
  <c r="H22" i="3"/>
  <c r="J22" i="3"/>
  <c r="L22" i="3"/>
  <c r="N22" i="3"/>
  <c r="P22" i="3"/>
  <c r="Q22" i="3"/>
  <c r="R22" i="3"/>
  <c r="S22" i="3"/>
  <c r="U22" i="3"/>
  <c r="W22" i="3"/>
  <c r="Y22" i="3"/>
  <c r="AC22" i="3"/>
  <c r="AF22" i="3"/>
  <c r="AH22" i="3"/>
  <c r="AI22" i="3"/>
  <c r="AJ22" i="3"/>
  <c r="AK22" i="3"/>
  <c r="AW22" i="3"/>
  <c r="BB22" i="3"/>
  <c r="BC22" i="3"/>
  <c r="BH22" i="3"/>
  <c r="BI22" i="3"/>
  <c r="F23" i="3"/>
  <c r="H23" i="3"/>
  <c r="J23" i="3"/>
  <c r="L23" i="3"/>
  <c r="N23" i="3"/>
  <c r="P23" i="3"/>
  <c r="Q23" i="3"/>
  <c r="R23" i="3"/>
  <c r="S23" i="3"/>
  <c r="U23" i="3"/>
  <c r="W23" i="3"/>
  <c r="Y23" i="3"/>
  <c r="AC23" i="3"/>
  <c r="AF23" i="3"/>
  <c r="AH23" i="3"/>
  <c r="AI23" i="3"/>
  <c r="AJ23" i="3"/>
  <c r="AK23" i="3"/>
  <c r="AW23" i="3"/>
  <c r="BB23" i="3"/>
  <c r="BC23" i="3"/>
  <c r="BH23" i="3"/>
  <c r="BI23" i="3"/>
  <c r="F24" i="3"/>
  <c r="H24" i="3"/>
  <c r="J24" i="3"/>
  <c r="L24" i="3"/>
  <c r="N24" i="3"/>
  <c r="P24" i="3"/>
  <c r="Q24" i="3"/>
  <c r="R24" i="3"/>
  <c r="S24" i="3"/>
  <c r="U24" i="3"/>
  <c r="W24" i="3"/>
  <c r="Y24" i="3"/>
  <c r="AC24" i="3"/>
  <c r="AF24" i="3"/>
  <c r="AH24" i="3"/>
  <c r="AI24" i="3"/>
  <c r="AJ24" i="3"/>
  <c r="AK24" i="3"/>
  <c r="AW24" i="3"/>
  <c r="BB24" i="3"/>
  <c r="BC24" i="3"/>
  <c r="BH24" i="3"/>
  <c r="BI24" i="3"/>
  <c r="F25" i="3"/>
  <c r="H25" i="3"/>
  <c r="J25" i="3"/>
  <c r="L25" i="3"/>
  <c r="N25" i="3"/>
  <c r="P25" i="3"/>
  <c r="Q25" i="3"/>
  <c r="R25" i="3"/>
  <c r="S25" i="3"/>
  <c r="U25" i="3"/>
  <c r="W25" i="3"/>
  <c r="Y25" i="3"/>
  <c r="AC25" i="3"/>
  <c r="AF25" i="3"/>
  <c r="AH25" i="3"/>
  <c r="AI25" i="3"/>
  <c r="AJ25" i="3"/>
  <c r="AK25" i="3"/>
  <c r="AW25" i="3"/>
  <c r="BB25" i="3"/>
  <c r="BC25" i="3"/>
  <c r="BH25" i="3"/>
  <c r="BI25" i="3"/>
  <c r="F26" i="3"/>
  <c r="H26" i="3"/>
  <c r="J26" i="3"/>
  <c r="L26" i="3"/>
  <c r="N26" i="3"/>
  <c r="P26" i="3"/>
  <c r="Q26" i="3"/>
  <c r="R26" i="3"/>
  <c r="S26" i="3"/>
  <c r="U26" i="3"/>
  <c r="W26" i="3"/>
  <c r="Y26" i="3"/>
  <c r="AC26" i="3"/>
  <c r="AF26" i="3"/>
  <c r="AH26" i="3"/>
  <c r="AI26" i="3"/>
  <c r="AJ26" i="3"/>
  <c r="AK26" i="3"/>
  <c r="AW26" i="3"/>
  <c r="BB26" i="3"/>
  <c r="BC26" i="3"/>
  <c r="BH26" i="3"/>
  <c r="BI26" i="3"/>
  <c r="F27" i="3"/>
  <c r="H27" i="3"/>
  <c r="J27" i="3"/>
  <c r="L27" i="3"/>
  <c r="N27" i="3"/>
  <c r="P27" i="3"/>
  <c r="Q27" i="3"/>
  <c r="R27" i="3"/>
  <c r="S27" i="3"/>
  <c r="U27" i="3"/>
  <c r="W27" i="3"/>
  <c r="Y27" i="3"/>
  <c r="AC27" i="3"/>
  <c r="AF27" i="3"/>
  <c r="AH27" i="3"/>
  <c r="AI27" i="3"/>
  <c r="AJ27" i="3"/>
  <c r="AK27" i="3"/>
  <c r="AW27" i="3"/>
  <c r="BB27" i="3"/>
  <c r="BC27" i="3"/>
  <c r="BH27" i="3"/>
  <c r="BI27" i="3"/>
  <c r="F28" i="3"/>
  <c r="H28" i="3"/>
  <c r="J28" i="3"/>
  <c r="L28" i="3"/>
  <c r="N28" i="3"/>
  <c r="P28" i="3"/>
  <c r="Q28" i="3"/>
  <c r="R28" i="3"/>
  <c r="S28" i="3"/>
  <c r="U28" i="3"/>
  <c r="W28" i="3"/>
  <c r="Y28" i="3"/>
  <c r="AC28" i="3"/>
  <c r="AF28" i="3"/>
  <c r="AH28" i="3"/>
  <c r="AI28" i="3"/>
  <c r="AJ28" i="3"/>
  <c r="AK28" i="3"/>
  <c r="AW28" i="3"/>
  <c r="BB28" i="3"/>
  <c r="BC28" i="3"/>
  <c r="BH28" i="3"/>
  <c r="BI28" i="3"/>
  <c r="F29" i="3"/>
  <c r="H29" i="3"/>
  <c r="J29" i="3"/>
  <c r="L29" i="3"/>
  <c r="N29" i="3"/>
  <c r="P29" i="3"/>
  <c r="Q29" i="3"/>
  <c r="R29" i="3"/>
  <c r="S29" i="3"/>
  <c r="U29" i="3"/>
  <c r="W29" i="3"/>
  <c r="Y29" i="3"/>
  <c r="AC29" i="3"/>
  <c r="AF29" i="3"/>
  <c r="AH29" i="3"/>
  <c r="AI29" i="3"/>
  <c r="AJ29" i="3"/>
  <c r="AK29" i="3"/>
  <c r="AW29" i="3"/>
  <c r="BB29" i="3"/>
  <c r="BC29" i="3"/>
  <c r="BH29" i="3"/>
  <c r="BI29" i="3"/>
  <c r="F30" i="3"/>
  <c r="H30" i="3"/>
  <c r="J30" i="3"/>
  <c r="L30" i="3"/>
  <c r="N30" i="3"/>
  <c r="P30" i="3"/>
  <c r="Q30" i="3"/>
  <c r="R30" i="3"/>
  <c r="S30" i="3"/>
  <c r="U30" i="3"/>
  <c r="W30" i="3"/>
  <c r="Y30" i="3"/>
  <c r="AC30" i="3"/>
  <c r="AF30" i="3"/>
  <c r="AH30" i="3"/>
  <c r="AI30" i="3"/>
  <c r="AJ30" i="3"/>
  <c r="AK30" i="3"/>
  <c r="AW30" i="3"/>
  <c r="BB30" i="3"/>
  <c r="BC30" i="3"/>
  <c r="BH30" i="3"/>
  <c r="BI30" i="3"/>
  <c r="F31" i="3"/>
  <c r="H31" i="3"/>
  <c r="J31" i="3"/>
  <c r="L31" i="3"/>
  <c r="N31" i="3"/>
  <c r="P31" i="3"/>
  <c r="Q31" i="3"/>
  <c r="R31" i="3"/>
  <c r="S31" i="3"/>
  <c r="U31" i="3"/>
  <c r="W31" i="3"/>
  <c r="Y31" i="3"/>
  <c r="AC31" i="3"/>
  <c r="AF31" i="3"/>
  <c r="AH31" i="3"/>
  <c r="AI31" i="3"/>
  <c r="AJ31" i="3"/>
  <c r="AK31" i="3"/>
  <c r="AW31" i="3"/>
  <c r="BB31" i="3"/>
  <c r="BC31" i="3"/>
  <c r="BH31" i="3"/>
  <c r="BI31" i="3"/>
  <c r="F32" i="3"/>
  <c r="H32" i="3"/>
  <c r="J32" i="3"/>
  <c r="L32" i="3"/>
  <c r="N32" i="3"/>
  <c r="P32" i="3"/>
  <c r="Q32" i="3"/>
  <c r="R32" i="3"/>
  <c r="S32" i="3"/>
  <c r="U32" i="3"/>
  <c r="W32" i="3"/>
  <c r="Y32" i="3"/>
  <c r="AC32" i="3"/>
  <c r="AF32" i="3"/>
  <c r="AH32" i="3"/>
  <c r="AI32" i="3"/>
  <c r="AJ32" i="3"/>
  <c r="AK32" i="3"/>
  <c r="AW32" i="3"/>
  <c r="BB32" i="3"/>
  <c r="BC32" i="3"/>
  <c r="BH32" i="3"/>
  <c r="BI32" i="3"/>
  <c r="F33" i="3"/>
  <c r="H33" i="3"/>
  <c r="J33" i="3"/>
  <c r="L33" i="3"/>
  <c r="N33" i="3"/>
  <c r="P33" i="3"/>
  <c r="Q33" i="3"/>
  <c r="R33" i="3"/>
  <c r="S33" i="3"/>
  <c r="U33" i="3"/>
  <c r="W33" i="3"/>
  <c r="Y33" i="3"/>
  <c r="AC33" i="3"/>
  <c r="AF33" i="3"/>
  <c r="AH33" i="3"/>
  <c r="AI33" i="3"/>
  <c r="AJ33" i="3"/>
  <c r="AK33" i="3"/>
  <c r="AW33" i="3"/>
  <c r="BB33" i="3"/>
  <c r="BC33" i="3"/>
  <c r="BH33" i="3"/>
  <c r="BI33" i="3"/>
  <c r="F34" i="3"/>
  <c r="H34" i="3"/>
  <c r="J34" i="3"/>
  <c r="L34" i="3"/>
  <c r="N34" i="3"/>
  <c r="P34" i="3"/>
  <c r="Q34" i="3"/>
  <c r="R34" i="3"/>
  <c r="S34" i="3"/>
  <c r="U34" i="3"/>
  <c r="W34" i="3"/>
  <c r="Y34" i="3"/>
  <c r="AC34" i="3"/>
  <c r="AF34" i="3"/>
  <c r="AH34" i="3"/>
  <c r="AI34" i="3"/>
  <c r="AJ34" i="3"/>
  <c r="AK34" i="3"/>
  <c r="AW34" i="3"/>
  <c r="BB34" i="3"/>
  <c r="BC34" i="3"/>
  <c r="BH34" i="3"/>
  <c r="BI34" i="3"/>
  <c r="F35" i="3"/>
  <c r="H35" i="3"/>
  <c r="J35" i="3"/>
  <c r="L35" i="3"/>
  <c r="N35" i="3"/>
  <c r="P35" i="3"/>
  <c r="Q35" i="3"/>
  <c r="R35" i="3"/>
  <c r="S35" i="3"/>
  <c r="U35" i="3"/>
  <c r="W35" i="3"/>
  <c r="Y35" i="3"/>
  <c r="AC35" i="3"/>
  <c r="AF35" i="3"/>
  <c r="AH35" i="3"/>
  <c r="AI35" i="3"/>
  <c r="AJ35" i="3"/>
  <c r="AK35" i="3"/>
  <c r="AW35" i="3"/>
  <c r="BB35" i="3"/>
  <c r="BC35" i="3"/>
  <c r="BH35" i="3"/>
  <c r="BI35" i="3"/>
  <c r="F36" i="3"/>
  <c r="H36" i="3"/>
  <c r="J36" i="3"/>
  <c r="L36" i="3"/>
  <c r="N36" i="3"/>
  <c r="P36" i="3"/>
  <c r="Q36" i="3"/>
  <c r="R36" i="3"/>
  <c r="S36" i="3"/>
  <c r="U36" i="3"/>
  <c r="W36" i="3"/>
  <c r="Y36" i="3"/>
  <c r="AC36" i="3"/>
  <c r="AF36" i="3"/>
  <c r="AH36" i="3"/>
  <c r="AI36" i="3"/>
  <c r="AJ36" i="3"/>
  <c r="AK36" i="3"/>
  <c r="AW36" i="3"/>
  <c r="BB36" i="3"/>
  <c r="BC36" i="3"/>
  <c r="BH36" i="3"/>
  <c r="BI36" i="3"/>
  <c r="F37" i="3"/>
  <c r="H37" i="3"/>
  <c r="J37" i="3"/>
  <c r="L37" i="3"/>
  <c r="N37" i="3"/>
  <c r="P37" i="3"/>
  <c r="Q37" i="3"/>
  <c r="R37" i="3"/>
  <c r="S37" i="3"/>
  <c r="U37" i="3"/>
  <c r="W37" i="3"/>
  <c r="Y37" i="3"/>
  <c r="AC37" i="3"/>
  <c r="AF37" i="3"/>
  <c r="AH37" i="3"/>
  <c r="AI37" i="3"/>
  <c r="AJ37" i="3"/>
  <c r="AK37" i="3"/>
  <c r="AW37" i="3"/>
  <c r="BB37" i="3"/>
  <c r="BC37" i="3"/>
  <c r="BH37" i="3"/>
  <c r="BI37" i="3"/>
  <c r="F38" i="3"/>
  <c r="H38" i="3"/>
  <c r="J38" i="3"/>
  <c r="L38" i="3"/>
  <c r="N38" i="3"/>
  <c r="P38" i="3"/>
  <c r="Q38" i="3"/>
  <c r="R38" i="3"/>
  <c r="S38" i="3"/>
  <c r="U38" i="3"/>
  <c r="W38" i="3"/>
  <c r="Y38" i="3"/>
  <c r="AC38" i="3"/>
  <c r="AF38" i="3"/>
  <c r="AH38" i="3"/>
  <c r="AI38" i="3"/>
  <c r="AJ38" i="3"/>
  <c r="AK38" i="3"/>
  <c r="AW38" i="3"/>
  <c r="BB38" i="3"/>
  <c r="BC38" i="3"/>
  <c r="BH38" i="3"/>
  <c r="BI38" i="3"/>
  <c r="F39" i="3"/>
  <c r="H39" i="3"/>
  <c r="J39" i="3"/>
  <c r="L39" i="3"/>
  <c r="N39" i="3"/>
  <c r="P39" i="3"/>
  <c r="Q39" i="3"/>
  <c r="R39" i="3"/>
  <c r="S39" i="3"/>
  <c r="U39" i="3"/>
  <c r="W39" i="3"/>
  <c r="Y39" i="3"/>
  <c r="AC39" i="3"/>
  <c r="AF39" i="3"/>
  <c r="AH39" i="3"/>
  <c r="AI39" i="3"/>
  <c r="AJ39" i="3"/>
  <c r="AK39" i="3"/>
  <c r="AW39" i="3"/>
  <c r="BB39" i="3"/>
  <c r="BC39" i="3"/>
  <c r="BH39" i="3"/>
  <c r="BI39" i="3"/>
  <c r="F40" i="3"/>
  <c r="H40" i="3"/>
  <c r="J40" i="3"/>
  <c r="L40" i="3"/>
  <c r="N40" i="3"/>
  <c r="P40" i="3"/>
  <c r="Q40" i="3"/>
  <c r="R40" i="3"/>
  <c r="S40" i="3"/>
  <c r="U40" i="3"/>
  <c r="W40" i="3"/>
  <c r="Y40" i="3"/>
  <c r="AC40" i="3"/>
  <c r="AF40" i="3"/>
  <c r="AH40" i="3"/>
  <c r="AI40" i="3"/>
  <c r="AJ40" i="3"/>
  <c r="AK40" i="3"/>
  <c r="AW40" i="3"/>
  <c r="BB40" i="3"/>
  <c r="BC40" i="3"/>
  <c r="BH40" i="3"/>
  <c r="BI40" i="3"/>
  <c r="F41" i="3"/>
  <c r="H41" i="3"/>
  <c r="J41" i="3"/>
  <c r="L41" i="3"/>
  <c r="N41" i="3"/>
  <c r="P41" i="3"/>
  <c r="Q41" i="3"/>
  <c r="R41" i="3"/>
  <c r="S41" i="3"/>
  <c r="U41" i="3"/>
  <c r="W41" i="3"/>
  <c r="Y41" i="3"/>
  <c r="AC41" i="3"/>
  <c r="AF41" i="3"/>
  <c r="AH41" i="3"/>
  <c r="AI41" i="3"/>
  <c r="AJ41" i="3"/>
  <c r="AK41" i="3"/>
  <c r="AW41" i="3"/>
  <c r="BB41" i="3"/>
  <c r="BC41" i="3"/>
  <c r="BH41" i="3"/>
  <c r="BI41" i="3"/>
  <c r="F42" i="3"/>
  <c r="H42" i="3"/>
  <c r="J42" i="3"/>
  <c r="L42" i="3"/>
  <c r="N42" i="3"/>
  <c r="P42" i="3"/>
  <c r="Q42" i="3"/>
  <c r="R42" i="3"/>
  <c r="S42" i="3"/>
  <c r="U42" i="3"/>
  <c r="W42" i="3"/>
  <c r="Y42" i="3"/>
  <c r="AC42" i="3"/>
  <c r="AF42" i="3"/>
  <c r="AH42" i="3"/>
  <c r="AI42" i="3"/>
  <c r="AJ42" i="3"/>
  <c r="AK42" i="3"/>
  <c r="AW42" i="3"/>
  <c r="BB42" i="3"/>
  <c r="BC42" i="3"/>
  <c r="BH42" i="3"/>
  <c r="BI42" i="3"/>
  <c r="F43" i="3"/>
  <c r="H43" i="3"/>
  <c r="J43" i="3"/>
  <c r="L43" i="3"/>
  <c r="N43" i="3"/>
  <c r="P43" i="3"/>
  <c r="Q43" i="3"/>
  <c r="R43" i="3"/>
  <c r="S43" i="3"/>
  <c r="U43" i="3"/>
  <c r="W43" i="3"/>
  <c r="Y43" i="3"/>
  <c r="AC43" i="3"/>
  <c r="AF43" i="3"/>
  <c r="AH43" i="3"/>
  <c r="AI43" i="3"/>
  <c r="AJ43" i="3"/>
  <c r="AK43" i="3"/>
  <c r="AW43" i="3"/>
  <c r="BB43" i="3"/>
  <c r="BC43" i="3"/>
  <c r="BH43" i="3"/>
  <c r="BI43" i="3"/>
  <c r="F44" i="3"/>
  <c r="H44" i="3"/>
  <c r="J44" i="3"/>
  <c r="L44" i="3"/>
  <c r="N44" i="3"/>
  <c r="P44" i="3"/>
  <c r="Q44" i="3"/>
  <c r="R44" i="3"/>
  <c r="S44" i="3"/>
  <c r="U44" i="3"/>
  <c r="W44" i="3"/>
  <c r="Y44" i="3"/>
  <c r="AC44" i="3"/>
  <c r="AF44" i="3"/>
  <c r="AH44" i="3"/>
  <c r="AI44" i="3"/>
  <c r="AJ44" i="3"/>
  <c r="AK44" i="3"/>
  <c r="AW44" i="3"/>
  <c r="BB44" i="3"/>
  <c r="BC44" i="3"/>
  <c r="BH44" i="3"/>
  <c r="BI44" i="3"/>
  <c r="F45" i="3"/>
  <c r="H45" i="3"/>
  <c r="J45" i="3"/>
  <c r="L45" i="3"/>
  <c r="N45" i="3"/>
  <c r="P45" i="3"/>
  <c r="Q45" i="3"/>
  <c r="R45" i="3"/>
  <c r="S45" i="3"/>
  <c r="U45" i="3"/>
  <c r="W45" i="3"/>
  <c r="Y45" i="3"/>
  <c r="AC45" i="3"/>
  <c r="AF45" i="3"/>
  <c r="AH45" i="3"/>
  <c r="AI45" i="3"/>
  <c r="AJ45" i="3"/>
  <c r="AK45" i="3"/>
  <c r="AW45" i="3"/>
  <c r="BB45" i="3"/>
  <c r="BC45" i="3"/>
  <c r="BH45" i="3"/>
  <c r="BI45" i="3"/>
  <c r="F46" i="3"/>
  <c r="H46" i="3"/>
  <c r="J46" i="3"/>
  <c r="L46" i="3"/>
  <c r="N46" i="3"/>
  <c r="P46" i="3"/>
  <c r="Q46" i="3"/>
  <c r="R46" i="3"/>
  <c r="S46" i="3"/>
  <c r="U46" i="3"/>
  <c r="W46" i="3"/>
  <c r="Y46" i="3"/>
  <c r="AC46" i="3"/>
  <c r="AF46" i="3"/>
  <c r="AH46" i="3"/>
  <c r="AI46" i="3"/>
  <c r="AJ46" i="3"/>
  <c r="AK46" i="3"/>
  <c r="AW46" i="3"/>
  <c r="BB46" i="3"/>
  <c r="BC46" i="3"/>
  <c r="BH46" i="3"/>
  <c r="BI46" i="3"/>
  <c r="F47" i="3"/>
  <c r="H47" i="3"/>
  <c r="J47" i="3"/>
  <c r="L47" i="3"/>
  <c r="N47" i="3"/>
  <c r="P47" i="3"/>
  <c r="Q47" i="3"/>
  <c r="R47" i="3"/>
  <c r="S47" i="3"/>
  <c r="U47" i="3"/>
  <c r="W47" i="3"/>
  <c r="Y47" i="3"/>
  <c r="AC47" i="3"/>
  <c r="AF47" i="3"/>
  <c r="AH47" i="3"/>
  <c r="AI47" i="3"/>
  <c r="AJ47" i="3"/>
  <c r="AK47" i="3"/>
  <c r="AW47" i="3"/>
  <c r="BB47" i="3"/>
  <c r="BC47" i="3"/>
  <c r="BH47" i="3"/>
  <c r="BI47" i="3"/>
  <c r="F48" i="3"/>
  <c r="H48" i="3"/>
  <c r="J48" i="3"/>
  <c r="L48" i="3"/>
  <c r="N48" i="3"/>
  <c r="P48" i="3"/>
  <c r="Q48" i="3"/>
  <c r="R48" i="3"/>
  <c r="S48" i="3"/>
  <c r="U48" i="3"/>
  <c r="W48" i="3"/>
  <c r="Y48" i="3"/>
  <c r="AC48" i="3"/>
  <c r="AF48" i="3"/>
  <c r="AH48" i="3"/>
  <c r="AI48" i="3"/>
  <c r="AJ48" i="3"/>
  <c r="AK48" i="3"/>
  <c r="AW48" i="3"/>
  <c r="BB48" i="3"/>
  <c r="BC48" i="3"/>
  <c r="BH48" i="3"/>
  <c r="BI48" i="3"/>
  <c r="F49" i="3"/>
  <c r="H49" i="3"/>
  <c r="J49" i="3"/>
  <c r="L49" i="3"/>
  <c r="N49" i="3"/>
  <c r="P49" i="3"/>
  <c r="Q49" i="3"/>
  <c r="R49" i="3"/>
  <c r="S49" i="3"/>
  <c r="U49" i="3"/>
  <c r="W49" i="3"/>
  <c r="Y49" i="3"/>
  <c r="AC49" i="3"/>
  <c r="AF49" i="3"/>
  <c r="AH49" i="3"/>
  <c r="AI49" i="3"/>
  <c r="AJ49" i="3"/>
  <c r="AK49" i="3"/>
  <c r="AW49" i="3"/>
  <c r="BB49" i="3"/>
  <c r="BC49" i="3"/>
  <c r="BH49" i="3"/>
  <c r="BI49" i="3"/>
  <c r="F50" i="3"/>
  <c r="H50" i="3"/>
  <c r="J50" i="3"/>
  <c r="L50" i="3"/>
  <c r="N50" i="3"/>
  <c r="P50" i="3"/>
  <c r="Q50" i="3"/>
  <c r="R50" i="3"/>
  <c r="S50" i="3"/>
  <c r="U50" i="3"/>
  <c r="W50" i="3"/>
  <c r="Y50" i="3"/>
  <c r="AC50" i="3"/>
  <c r="AF50" i="3"/>
  <c r="AH50" i="3"/>
  <c r="AI50" i="3"/>
  <c r="AJ50" i="3"/>
  <c r="AK50" i="3"/>
  <c r="AW50" i="3"/>
  <c r="BB50" i="3"/>
  <c r="BC50" i="3"/>
  <c r="BH50" i="3"/>
  <c r="BI50" i="3"/>
  <c r="C51" i="3"/>
  <c r="D51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S51" i="3"/>
  <c r="T51" i="3"/>
  <c r="U51" i="3"/>
  <c r="V51" i="3"/>
  <c r="W51" i="3"/>
  <c r="X51" i="3"/>
  <c r="Y51" i="3"/>
  <c r="AD51" i="3"/>
  <c r="AE51" i="3"/>
  <c r="AF51" i="3"/>
  <c r="AG51" i="3"/>
  <c r="AH51" i="3"/>
  <c r="AI51" i="3"/>
  <c r="AJ51" i="3"/>
  <c r="AK51" i="3"/>
  <c r="AX51" i="3"/>
  <c r="AY51" i="3"/>
  <c r="AZ51" i="3"/>
  <c r="BA51" i="3"/>
  <c r="BB51" i="3"/>
  <c r="BC51" i="3"/>
  <c r="BD51" i="3"/>
  <c r="BE51" i="3"/>
  <c r="BF51" i="3"/>
  <c r="BG51" i="3"/>
  <c r="BH51" i="3"/>
  <c r="BI51" i="3"/>
</calcChain>
</file>

<file path=xl/sharedStrings.xml><?xml version="1.0" encoding="utf-8"?>
<sst xmlns="http://schemas.openxmlformats.org/spreadsheetml/2006/main" count="2200" uniqueCount="93">
  <si>
    <t>وزارة الصحة والسكان</t>
  </si>
  <si>
    <t>البرنامج الموسع للتطعيمات</t>
  </si>
  <si>
    <t>الاجمالى</t>
  </si>
  <si>
    <t>اليوم</t>
  </si>
  <si>
    <t>حتى اليوم</t>
  </si>
  <si>
    <t>المتطعمين المصريين</t>
  </si>
  <si>
    <t>من 9 شهور لأقل من عام</t>
  </si>
  <si>
    <t>المتطعمين غير المصريين</t>
  </si>
  <si>
    <t>المتغيبين عن التطعيم</t>
  </si>
  <si>
    <t>المطعمين من المتغيبين</t>
  </si>
  <si>
    <t>عدد الزجاجات المستهلكة</t>
  </si>
  <si>
    <t>المستهدف</t>
  </si>
  <si>
    <t>النسبة</t>
  </si>
  <si>
    <t>من عام لأقل  من5 سنوات</t>
  </si>
  <si>
    <t>الرصيد اول اليوم</t>
  </si>
  <si>
    <t>عدد الفرق</t>
  </si>
  <si>
    <t>البلاغ اليومى لحركة الطعوم بالحملة القومية للتطعيم بطعم MR</t>
  </si>
  <si>
    <t xml:space="preserve">عدد المدارس </t>
  </si>
  <si>
    <t xml:space="preserve">بيان باعداد المتطعمين و المتغيبين و الاثار الجانبية بالحملة القومية للتطعيم بطعم MR </t>
  </si>
  <si>
    <t xml:space="preserve"> من 5 سنوات الى 10 سنة</t>
  </si>
  <si>
    <t xml:space="preserve">الاثار الجانبية </t>
  </si>
  <si>
    <t>قطاع الطب الوقائي والصحة العامة</t>
  </si>
  <si>
    <t>الإدارة المركزية للصحة العامة</t>
  </si>
  <si>
    <t>الإدارة العامة لمكافحة الأمراض المعدية</t>
  </si>
  <si>
    <t>م</t>
  </si>
  <si>
    <t>اسم الوحدة/ مكتب الصحة</t>
  </si>
  <si>
    <t>الاجمالي</t>
  </si>
  <si>
    <t>مديرية الشئون الصحية /                                                          الإدارة الصحية /                                                                                          التاريخ /                                اليوم /</t>
  </si>
  <si>
    <t>اسم الوحدة</t>
  </si>
  <si>
    <t>اجمالي الوحدات</t>
  </si>
  <si>
    <t>بيان المدارس و الحضانات بالحملة القومية للتطعيم بطعم MR</t>
  </si>
  <si>
    <t xml:space="preserve">مديرية الشئون الصحية /                                                   الإدارة الصحية /                                                         التاريخ/                                            اليوم /               </t>
  </si>
  <si>
    <t>عدد المدارس التي تم زيارتها حتى اليوم</t>
  </si>
  <si>
    <t>عدد  الحضانات</t>
  </si>
  <si>
    <t>عدد المتطعمين حتى اليوم</t>
  </si>
  <si>
    <t>عدد الحضانات التي تم زيارتها حتى اليوم</t>
  </si>
  <si>
    <t xml:space="preserve">مراقب التطعيمات                                                              مسؤل التطعيمات                                                        مدير الوقائي                                                   مدير الادارة                      </t>
  </si>
  <si>
    <t>عدد المتطعمين  اليوم</t>
  </si>
  <si>
    <t>التشغيلة</t>
  </si>
  <si>
    <t xml:space="preserve">عدد الزجاجات الواردة </t>
  </si>
  <si>
    <t>عدد الزجاجات المتبقية</t>
  </si>
  <si>
    <t>مخزن طعوم الادارة</t>
  </si>
  <si>
    <t>احمالي الوحدات ومخزن الادارة</t>
  </si>
  <si>
    <t>اجمالي المخزن</t>
  </si>
  <si>
    <t>مراقب التطعيمات  /                                             مسئول التطعيمات   /                                              المدير الوقائى   /                                                              مدير الادارة /</t>
  </si>
  <si>
    <t>عدد الزجاجات الواردة</t>
  </si>
  <si>
    <t xml:space="preserve">عدد الزجاجات المتبقية </t>
  </si>
  <si>
    <t>معدل الزجاجة حتي اليوم</t>
  </si>
  <si>
    <t xml:space="preserve"> بيان المدارس </t>
  </si>
  <si>
    <t xml:space="preserve">بيان الحضانات </t>
  </si>
  <si>
    <t>عدد الزجاجات المنصرفة</t>
  </si>
  <si>
    <t>معدل الزجاجة اليوم</t>
  </si>
  <si>
    <t xml:space="preserve">مديرية الشئون الصحية / المنوفية                                                         الإدارة الصحية /  قويسنا                                                                                        التاريخ /  25/10/2026                              اليوم / الاحد </t>
  </si>
  <si>
    <t>مكتب الصحة</t>
  </si>
  <si>
    <t>شبرابخـــــــــــوم</t>
  </si>
  <si>
    <t>ميت بره</t>
  </si>
  <si>
    <t>أبنــــــــــــــــهس</t>
  </si>
  <si>
    <t>ميت ســـــــــراج</t>
  </si>
  <si>
    <t>أم خــــــــــــــنان</t>
  </si>
  <si>
    <t>أجهور الرمل</t>
  </si>
  <si>
    <t>منشأة دمــــــــــلو</t>
  </si>
  <si>
    <t>شـــــــــــــرانيس</t>
  </si>
  <si>
    <t>قويســـــــــنا البلد</t>
  </si>
  <si>
    <t>بجيرم</t>
  </si>
  <si>
    <t>كفر بنى غريـــان</t>
  </si>
  <si>
    <t>بــقســـــــــــــــــا</t>
  </si>
  <si>
    <t>كفــــــــر الأكرم</t>
  </si>
  <si>
    <t>كفـــــــــر إبنهس</t>
  </si>
  <si>
    <t>الرمــــــــــــــالى</t>
  </si>
  <si>
    <t>مصطــــــــــــاى</t>
  </si>
  <si>
    <t>كفر طـــــــه شبرا</t>
  </si>
  <si>
    <t>كفر أبـــو الحسن</t>
  </si>
  <si>
    <t>ميت أبـــــوشيخه</t>
  </si>
  <si>
    <t>طــــــــــــه شبرا</t>
  </si>
  <si>
    <t>أشـــــــــــــــــليم</t>
  </si>
  <si>
    <t>شبرا قبالــــــــــه</t>
  </si>
  <si>
    <t>عرب الرمـــــــل</t>
  </si>
  <si>
    <t>كفر ميت سراج</t>
  </si>
  <si>
    <t>كفر أبشيش</t>
  </si>
  <si>
    <t>كفر ميت العبسى</t>
  </si>
  <si>
    <t>كفر وهــــــــــب</t>
  </si>
  <si>
    <t>دمــــــــــــــهوج</t>
  </si>
  <si>
    <t>كفر زين الدين</t>
  </si>
  <si>
    <t>عزبــة أبوالنصر</t>
  </si>
  <si>
    <t>شمنديــــــــــــــل</t>
  </si>
  <si>
    <t>كفور الرمل</t>
  </si>
  <si>
    <t>منشأة أم خنان</t>
  </si>
  <si>
    <t xml:space="preserve">مراقب التطعيمات             مسؤل التطعيمات                 مدير الوقائي                     مدير الادارة                      </t>
  </si>
  <si>
    <t>0124W120</t>
  </si>
  <si>
    <t>420604325A</t>
  </si>
  <si>
    <t>مديرية الشئون الصحية / المنوفية                                                         الإدارة الصحية / قويسنا                                                                                         التاريخ / 26/10/2026                               اليوم / الاثنين</t>
  </si>
  <si>
    <t>420604225A</t>
  </si>
  <si>
    <t>مديرية الشئون الصحية / المنوفية                                                         الإدارة الصحية /  قويسنا                                                                                         التاريخ /    27\10\2026                            اليوم /الثلاثاء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</si>
</sst>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charset val="178"/>
      <scheme val="minor"/>
    </font>
    <font>
      <b/>
      <sz val="16"/>
      <name val="Arabic Transparent"/>
      <charset val="178"/>
    </font>
    <font>
      <b/>
      <sz val="14"/>
      <name val="Arabic Transparent"/>
      <charset val="178"/>
    </font>
    <font>
      <b/>
      <sz val="12"/>
      <name val="Arabic Transparent"/>
      <charset val="178"/>
    </font>
    <font>
      <sz val="11"/>
      <color indexed="8"/>
      <name val="Arial"/>
      <family val="2"/>
      <charset val="178"/>
    </font>
    <font>
      <b/>
      <sz val="18"/>
      <name val="Arabic Transparent"/>
      <charset val="178"/>
    </font>
    <font>
      <b/>
      <sz val="20"/>
      <name val="Arabic Transparent"/>
      <charset val="178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charset val="178"/>
      <scheme val="minor"/>
    </font>
    <font>
      <sz val="18"/>
      <color theme="1"/>
      <name val="Calibri"/>
      <family val="2"/>
      <charset val="178"/>
      <scheme val="minor"/>
    </font>
    <font>
      <b/>
      <sz val="18"/>
      <color theme="1"/>
      <name val="Arial"/>
      <family val="2"/>
    </font>
    <font>
      <b/>
      <sz val="16"/>
      <color rgb="FF000000"/>
      <name val="Segoe UI"/>
      <family val="2"/>
    </font>
    <font>
      <b/>
      <sz val="12"/>
      <color rgb="FF000000"/>
      <name val="Segoe UI"/>
      <family val="2"/>
    </font>
    <font>
      <b/>
      <sz val="12"/>
      <color theme="1"/>
      <name val="Calibri"/>
      <family val="2"/>
      <scheme val="minor"/>
    </font>
    <font>
      <b/>
      <sz val="20"/>
      <color rgb="FF000000"/>
      <name val="Segoe UI"/>
      <family val="2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charset val="178"/>
      <scheme val="minor"/>
    </font>
    <font>
      <b/>
      <sz val="20"/>
      <color theme="1"/>
      <name val="Calibri"/>
      <family val="2"/>
      <charset val="178"/>
      <scheme val="minor"/>
    </font>
    <font>
      <b/>
      <sz val="20"/>
      <color theme="1"/>
      <name val="Arial"/>
      <family val="2"/>
    </font>
    <font>
      <b/>
      <sz val="18"/>
      <color rgb="FF000000"/>
      <name val="Segoe UI"/>
      <family val="2"/>
    </font>
    <font>
      <b/>
      <sz val="18"/>
      <color theme="1"/>
      <name val="Calibri"/>
      <family val="2"/>
      <scheme val="minor"/>
    </font>
    <font>
      <b/>
      <sz val="14"/>
      <color rgb="FF000000"/>
      <name val="Segoe UI"/>
      <family val="2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4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367">
    <xf numFmtId="0" fontId="0" fillId="0" borderId="0" xfId="0"/>
    <xf numFmtId="0" fontId="0" fillId="0" borderId="0" xfId="0" applyFill="1"/>
    <xf numFmtId="0" fontId="3" fillId="0" borderId="1" xfId="0" applyFont="1" applyBorder="1" applyAlignment="1">
      <alignment horizontal="center" vertical="center" readingOrder="2"/>
    </xf>
    <xf numFmtId="0" fontId="3" fillId="0" borderId="2" xfId="0" applyFont="1" applyBorder="1" applyAlignment="1">
      <alignment horizontal="center" vertical="center" readingOrder="2"/>
    </xf>
    <xf numFmtId="0" fontId="3" fillId="0" borderId="3" xfId="0" applyFont="1" applyBorder="1" applyAlignment="1">
      <alignment horizontal="center" vertical="center" readingOrder="2"/>
    </xf>
    <xf numFmtId="0" fontId="3" fillId="0" borderId="4" xfId="0" applyFont="1" applyFill="1" applyBorder="1" applyAlignment="1">
      <alignment horizontal="center" vertical="center" readingOrder="2"/>
    </xf>
    <xf numFmtId="0" fontId="3" fillId="0" borderId="5" xfId="0" applyFont="1" applyBorder="1" applyAlignment="1">
      <alignment horizontal="center" vertical="center" readingOrder="2"/>
    </xf>
    <xf numFmtId="0" fontId="2" fillId="0" borderId="1" xfId="0" applyFont="1" applyBorder="1" applyAlignment="1">
      <alignment horizontal="center" vertical="center" readingOrder="2"/>
    </xf>
    <xf numFmtId="0" fontId="2" fillId="0" borderId="6" xfId="0" applyFont="1" applyBorder="1" applyAlignment="1">
      <alignment horizontal="center" vertical="center" readingOrder="2"/>
    </xf>
    <xf numFmtId="0" fontId="2" fillId="0" borderId="3" xfId="0" applyFont="1" applyBorder="1" applyAlignment="1">
      <alignment horizontal="center" vertical="center" readingOrder="2"/>
    </xf>
    <xf numFmtId="9" fontId="3" fillId="0" borderId="3" xfId="1" applyFont="1" applyBorder="1" applyAlignment="1">
      <alignment horizontal="center" vertical="center" readingOrder="2"/>
    </xf>
    <xf numFmtId="0" fontId="3" fillId="0" borderId="2" xfId="1" applyNumberFormat="1" applyFont="1" applyBorder="1" applyAlignment="1">
      <alignment horizontal="center" vertical="center" readingOrder="2"/>
    </xf>
    <xf numFmtId="0" fontId="3" fillId="0" borderId="6" xfId="0" applyFont="1" applyBorder="1" applyAlignment="1">
      <alignment horizontal="center" vertical="center" readingOrder="2"/>
    </xf>
    <xf numFmtId="0" fontId="0" fillId="0" borderId="7" xfId="0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 readingOrder="2"/>
    </xf>
    <xf numFmtId="0" fontId="3" fillId="0" borderId="0" xfId="1" applyNumberFormat="1" applyFont="1" applyBorder="1" applyAlignment="1">
      <alignment horizontal="center" vertical="center" readingOrder="2"/>
    </xf>
    <xf numFmtId="0" fontId="0" fillId="0" borderId="6" xfId="0" applyBorder="1"/>
    <xf numFmtId="0" fontId="7" fillId="0" borderId="6" xfId="0" applyFont="1" applyBorder="1" applyAlignment="1">
      <alignment horizontal="center" vertical="center"/>
    </xf>
    <xf numFmtId="0" fontId="5" fillId="0" borderId="0" xfId="0" applyFont="1" applyAlignment="1">
      <alignment readingOrder="2"/>
    </xf>
    <xf numFmtId="0" fontId="5" fillId="0" borderId="0" xfId="0" applyFont="1" applyAlignment="1">
      <alignment horizontal="center" readingOrder="2"/>
    </xf>
    <xf numFmtId="0" fontId="8" fillId="0" borderId="0" xfId="0" applyFont="1" applyAlignment="1">
      <alignment readingOrder="2"/>
    </xf>
    <xf numFmtId="0" fontId="9" fillId="0" borderId="0" xfId="0" applyFont="1"/>
    <xf numFmtId="0" fontId="10" fillId="0" borderId="0" xfId="0" applyFont="1" applyAlignment="1"/>
    <xf numFmtId="0" fontId="0" fillId="0" borderId="6" xfId="0" applyBorder="1" applyAlignment="1">
      <alignment horizontal="center" vertical="center"/>
    </xf>
    <xf numFmtId="0" fontId="1" fillId="0" borderId="0" xfId="0" applyFont="1" applyAlignment="1">
      <alignment horizontal="center" readingOrder="2"/>
    </xf>
    <xf numFmtId="0" fontId="1" fillId="0" borderId="0" xfId="0" applyFont="1" applyBorder="1" applyAlignment="1">
      <alignment horizontal="center" readingOrder="2"/>
    </xf>
    <xf numFmtId="0" fontId="3" fillId="0" borderId="6" xfId="0" applyFont="1" applyFill="1" applyBorder="1" applyAlignment="1">
      <alignment vertical="center" readingOrder="2"/>
    </xf>
    <xf numFmtId="9" fontId="3" fillId="0" borderId="6" xfId="1" applyFont="1" applyFill="1" applyBorder="1" applyAlignment="1">
      <alignment vertical="center" readingOrder="2"/>
    </xf>
    <xf numFmtId="0" fontId="3" fillId="0" borderId="3" xfId="0" applyFont="1" applyFill="1" applyBorder="1" applyAlignment="1">
      <alignment horizontal="center" vertical="center" readingOrder="2"/>
    </xf>
    <xf numFmtId="0" fontId="1" fillId="0" borderId="0" xfId="0" applyFont="1" applyAlignment="1">
      <alignment readingOrder="2"/>
    </xf>
    <xf numFmtId="9" fontId="3" fillId="0" borderId="8" xfId="1" applyFont="1" applyBorder="1" applyAlignment="1">
      <alignment horizontal="center" vertical="center" readingOrder="2"/>
    </xf>
    <xf numFmtId="9" fontId="3" fillId="0" borderId="9" xfId="1" applyFont="1" applyBorder="1" applyAlignment="1">
      <alignment horizontal="center" vertical="center" readingOrder="2"/>
    </xf>
    <xf numFmtId="0" fontId="0" fillId="0" borderId="10" xfId="0" applyBorder="1" applyAlignment="1">
      <alignment horizontal="center" vertical="center"/>
    </xf>
    <xf numFmtId="0" fontId="2" fillId="0" borderId="10" xfId="0" applyFont="1" applyBorder="1" applyAlignment="1">
      <alignment horizontal="center" vertical="center" readingOrder="2"/>
    </xf>
    <xf numFmtId="0" fontId="3" fillId="0" borderId="6" xfId="0" applyFont="1" applyFill="1" applyBorder="1" applyAlignment="1">
      <alignment horizontal="center" vertical="center"/>
    </xf>
    <xf numFmtId="0" fontId="11" fillId="0" borderId="6" xfId="0" applyFont="1" applyFill="1" applyBorder="1" applyAlignment="1">
      <alignment horizontal="center" vertical="center" wrapText="1" readingOrder="1"/>
    </xf>
    <xf numFmtId="0" fontId="12" fillId="0" borderId="0" xfId="0" applyFont="1" applyFill="1" applyBorder="1" applyAlignment="1">
      <alignment horizontal="center" vertical="center" wrapText="1" readingOrder="1"/>
    </xf>
    <xf numFmtId="0" fontId="12" fillId="0" borderId="6" xfId="0" applyFont="1" applyFill="1" applyBorder="1" applyAlignment="1">
      <alignment horizontal="center" vertical="center" wrapText="1" readingOrder="1"/>
    </xf>
    <xf numFmtId="0" fontId="13" fillId="0" borderId="0" xfId="0" applyFont="1" applyAlignment="1">
      <alignment horizontal="center"/>
    </xf>
    <xf numFmtId="0" fontId="0" fillId="0" borderId="9" xfId="0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readingOrder="2"/>
    </xf>
    <xf numFmtId="0" fontId="12" fillId="0" borderId="6" xfId="0" applyFont="1" applyBorder="1" applyAlignment="1">
      <alignment horizontal="center" vertical="center" wrapText="1" readingOrder="1"/>
    </xf>
    <xf numFmtId="0" fontId="2" fillId="0" borderId="6" xfId="0" applyFont="1" applyBorder="1" applyAlignment="1">
      <alignment horizontal="center" vertical="center" wrapText="1" readingOrder="2"/>
    </xf>
    <xf numFmtId="0" fontId="3" fillId="0" borderId="8" xfId="0" applyFont="1" applyBorder="1" applyAlignment="1">
      <alignment horizontal="center" vertical="center" readingOrder="2"/>
    </xf>
    <xf numFmtId="0" fontId="0" fillId="2" borderId="6" xfId="0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 readingOrder="2"/>
    </xf>
    <xf numFmtId="0" fontId="2" fillId="0" borderId="12" xfId="0" applyFont="1" applyBorder="1" applyAlignment="1">
      <alignment horizontal="center" vertical="center" readingOrder="2"/>
    </xf>
    <xf numFmtId="0" fontId="2" fillId="0" borderId="13" xfId="0" applyFont="1" applyBorder="1" applyAlignment="1">
      <alignment horizontal="center" vertical="center" readingOrder="2"/>
    </xf>
    <xf numFmtId="0" fontId="2" fillId="0" borderId="12" xfId="0" applyFont="1" applyBorder="1" applyAlignment="1">
      <alignment horizontal="center" vertical="center" wrapText="1" readingOrder="2"/>
    </xf>
    <xf numFmtId="0" fontId="2" fillId="0" borderId="13" xfId="0" applyFont="1" applyBorder="1" applyAlignment="1">
      <alignment horizontal="center" vertical="center" wrapText="1" readingOrder="2"/>
    </xf>
    <xf numFmtId="0" fontId="3" fillId="0" borderId="14" xfId="1" applyNumberFormat="1" applyFont="1" applyBorder="1" applyAlignment="1">
      <alignment horizontal="center" vertical="center" readingOrder="2"/>
    </xf>
    <xf numFmtId="0" fontId="9" fillId="0" borderId="0" xfId="0" applyFont="1" applyFill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vertical="center"/>
    </xf>
    <xf numFmtId="0" fontId="6" fillId="0" borderId="6" xfId="0" applyFont="1" applyFill="1" applyBorder="1" applyAlignment="1">
      <alignment horizontal="center" vertical="center" readingOrder="2"/>
    </xf>
    <xf numFmtId="0" fontId="6" fillId="0" borderId="6" xfId="0" applyFont="1" applyBorder="1" applyAlignment="1">
      <alignment horizontal="center" vertical="center" readingOrder="2"/>
    </xf>
    <xf numFmtId="0" fontId="6" fillId="0" borderId="0" xfId="0" applyFont="1" applyFill="1" applyBorder="1" applyAlignment="1">
      <alignment horizontal="center" vertical="center" readingOrder="2"/>
    </xf>
    <xf numFmtId="0" fontId="6" fillId="0" borderId="0" xfId="0" applyFont="1" applyFill="1" applyBorder="1" applyAlignment="1">
      <alignment horizontal="center" vertical="center" wrapText="1" readingOrder="2"/>
    </xf>
    <xf numFmtId="0" fontId="6" fillId="0" borderId="2" xfId="0" applyFont="1" applyBorder="1" applyAlignment="1">
      <alignment horizontal="center" vertical="center" readingOrder="2"/>
    </xf>
    <xf numFmtId="0" fontId="6" fillId="0" borderId="11" xfId="0" applyFont="1" applyFill="1" applyBorder="1" applyAlignment="1">
      <alignment horizontal="center" vertical="center" readingOrder="2"/>
    </xf>
    <xf numFmtId="0" fontId="6" fillId="0" borderId="1" xfId="0" applyFont="1" applyBorder="1" applyAlignment="1">
      <alignment horizontal="center" vertical="center" readingOrder="2"/>
    </xf>
    <xf numFmtId="0" fontId="6" fillId="0" borderId="3" xfId="0" applyFont="1" applyBorder="1" applyAlignment="1">
      <alignment horizontal="center" vertical="center" readingOrder="2"/>
    </xf>
    <xf numFmtId="0" fontId="6" fillId="0" borderId="12" xfId="0" applyFont="1" applyBorder="1" applyAlignment="1">
      <alignment horizontal="center" vertical="center" readingOrder="2"/>
    </xf>
    <xf numFmtId="0" fontId="6" fillId="0" borderId="13" xfId="0" applyFont="1" applyBorder="1" applyAlignment="1">
      <alignment horizontal="center" vertical="center" readingOrder="2"/>
    </xf>
    <xf numFmtId="0" fontId="6" fillId="0" borderId="12" xfId="0" applyFont="1" applyBorder="1" applyAlignment="1">
      <alignment horizontal="center" vertical="center" wrapText="1" readingOrder="2"/>
    </xf>
    <xf numFmtId="0" fontId="6" fillId="0" borderId="13" xfId="0" applyFont="1" applyBorder="1" applyAlignment="1">
      <alignment horizontal="center" vertical="center" wrapText="1" readingOrder="2"/>
    </xf>
    <xf numFmtId="0" fontId="14" fillId="0" borderId="6" xfId="0" applyFont="1" applyBorder="1" applyAlignment="1">
      <alignment horizontal="center" vertical="center" wrapText="1" readingOrder="1"/>
    </xf>
    <xf numFmtId="0" fontId="15" fillId="0" borderId="6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readingOrder="2"/>
    </xf>
    <xf numFmtId="0" fontId="6" fillId="0" borderId="4" xfId="0" applyFont="1" applyFill="1" applyBorder="1" applyAlignment="1">
      <alignment horizontal="center" vertical="center" readingOrder="2"/>
    </xf>
    <xf numFmtId="9" fontId="6" fillId="0" borderId="0" xfId="1" applyFont="1" applyFill="1" applyBorder="1" applyAlignment="1">
      <alignment horizontal="center" vertical="center" readingOrder="2"/>
    </xf>
    <xf numFmtId="0" fontId="16" fillId="0" borderId="11" xfId="0" applyFont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 readingOrder="2"/>
    </xf>
    <xf numFmtId="0" fontId="6" fillId="0" borderId="2" xfId="1" applyNumberFormat="1" applyFont="1" applyBorder="1" applyAlignment="1">
      <alignment horizontal="center" vertical="center" readingOrder="2"/>
    </xf>
    <xf numFmtId="0" fontId="6" fillId="0" borderId="14" xfId="1" applyNumberFormat="1" applyFont="1" applyBorder="1" applyAlignment="1">
      <alignment horizontal="center" vertical="center" readingOrder="2"/>
    </xf>
    <xf numFmtId="0" fontId="16" fillId="0" borderId="6" xfId="0" applyFont="1" applyBorder="1" applyAlignment="1">
      <alignment horizontal="center" vertical="center"/>
    </xf>
    <xf numFmtId="9" fontId="6" fillId="0" borderId="14" xfId="1" applyFont="1" applyBorder="1" applyAlignment="1">
      <alignment horizontal="center" vertical="center" readingOrder="2"/>
    </xf>
    <xf numFmtId="0" fontId="6" fillId="0" borderId="11" xfId="0" applyFont="1" applyBorder="1" applyAlignment="1">
      <alignment horizontal="center" vertical="center" readingOrder="2"/>
    </xf>
    <xf numFmtId="9" fontId="6" fillId="0" borderId="8" xfId="1" applyFont="1" applyBorder="1" applyAlignment="1">
      <alignment horizontal="center" vertical="center" readingOrder="2"/>
    </xf>
    <xf numFmtId="0" fontId="6" fillId="0" borderId="4" xfId="0" applyFont="1" applyBorder="1" applyAlignment="1">
      <alignment horizontal="center" vertical="center" readingOrder="2"/>
    </xf>
    <xf numFmtId="0" fontId="15" fillId="2" borderId="6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0" fontId="16" fillId="2" borderId="8" xfId="0" applyFont="1" applyFill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4" fillId="0" borderId="6" xfId="0" applyFont="1" applyFill="1" applyBorder="1" applyAlignment="1">
      <alignment horizontal="center" vertical="center" wrapText="1" readingOrder="1"/>
    </xf>
    <xf numFmtId="0" fontId="6" fillId="0" borderId="5" xfId="0" applyFont="1" applyBorder="1" applyAlignment="1">
      <alignment horizontal="center" vertical="center" readingOrder="2"/>
    </xf>
    <xf numFmtId="9" fontId="6" fillId="0" borderId="3" xfId="1" applyFont="1" applyBorder="1" applyAlignment="1">
      <alignment horizontal="center" vertical="center" readingOrder="2"/>
    </xf>
    <xf numFmtId="0" fontId="6" fillId="0" borderId="7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 readingOrder="2"/>
    </xf>
    <xf numFmtId="0" fontId="6" fillId="0" borderId="12" xfId="1" applyNumberFormat="1" applyFont="1" applyBorder="1" applyAlignment="1">
      <alignment horizontal="center" vertical="center" readingOrder="2"/>
    </xf>
    <xf numFmtId="0" fontId="6" fillId="0" borderId="10" xfId="0" applyFont="1" applyBorder="1" applyAlignment="1">
      <alignment horizontal="center" vertical="center" readingOrder="2"/>
    </xf>
    <xf numFmtId="9" fontId="6" fillId="0" borderId="9" xfId="1" applyFont="1" applyBorder="1" applyAlignment="1">
      <alignment horizontal="center" vertical="center" readingOrder="2"/>
    </xf>
    <xf numFmtId="0" fontId="14" fillId="0" borderId="0" xfId="0" applyFont="1" applyFill="1" applyBorder="1" applyAlignment="1">
      <alignment horizontal="center" vertical="center" wrapText="1" readingOrder="1"/>
    </xf>
    <xf numFmtId="0" fontId="15" fillId="0" borderId="0" xfId="0" applyFont="1" applyBorder="1" applyAlignment="1">
      <alignment horizontal="center" vertical="center"/>
    </xf>
    <xf numFmtId="0" fontId="6" fillId="0" borderId="0" xfId="1" applyNumberFormat="1" applyFont="1" applyBorder="1" applyAlignment="1">
      <alignment horizontal="center" vertical="center" readingOrder="2"/>
    </xf>
    <xf numFmtId="9" fontId="6" fillId="0" borderId="6" xfId="1" applyFont="1" applyFill="1" applyBorder="1" applyAlignment="1">
      <alignment horizontal="center" vertical="center" readingOrder="2"/>
    </xf>
    <xf numFmtId="0" fontId="16" fillId="0" borderId="0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readingOrder="2"/>
    </xf>
    <xf numFmtId="0" fontId="16" fillId="0" borderId="0" xfId="0" applyFont="1" applyAlignment="1">
      <alignment horizontal="center" vertical="center"/>
    </xf>
    <xf numFmtId="0" fontId="16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 readingOrder="2"/>
    </xf>
    <xf numFmtId="0" fontId="6" fillId="0" borderId="0" xfId="0" applyFont="1" applyBorder="1" applyAlignment="1">
      <alignment horizontal="center" vertical="center" readingOrder="2"/>
    </xf>
    <xf numFmtId="0" fontId="16" fillId="0" borderId="0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 readingOrder="2"/>
    </xf>
    <xf numFmtId="0" fontId="5" fillId="0" borderId="0" xfId="0" applyFont="1" applyFill="1" applyBorder="1" applyAlignment="1">
      <alignment horizontal="center" vertical="center" wrapText="1" readingOrder="2"/>
    </xf>
    <xf numFmtId="0" fontId="9" fillId="0" borderId="0" xfId="0" applyFont="1" applyAlignment="1">
      <alignment horizontal="center" vertical="center" wrapText="1"/>
    </xf>
    <xf numFmtId="0" fontId="17" fillId="0" borderId="6" xfId="0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Fill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readingOrder="2"/>
    </xf>
    <xf numFmtId="0" fontId="9" fillId="0" borderId="0" xfId="0" applyFont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 readingOrder="2"/>
    </xf>
    <xf numFmtId="0" fontId="15" fillId="0" borderId="0" xfId="0" applyFont="1" applyAlignment="1">
      <alignment horizontal="center" vertical="center"/>
    </xf>
    <xf numFmtId="0" fontId="6" fillId="0" borderId="6" xfId="0" applyFont="1" applyBorder="1" applyAlignment="1">
      <alignment horizontal="center" vertical="center" wrapText="1" readingOrder="2"/>
    </xf>
    <xf numFmtId="0" fontId="14" fillId="0" borderId="6" xfId="0" applyFont="1" applyFill="1" applyBorder="1" applyAlignment="1">
      <alignment horizontal="center" vertical="center" wrapText="1" readingOrder="1"/>
    </xf>
    <xf numFmtId="0" fontId="16" fillId="3" borderId="11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 readingOrder="2"/>
    </xf>
    <xf numFmtId="0" fontId="6" fillId="2" borderId="6" xfId="0" applyFont="1" applyFill="1" applyBorder="1" applyAlignment="1">
      <alignment horizontal="center" vertical="center" readingOrder="2"/>
    </xf>
    <xf numFmtId="0" fontId="18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 readingOrder="2"/>
    </xf>
    <xf numFmtId="0" fontId="17" fillId="2" borderId="6" xfId="0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readingOrder="2"/>
    </xf>
    <xf numFmtId="0" fontId="5" fillId="0" borderId="6" xfId="0" applyFont="1" applyFill="1" applyBorder="1" applyAlignment="1">
      <alignment horizontal="center" vertical="center" readingOrder="2"/>
    </xf>
    <xf numFmtId="0" fontId="5" fillId="0" borderId="6" xfId="0" applyFont="1" applyBorder="1" applyAlignment="1">
      <alignment horizontal="center" vertical="center" readingOrder="2"/>
    </xf>
    <xf numFmtId="0" fontId="5" fillId="0" borderId="1" xfId="0" applyFont="1" applyBorder="1" applyAlignment="1">
      <alignment horizontal="center" vertical="center" readingOrder="2"/>
    </xf>
    <xf numFmtId="0" fontId="5" fillId="0" borderId="2" xfId="0" applyFont="1" applyBorder="1" applyAlignment="1">
      <alignment horizontal="center" vertical="center" readingOrder="2"/>
    </xf>
    <xf numFmtId="0" fontId="5" fillId="0" borderId="11" xfId="0" applyFont="1" applyFill="1" applyBorder="1" applyAlignment="1">
      <alignment horizontal="center" vertical="center" readingOrder="2"/>
    </xf>
    <xf numFmtId="0" fontId="5" fillId="0" borderId="3" xfId="0" applyFont="1" applyBorder="1" applyAlignment="1">
      <alignment horizontal="center" vertical="center" readingOrder="2"/>
    </xf>
    <xf numFmtId="0" fontId="5" fillId="0" borderId="12" xfId="0" applyFont="1" applyBorder="1" applyAlignment="1">
      <alignment horizontal="center" vertical="center" wrapText="1" readingOrder="2"/>
    </xf>
    <xf numFmtId="0" fontId="5" fillId="0" borderId="13" xfId="0" applyFont="1" applyBorder="1" applyAlignment="1">
      <alignment horizontal="center" vertical="center" wrapText="1" readingOrder="2"/>
    </xf>
    <xf numFmtId="0" fontId="19" fillId="0" borderId="6" xfId="0" applyFont="1" applyBorder="1" applyAlignment="1">
      <alignment horizontal="center" vertical="center" wrapText="1" readingOrder="1"/>
    </xf>
    <xf numFmtId="0" fontId="20" fillId="0" borderId="6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readingOrder="2"/>
    </xf>
    <xf numFmtId="0" fontId="5" fillId="0" borderId="4" xfId="0" applyFont="1" applyFill="1" applyBorder="1" applyAlignment="1">
      <alignment horizontal="center" vertical="center" readingOrder="2"/>
    </xf>
    <xf numFmtId="0" fontId="5" fillId="0" borderId="3" xfId="0" applyFont="1" applyFill="1" applyBorder="1" applyAlignment="1">
      <alignment horizontal="center" vertical="center" readingOrder="2"/>
    </xf>
    <xf numFmtId="0" fontId="5" fillId="0" borderId="2" xfId="1" applyNumberFormat="1" applyFont="1" applyBorder="1" applyAlignment="1">
      <alignment horizontal="center" vertical="center" readingOrder="2"/>
    </xf>
    <xf numFmtId="0" fontId="5" fillId="0" borderId="14" xfId="1" applyNumberFormat="1" applyFont="1" applyBorder="1" applyAlignment="1">
      <alignment horizontal="center" vertical="center" readingOrder="2"/>
    </xf>
    <xf numFmtId="9" fontId="5" fillId="0" borderId="8" xfId="1" applyFont="1" applyBorder="1" applyAlignment="1">
      <alignment horizontal="center" vertical="center" readingOrder="2"/>
    </xf>
    <xf numFmtId="0" fontId="20" fillId="2" borderId="6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19" fillId="0" borderId="6" xfId="0" applyFont="1" applyFill="1" applyBorder="1" applyAlignment="1">
      <alignment horizontal="center" vertical="center" wrapText="1" readingOrder="1"/>
    </xf>
    <xf numFmtId="0" fontId="5" fillId="0" borderId="5" xfId="0" applyFont="1" applyBorder="1" applyAlignment="1">
      <alignment horizontal="center" vertical="center" readingOrder="2"/>
    </xf>
    <xf numFmtId="9" fontId="5" fillId="0" borderId="3" xfId="1" applyFont="1" applyBorder="1" applyAlignment="1">
      <alignment horizontal="center" vertical="center" readingOrder="2"/>
    </xf>
    <xf numFmtId="0" fontId="8" fillId="0" borderId="6" xfId="0" applyFont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 readingOrder="2"/>
    </xf>
    <xf numFmtId="0" fontId="8" fillId="0" borderId="7" xfId="0" applyFont="1" applyBorder="1" applyAlignment="1">
      <alignment horizontal="center" vertical="center"/>
    </xf>
    <xf numFmtId="9" fontId="5" fillId="0" borderId="9" xfId="1" applyFont="1" applyBorder="1" applyAlignment="1">
      <alignment horizontal="center" vertical="center" readingOrder="2"/>
    </xf>
    <xf numFmtId="0" fontId="8" fillId="0" borderId="10" xfId="0" applyFont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 wrapText="1" readingOrder="1"/>
    </xf>
    <xf numFmtId="0" fontId="20" fillId="0" borderId="0" xfId="0" applyFont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readingOrder="2"/>
    </xf>
    <xf numFmtId="0" fontId="5" fillId="0" borderId="0" xfId="1" applyNumberFormat="1" applyFont="1" applyBorder="1" applyAlignment="1">
      <alignment horizontal="center" vertical="center" readingOrder="2"/>
    </xf>
    <xf numFmtId="9" fontId="5" fillId="0" borderId="6" xfId="1" applyFont="1" applyFill="1" applyBorder="1" applyAlignment="1">
      <alignment horizontal="center" vertical="center" readingOrder="2"/>
    </xf>
    <xf numFmtId="0" fontId="8" fillId="0" borderId="0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5" fillId="0" borderId="0" xfId="0" applyFont="1" applyBorder="1" applyAlignment="1">
      <alignment horizontal="center" vertical="center" readingOrder="2"/>
    </xf>
    <xf numFmtId="0" fontId="20" fillId="0" borderId="0" xfId="0" applyFont="1" applyAlignment="1">
      <alignment horizontal="center" vertical="center"/>
    </xf>
    <xf numFmtId="0" fontId="5" fillId="3" borderId="6" xfId="0" applyFont="1" applyFill="1" applyBorder="1" applyAlignment="1">
      <alignment horizontal="center" vertical="center" readingOrder="2"/>
    </xf>
    <xf numFmtId="0" fontId="5" fillId="2" borderId="1" xfId="0" applyFont="1" applyFill="1" applyBorder="1" applyAlignment="1">
      <alignment horizontal="center" vertical="center" readingOrder="2"/>
    </xf>
    <xf numFmtId="0" fontId="5" fillId="2" borderId="3" xfId="0" applyFont="1" applyFill="1" applyBorder="1" applyAlignment="1">
      <alignment horizontal="center" vertical="center" readingOrder="2"/>
    </xf>
    <xf numFmtId="0" fontId="5" fillId="2" borderId="2" xfId="1" applyNumberFormat="1" applyFont="1" applyFill="1" applyBorder="1" applyAlignment="1">
      <alignment horizontal="center" vertical="center" readingOrder="2"/>
    </xf>
    <xf numFmtId="0" fontId="5" fillId="2" borderId="14" xfId="1" applyNumberFormat="1" applyFont="1" applyFill="1" applyBorder="1" applyAlignment="1">
      <alignment horizontal="center" vertical="center" readingOrder="2"/>
    </xf>
    <xf numFmtId="0" fontId="15" fillId="0" borderId="0" xfId="0" applyFont="1" applyAlignment="1">
      <alignment horizontal="center" vertical="center"/>
    </xf>
    <xf numFmtId="0" fontId="6" fillId="0" borderId="22" xfId="0" applyFont="1" applyBorder="1" applyAlignment="1">
      <alignment horizontal="center" vertical="center" wrapText="1" readingOrder="2"/>
    </xf>
    <xf numFmtId="0" fontId="6" fillId="0" borderId="23" xfId="0" applyFont="1" applyBorder="1" applyAlignment="1">
      <alignment horizontal="center" vertical="center" wrapText="1" readingOrder="2"/>
    </xf>
    <xf numFmtId="0" fontId="6" fillId="0" borderId="24" xfId="0" applyFont="1" applyBorder="1" applyAlignment="1">
      <alignment horizontal="center" vertical="center" wrapText="1" readingOrder="2"/>
    </xf>
    <xf numFmtId="0" fontId="14" fillId="0" borderId="43" xfId="0" applyFont="1" applyFill="1" applyBorder="1" applyAlignment="1">
      <alignment horizontal="center" vertical="center" wrapText="1" readingOrder="1"/>
    </xf>
    <xf numFmtId="0" fontId="14" fillId="0" borderId="5" xfId="0" applyFont="1" applyFill="1" applyBorder="1" applyAlignment="1">
      <alignment horizontal="center" vertical="center" wrapText="1" readingOrder="1"/>
    </xf>
    <xf numFmtId="0" fontId="14" fillId="0" borderId="6" xfId="0" applyFont="1" applyFill="1" applyBorder="1" applyAlignment="1">
      <alignment horizontal="center" vertical="center" wrapText="1" readingOrder="1"/>
    </xf>
    <xf numFmtId="0" fontId="6" fillId="0" borderId="6" xfId="0" applyFont="1" applyFill="1" applyBorder="1" applyAlignment="1">
      <alignment horizontal="center" vertical="center" readingOrder="2"/>
    </xf>
    <xf numFmtId="0" fontId="6" fillId="0" borderId="38" xfId="0" applyFont="1" applyBorder="1" applyAlignment="1">
      <alignment horizontal="center" vertical="center" readingOrder="2"/>
    </xf>
    <xf numFmtId="0" fontId="6" fillId="0" borderId="39" xfId="0" applyFont="1" applyBorder="1" applyAlignment="1">
      <alignment horizontal="center" vertical="center" readingOrder="2"/>
    </xf>
    <xf numFmtId="0" fontId="6" fillId="0" borderId="40" xfId="0" applyFont="1" applyBorder="1" applyAlignment="1">
      <alignment horizontal="center" vertical="center" readingOrder="2"/>
    </xf>
    <xf numFmtId="0" fontId="6" fillId="0" borderId="2" xfId="0" applyFont="1" applyBorder="1" applyAlignment="1">
      <alignment horizontal="center" vertical="center" readingOrder="2"/>
    </xf>
    <xf numFmtId="0" fontId="6" fillId="0" borderId="15" xfId="0" applyFont="1" applyBorder="1" applyAlignment="1">
      <alignment horizontal="center" vertical="center" readingOrder="2"/>
    </xf>
    <xf numFmtId="0" fontId="6" fillId="0" borderId="25" xfId="0" applyFont="1" applyBorder="1" applyAlignment="1">
      <alignment horizontal="center" vertical="center" readingOrder="2"/>
    </xf>
    <xf numFmtId="0" fontId="6" fillId="0" borderId="3" xfId="0" applyFont="1" applyBorder="1" applyAlignment="1">
      <alignment horizontal="center" vertical="center" readingOrder="2"/>
    </xf>
    <xf numFmtId="0" fontId="6" fillId="0" borderId="15" xfId="0" applyFont="1" applyFill="1" applyBorder="1" applyAlignment="1">
      <alignment horizontal="center" vertical="center" wrapText="1" readingOrder="2"/>
    </xf>
    <xf numFmtId="0" fontId="6" fillId="0" borderId="25" xfId="0" applyFont="1" applyFill="1" applyBorder="1" applyAlignment="1">
      <alignment horizontal="center" vertical="center" wrapText="1" readingOrder="2"/>
    </xf>
    <xf numFmtId="0" fontId="6" fillId="0" borderId="13" xfId="0" applyFont="1" applyFill="1" applyBorder="1" applyAlignment="1">
      <alignment horizontal="center" vertical="center" wrapText="1" readingOrder="2"/>
    </xf>
    <xf numFmtId="0" fontId="6" fillId="0" borderId="32" xfId="0" applyFont="1" applyBorder="1" applyAlignment="1">
      <alignment horizontal="center" vertical="center" wrapText="1" readingOrder="2"/>
    </xf>
    <xf numFmtId="0" fontId="6" fillId="0" borderId="0" xfId="0" applyFont="1" applyAlignment="1">
      <alignment horizontal="center" vertical="center" readingOrder="2"/>
    </xf>
    <xf numFmtId="0" fontId="6" fillId="0" borderId="42" xfId="0" applyFont="1" applyBorder="1" applyAlignment="1">
      <alignment horizontal="center" vertical="center" readingOrder="2"/>
    </xf>
    <xf numFmtId="0" fontId="6" fillId="0" borderId="0" xfId="0" applyFont="1" applyBorder="1" applyAlignment="1">
      <alignment horizontal="center" vertical="center" readingOrder="2"/>
    </xf>
    <xf numFmtId="0" fontId="6" fillId="0" borderId="26" xfId="0" applyFont="1" applyFill="1" applyBorder="1" applyAlignment="1">
      <alignment horizontal="center" vertical="center" readingOrder="2"/>
    </xf>
    <xf numFmtId="0" fontId="6" fillId="0" borderId="27" xfId="0" applyFont="1" applyFill="1" applyBorder="1" applyAlignment="1">
      <alignment horizontal="center" vertical="center" readingOrder="2"/>
    </xf>
    <xf numFmtId="0" fontId="6" fillId="0" borderId="11" xfId="0" applyFont="1" applyFill="1" applyBorder="1" applyAlignment="1">
      <alignment horizontal="center" vertical="center" readingOrder="2"/>
    </xf>
    <xf numFmtId="0" fontId="6" fillId="0" borderId="6" xfId="0" applyFont="1" applyFill="1" applyBorder="1" applyAlignment="1">
      <alignment horizontal="center" vertical="center" wrapText="1" readingOrder="2"/>
    </xf>
    <xf numFmtId="0" fontId="6" fillId="0" borderId="6" xfId="0" applyFont="1" applyBorder="1" applyAlignment="1">
      <alignment horizontal="center" vertical="center" wrapText="1" readingOrder="2"/>
    </xf>
    <xf numFmtId="0" fontId="5" fillId="0" borderId="37" xfId="0" applyFont="1" applyBorder="1" applyAlignment="1">
      <alignment horizontal="center" vertical="center" wrapText="1" readingOrder="2"/>
    </xf>
    <xf numFmtId="0" fontId="5" fillId="0" borderId="1" xfId="0" applyFont="1" applyBorder="1" applyAlignment="1">
      <alignment horizontal="center" vertical="center" wrapText="1" readingOrder="2"/>
    </xf>
    <xf numFmtId="0" fontId="5" fillId="0" borderId="6" xfId="0" applyFont="1" applyBorder="1" applyAlignment="1">
      <alignment horizontal="center" vertical="center" wrapText="1" readingOrder="2"/>
    </xf>
    <xf numFmtId="0" fontId="5" fillId="0" borderId="36" xfId="0" applyFont="1" applyBorder="1" applyAlignment="1">
      <alignment horizontal="center" vertical="center" wrapText="1" readingOrder="2"/>
    </xf>
    <xf numFmtId="0" fontId="6" fillId="0" borderId="34" xfId="0" applyFont="1" applyBorder="1" applyAlignment="1">
      <alignment horizontal="center" vertical="center" wrapText="1" readingOrder="2"/>
    </xf>
    <xf numFmtId="0" fontId="6" fillId="0" borderId="31" xfId="0" applyFont="1" applyBorder="1" applyAlignment="1">
      <alignment horizontal="center" vertical="center" wrapText="1" readingOrder="2"/>
    </xf>
    <xf numFmtId="0" fontId="6" fillId="0" borderId="38" xfId="0" applyFont="1" applyBorder="1" applyAlignment="1">
      <alignment horizontal="center" vertical="center" wrapText="1" readingOrder="2"/>
    </xf>
    <xf numFmtId="0" fontId="6" fillId="0" borderId="39" xfId="0" applyFont="1" applyBorder="1" applyAlignment="1">
      <alignment horizontal="center" vertical="center" wrapText="1" readingOrder="2"/>
    </xf>
    <xf numFmtId="0" fontId="6" fillId="0" borderId="40" xfId="0" applyFont="1" applyBorder="1" applyAlignment="1">
      <alignment horizontal="center" vertical="center" wrapText="1" readingOrder="2"/>
    </xf>
    <xf numFmtId="0" fontId="6" fillId="0" borderId="2" xfId="0" applyFont="1" applyBorder="1" applyAlignment="1">
      <alignment horizontal="center" vertical="center" wrapText="1" readingOrder="2"/>
    </xf>
    <xf numFmtId="0" fontId="6" fillId="0" borderId="28" xfId="0" applyFont="1" applyFill="1" applyBorder="1" applyAlignment="1">
      <alignment horizontal="center" vertical="center" readingOrder="2"/>
    </xf>
    <xf numFmtId="0" fontId="6" fillId="0" borderId="19" xfId="0" applyFont="1" applyBorder="1" applyAlignment="1">
      <alignment horizontal="center" vertical="center" wrapText="1" readingOrder="2"/>
    </xf>
    <xf numFmtId="0" fontId="6" fillId="0" borderId="13" xfId="0" applyFont="1" applyBorder="1" applyAlignment="1">
      <alignment horizontal="center" vertical="center" wrapText="1" readingOrder="2"/>
    </xf>
    <xf numFmtId="0" fontId="6" fillId="0" borderId="41" xfId="0" applyFont="1" applyBorder="1" applyAlignment="1">
      <alignment horizontal="center" vertical="center" wrapText="1" readingOrder="2"/>
    </xf>
    <xf numFmtId="0" fontId="6" fillId="0" borderId="33" xfId="0" applyFont="1" applyBorder="1" applyAlignment="1">
      <alignment horizontal="center" vertical="center" wrapText="1" readingOrder="2"/>
    </xf>
    <xf numFmtId="0" fontId="6" fillId="0" borderId="35" xfId="0" applyFont="1" applyBorder="1" applyAlignment="1">
      <alignment horizontal="center" vertical="center" wrapText="1" readingOrder="2"/>
    </xf>
    <xf numFmtId="0" fontId="6" fillId="0" borderId="12" xfId="0" applyFont="1" applyBorder="1" applyAlignment="1">
      <alignment horizontal="center" vertical="center" wrapText="1" readingOrder="2"/>
    </xf>
    <xf numFmtId="0" fontId="5" fillId="0" borderId="20" xfId="0" applyFont="1" applyBorder="1" applyAlignment="1">
      <alignment horizontal="center" vertical="center" wrapText="1" readingOrder="2"/>
    </xf>
    <xf numFmtId="0" fontId="5" fillId="0" borderId="8" xfId="0" applyFont="1" applyBorder="1" applyAlignment="1">
      <alignment horizontal="center" vertical="center" wrapText="1" readingOrder="2"/>
    </xf>
    <xf numFmtId="0" fontId="6" fillId="0" borderId="21" xfId="0" applyFont="1" applyBorder="1" applyAlignment="1">
      <alignment horizontal="center" vertical="center" readingOrder="2"/>
    </xf>
    <xf numFmtId="0" fontId="6" fillId="0" borderId="6" xfId="0" applyFont="1" applyBorder="1" applyAlignment="1">
      <alignment horizontal="center" vertical="center" readingOrder="2"/>
    </xf>
    <xf numFmtId="0" fontId="5" fillId="0" borderId="21" xfId="0" applyFont="1" applyBorder="1" applyAlignment="1">
      <alignment horizontal="center" vertical="center" wrapText="1" readingOrder="2"/>
    </xf>
    <xf numFmtId="0" fontId="14" fillId="0" borderId="0" xfId="0" applyFont="1" applyFill="1" applyBorder="1" applyAlignment="1">
      <alignment horizontal="center" vertical="center" wrapText="1" readingOrder="2"/>
    </xf>
    <xf numFmtId="0" fontId="6" fillId="0" borderId="29" xfId="0" applyFont="1" applyBorder="1" applyAlignment="1">
      <alignment horizontal="center" vertical="center" wrapText="1" readingOrder="2"/>
    </xf>
    <xf numFmtId="0" fontId="6" fillId="0" borderId="30" xfId="0" applyFont="1" applyBorder="1" applyAlignment="1">
      <alignment horizontal="center" vertical="center" wrapText="1" readingOrder="2"/>
    </xf>
    <xf numFmtId="0" fontId="5" fillId="0" borderId="15" xfId="0" applyFont="1" applyBorder="1" applyAlignment="1">
      <alignment horizontal="center" vertical="center" wrapText="1" readingOrder="2"/>
    </xf>
    <xf numFmtId="0" fontId="5" fillId="0" borderId="3" xfId="0" applyFont="1" applyBorder="1" applyAlignment="1">
      <alignment horizontal="center" vertical="center" wrapText="1" readingOrder="2"/>
    </xf>
    <xf numFmtId="0" fontId="14" fillId="0" borderId="16" xfId="0" applyFont="1" applyBorder="1" applyAlignment="1">
      <alignment horizontal="center" vertical="center" wrapText="1" readingOrder="1"/>
    </xf>
    <xf numFmtId="0" fontId="14" fillId="0" borderId="4" xfId="0" applyFont="1" applyBorder="1" applyAlignment="1">
      <alignment horizontal="center" vertical="center" wrapText="1" readingOrder="1"/>
    </xf>
    <xf numFmtId="0" fontId="21" fillId="0" borderId="10" xfId="0" applyFont="1" applyBorder="1" applyAlignment="1">
      <alignment horizontal="center" vertical="center" wrapText="1" readingOrder="1"/>
    </xf>
    <xf numFmtId="0" fontId="21" fillId="0" borderId="7" xfId="0" applyFont="1" applyBorder="1" applyAlignment="1">
      <alignment horizontal="center" vertical="center" wrapText="1" readingOrder="1"/>
    </xf>
    <xf numFmtId="0" fontId="16" fillId="4" borderId="17" xfId="0" applyFont="1" applyFill="1" applyBorder="1" applyAlignment="1">
      <alignment horizontal="center" vertical="center"/>
    </xf>
    <xf numFmtId="0" fontId="16" fillId="4" borderId="18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0" fontId="14" fillId="0" borderId="37" xfId="0" applyFont="1" applyFill="1" applyBorder="1" applyAlignment="1">
      <alignment horizontal="center" vertical="center" wrapText="1" readingOrder="1"/>
    </xf>
    <xf numFmtId="0" fontId="14" fillId="0" borderId="1" xfId="0" applyFont="1" applyFill="1" applyBorder="1" applyAlignment="1">
      <alignment horizontal="center" vertical="center" wrapText="1" readingOrder="1"/>
    </xf>
    <xf numFmtId="0" fontId="5" fillId="0" borderId="19" xfId="0" applyFont="1" applyBorder="1" applyAlignment="1">
      <alignment horizontal="center" vertical="center" wrapText="1" readingOrder="2"/>
    </xf>
    <xf numFmtId="0" fontId="6" fillId="0" borderId="3" xfId="0" applyFont="1" applyBorder="1" applyAlignment="1">
      <alignment horizontal="center" vertical="center" wrapText="1" readingOrder="2"/>
    </xf>
    <xf numFmtId="0" fontId="14" fillId="0" borderId="10" xfId="0" applyFont="1" applyBorder="1" applyAlignment="1">
      <alignment horizontal="center" vertical="center" wrapText="1" readingOrder="1"/>
    </xf>
    <xf numFmtId="0" fontId="14" fillId="0" borderId="7" xfId="0" applyFont="1" applyBorder="1" applyAlignment="1">
      <alignment horizontal="center" vertical="center" wrapText="1" readingOrder="1"/>
    </xf>
    <xf numFmtId="0" fontId="17" fillId="4" borderId="17" xfId="0" applyFont="1" applyFill="1" applyBorder="1" applyAlignment="1">
      <alignment horizontal="center" vertical="center"/>
    </xf>
    <xf numFmtId="0" fontId="17" fillId="4" borderId="18" xfId="0" applyFont="1" applyFill="1" applyBorder="1" applyAlignment="1">
      <alignment horizontal="center" vertical="center"/>
    </xf>
    <xf numFmtId="0" fontId="17" fillId="4" borderId="5" xfId="0" applyFont="1" applyFill="1" applyBorder="1" applyAlignment="1">
      <alignment horizontal="center" vertical="center"/>
    </xf>
    <xf numFmtId="0" fontId="6" fillId="0" borderId="20" xfId="0" applyFont="1" applyBorder="1" applyAlignment="1">
      <alignment horizontal="center" vertical="center" wrapText="1" readingOrder="2"/>
    </xf>
    <xf numFmtId="0" fontId="6" fillId="0" borderId="8" xfId="0" applyFont="1" applyBorder="1" applyAlignment="1">
      <alignment horizontal="center" vertical="center" wrapText="1" readingOrder="2"/>
    </xf>
    <xf numFmtId="0" fontId="6" fillId="0" borderId="41" xfId="0" applyFont="1" applyBorder="1" applyAlignment="1">
      <alignment horizontal="center" vertical="center" readingOrder="2"/>
    </xf>
    <xf numFmtId="0" fontId="6" fillId="0" borderId="32" xfId="0" applyFont="1" applyBorder="1" applyAlignment="1">
      <alignment horizontal="center" vertical="center" readingOrder="2"/>
    </xf>
    <xf numFmtId="0" fontId="6" fillId="0" borderId="33" xfId="0" applyFont="1" applyBorder="1" applyAlignment="1">
      <alignment horizontal="center" vertical="center" readingOrder="2"/>
    </xf>
    <xf numFmtId="0" fontId="6" fillId="0" borderId="44" xfId="0" applyFont="1" applyBorder="1" applyAlignment="1">
      <alignment horizontal="center" vertical="center" readingOrder="2"/>
    </xf>
    <xf numFmtId="0" fontId="6" fillId="0" borderId="45" xfId="0" applyFont="1" applyBorder="1" applyAlignment="1">
      <alignment horizontal="center" vertical="center" wrapText="1" readingOrder="2"/>
    </xf>
    <xf numFmtId="0" fontId="6" fillId="0" borderId="46" xfId="0" applyFont="1" applyBorder="1" applyAlignment="1">
      <alignment horizontal="center" vertical="center" wrapText="1" readingOrder="2"/>
    </xf>
    <xf numFmtId="0" fontId="6" fillId="0" borderId="36" xfId="0" applyFont="1" applyBorder="1" applyAlignment="1">
      <alignment horizontal="center" vertical="center" wrapText="1" readingOrder="2"/>
    </xf>
    <xf numFmtId="0" fontId="6" fillId="0" borderId="1" xfId="0" applyFont="1" applyBorder="1" applyAlignment="1">
      <alignment horizontal="center" vertical="center" wrapText="1" readingOrder="2"/>
    </xf>
    <xf numFmtId="0" fontId="6" fillId="0" borderId="37" xfId="0" applyFont="1" applyBorder="1" applyAlignment="1">
      <alignment horizontal="center" vertical="center" wrapText="1" readingOrder="2"/>
    </xf>
    <xf numFmtId="0" fontId="19" fillId="0" borderId="0" xfId="0" applyFont="1" applyFill="1" applyBorder="1" applyAlignment="1">
      <alignment horizontal="center" vertical="center" wrapText="1" readingOrder="2"/>
    </xf>
    <xf numFmtId="0" fontId="20" fillId="0" borderId="0" xfId="0" applyFont="1" applyAlignment="1">
      <alignment horizontal="center" vertical="center"/>
    </xf>
    <xf numFmtId="0" fontId="5" fillId="0" borderId="22" xfId="0" applyFont="1" applyBorder="1" applyAlignment="1">
      <alignment horizontal="center" vertical="center" wrapText="1" readingOrder="2"/>
    </xf>
    <xf numFmtId="0" fontId="5" fillId="0" borderId="23" xfId="0" applyFont="1" applyBorder="1" applyAlignment="1">
      <alignment horizontal="center" vertical="center" wrapText="1" readingOrder="2"/>
    </xf>
    <xf numFmtId="0" fontId="5" fillId="0" borderId="24" xfId="0" applyFont="1" applyBorder="1" applyAlignment="1">
      <alignment horizontal="center" vertical="center" wrapText="1" readingOrder="2"/>
    </xf>
    <xf numFmtId="0" fontId="19" fillId="0" borderId="10" xfId="0" applyFont="1" applyBorder="1" applyAlignment="1">
      <alignment horizontal="center" vertical="center" wrapText="1" readingOrder="1"/>
    </xf>
    <xf numFmtId="0" fontId="19" fillId="0" borderId="7" xfId="0" applyFont="1" applyBorder="1" applyAlignment="1">
      <alignment horizontal="center" vertical="center" wrapText="1" readingOrder="1"/>
    </xf>
    <xf numFmtId="0" fontId="8" fillId="4" borderId="17" xfId="0" applyFont="1" applyFill="1" applyBorder="1" applyAlignment="1">
      <alignment horizontal="center" vertical="center"/>
    </xf>
    <xf numFmtId="0" fontId="8" fillId="4" borderId="18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 vertical="center" readingOrder="2"/>
    </xf>
    <xf numFmtId="0" fontId="19" fillId="0" borderId="6" xfId="0" applyFont="1" applyFill="1" applyBorder="1" applyAlignment="1">
      <alignment horizontal="center" vertical="center" wrapText="1" readingOrder="1"/>
    </xf>
    <xf numFmtId="0" fontId="1" fillId="0" borderId="19" xfId="0" applyFont="1" applyBorder="1" applyAlignment="1">
      <alignment horizontal="center" vertical="center" wrapText="1" readingOrder="2"/>
    </xf>
    <xf numFmtId="0" fontId="1" fillId="0" borderId="3" xfId="0" applyFont="1" applyBorder="1" applyAlignment="1">
      <alignment horizontal="center" vertical="center" wrapText="1" readingOrder="2"/>
    </xf>
    <xf numFmtId="0" fontId="19" fillId="0" borderId="16" xfId="0" applyFont="1" applyBorder="1" applyAlignment="1">
      <alignment horizontal="center" vertical="center" wrapText="1" readingOrder="1"/>
    </xf>
    <xf numFmtId="0" fontId="19" fillId="0" borderId="4" xfId="0" applyFont="1" applyBorder="1" applyAlignment="1">
      <alignment horizontal="center" vertical="center" wrapText="1" readingOrder="1"/>
    </xf>
    <xf numFmtId="0" fontId="5" fillId="0" borderId="6" xfId="0" applyFont="1" applyBorder="1" applyAlignment="1">
      <alignment horizontal="center" vertical="center" readingOrder="2"/>
    </xf>
    <xf numFmtId="0" fontId="5" fillId="0" borderId="36" xfId="0" applyFont="1" applyBorder="1" applyAlignment="1">
      <alignment horizontal="center" vertical="center" readingOrder="2"/>
    </xf>
    <xf numFmtId="0" fontId="5" fillId="0" borderId="1" xfId="0" applyFont="1" applyBorder="1" applyAlignment="1">
      <alignment horizontal="center" vertical="center" readingOrder="2"/>
    </xf>
    <xf numFmtId="0" fontId="5" fillId="0" borderId="37" xfId="0" applyFont="1" applyBorder="1" applyAlignment="1">
      <alignment horizontal="center" vertical="center" readingOrder="2"/>
    </xf>
    <xf numFmtId="0" fontId="5" fillId="0" borderId="41" xfId="0" applyFont="1" applyBorder="1" applyAlignment="1">
      <alignment horizontal="center" vertical="center" readingOrder="2"/>
    </xf>
    <xf numFmtId="0" fontId="5" fillId="0" borderId="32" xfId="0" applyFont="1" applyBorder="1" applyAlignment="1">
      <alignment horizontal="center" vertical="center" readingOrder="2"/>
    </xf>
    <xf numFmtId="0" fontId="5" fillId="0" borderId="33" xfId="0" applyFont="1" applyBorder="1" applyAlignment="1">
      <alignment horizontal="center" vertical="center" readingOrder="2"/>
    </xf>
    <xf numFmtId="0" fontId="5" fillId="0" borderId="44" xfId="0" applyFont="1" applyBorder="1" applyAlignment="1">
      <alignment horizontal="center" vertical="center" readingOrder="2"/>
    </xf>
    <xf numFmtId="0" fontId="5" fillId="0" borderId="26" xfId="0" applyFont="1" applyFill="1" applyBorder="1" applyAlignment="1">
      <alignment horizontal="center" vertical="center" readingOrder="2"/>
    </xf>
    <xf numFmtId="0" fontId="5" fillId="0" borderId="27" xfId="0" applyFont="1" applyFill="1" applyBorder="1" applyAlignment="1">
      <alignment horizontal="center" vertical="center" readingOrder="2"/>
    </xf>
    <xf numFmtId="0" fontId="5" fillId="0" borderId="28" xfId="0" applyFont="1" applyFill="1" applyBorder="1" applyAlignment="1">
      <alignment horizontal="center" vertical="center" readingOrder="2"/>
    </xf>
    <xf numFmtId="0" fontId="5" fillId="0" borderId="15" xfId="0" applyFont="1" applyFill="1" applyBorder="1" applyAlignment="1">
      <alignment horizontal="center" vertical="center" wrapText="1" readingOrder="2"/>
    </xf>
    <xf numFmtId="0" fontId="5" fillId="0" borderId="25" xfId="0" applyFont="1" applyFill="1" applyBorder="1" applyAlignment="1">
      <alignment horizontal="center" vertical="center" wrapText="1" readingOrder="2"/>
    </xf>
    <xf numFmtId="0" fontId="5" fillId="0" borderId="13" xfId="0" applyFont="1" applyFill="1" applyBorder="1" applyAlignment="1">
      <alignment horizontal="center" vertical="center" wrapText="1" readingOrder="2"/>
    </xf>
    <xf numFmtId="0" fontId="5" fillId="0" borderId="38" xfId="0" applyFont="1" applyBorder="1" applyAlignment="1">
      <alignment horizontal="center" vertical="center" wrapText="1" readingOrder="2"/>
    </xf>
    <xf numFmtId="0" fontId="5" fillId="0" borderId="39" xfId="0" applyFont="1" applyBorder="1" applyAlignment="1">
      <alignment horizontal="center" vertical="center" wrapText="1" readingOrder="2"/>
    </xf>
    <xf numFmtId="0" fontId="5" fillId="0" borderId="40" xfId="0" applyFont="1" applyBorder="1" applyAlignment="1">
      <alignment horizontal="center" vertical="center" wrapText="1" readingOrder="2"/>
    </xf>
    <xf numFmtId="0" fontId="5" fillId="0" borderId="2" xfId="0" applyFont="1" applyBorder="1" applyAlignment="1">
      <alignment horizontal="center" vertical="center" wrapText="1" readingOrder="2"/>
    </xf>
    <xf numFmtId="0" fontId="5" fillId="0" borderId="38" xfId="0" applyFont="1" applyBorder="1" applyAlignment="1">
      <alignment horizontal="center" vertical="center" readingOrder="2"/>
    </xf>
    <xf numFmtId="0" fontId="5" fillId="0" borderId="39" xfId="0" applyFont="1" applyBorder="1" applyAlignment="1">
      <alignment horizontal="center" vertical="center" readingOrder="2"/>
    </xf>
    <xf numFmtId="0" fontId="5" fillId="0" borderId="40" xfId="0" applyFont="1" applyBorder="1" applyAlignment="1">
      <alignment horizontal="center" vertical="center" readingOrder="2"/>
    </xf>
    <xf numFmtId="0" fontId="5" fillId="0" borderId="2" xfId="0" applyFont="1" applyBorder="1" applyAlignment="1">
      <alignment horizontal="center" vertical="center" readingOrder="2"/>
    </xf>
    <xf numFmtId="0" fontId="5" fillId="0" borderId="15" xfId="0" applyFont="1" applyBorder="1" applyAlignment="1">
      <alignment horizontal="center" vertical="center" readingOrder="2"/>
    </xf>
    <xf numFmtId="0" fontId="5" fillId="0" borderId="25" xfId="0" applyFont="1" applyBorder="1" applyAlignment="1">
      <alignment horizontal="center" vertical="center" readingOrder="2"/>
    </xf>
    <xf numFmtId="0" fontId="5" fillId="0" borderId="3" xfId="0" applyFont="1" applyBorder="1" applyAlignment="1">
      <alignment horizontal="center" vertical="center" readingOrder="2"/>
    </xf>
    <xf numFmtId="0" fontId="5" fillId="0" borderId="11" xfId="0" applyFont="1" applyFill="1" applyBorder="1" applyAlignment="1">
      <alignment horizontal="center" vertical="center" readingOrder="2"/>
    </xf>
    <xf numFmtId="0" fontId="5" fillId="0" borderId="45" xfId="0" applyFont="1" applyBorder="1" applyAlignment="1">
      <alignment horizontal="center" vertical="center" wrapText="1" readingOrder="2"/>
    </xf>
    <xf numFmtId="0" fontId="5" fillId="0" borderId="46" xfId="0" applyFont="1" applyBorder="1" applyAlignment="1">
      <alignment horizontal="center" vertical="center" wrapText="1" readingOrder="2"/>
    </xf>
    <xf numFmtId="0" fontId="5" fillId="0" borderId="29" xfId="0" applyFont="1" applyBorder="1" applyAlignment="1">
      <alignment horizontal="center" vertical="center" wrapText="1" readingOrder="2"/>
    </xf>
    <xf numFmtId="0" fontId="5" fillId="0" borderId="30" xfId="0" applyFont="1" applyBorder="1" applyAlignment="1">
      <alignment horizontal="center" vertical="center" wrapText="1" readingOrder="2"/>
    </xf>
    <xf numFmtId="0" fontId="5" fillId="0" borderId="31" xfId="0" applyFont="1" applyBorder="1" applyAlignment="1">
      <alignment horizontal="center" vertical="center" wrapText="1" readingOrder="2"/>
    </xf>
    <xf numFmtId="0" fontId="5" fillId="0" borderId="0" xfId="0" applyFont="1" applyAlignment="1">
      <alignment horizontal="center" vertical="center" readingOrder="2"/>
    </xf>
    <xf numFmtId="0" fontId="5" fillId="0" borderId="42" xfId="0" applyFont="1" applyBorder="1" applyAlignment="1">
      <alignment horizontal="center" vertical="center" readingOrder="2"/>
    </xf>
    <xf numFmtId="0" fontId="5" fillId="0" borderId="0" xfId="0" applyFont="1" applyBorder="1" applyAlignment="1">
      <alignment horizontal="center" vertical="center" readingOrder="2"/>
    </xf>
    <xf numFmtId="0" fontId="5" fillId="0" borderId="6" xfId="0" applyFont="1" applyFill="1" applyBorder="1" applyAlignment="1">
      <alignment horizontal="center" vertical="center" readingOrder="2"/>
    </xf>
    <xf numFmtId="0" fontId="22" fillId="0" borderId="0" xfId="0" applyFont="1" applyAlignment="1">
      <alignment horizontal="center"/>
    </xf>
    <xf numFmtId="0" fontId="2" fillId="0" borderId="19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0" fontId="12" fillId="0" borderId="10" xfId="0" applyFont="1" applyBorder="1" applyAlignment="1">
      <alignment horizontal="center" vertical="center" wrapText="1" readingOrder="1"/>
    </xf>
    <xf numFmtId="0" fontId="12" fillId="0" borderId="7" xfId="0" applyFont="1" applyBorder="1" applyAlignment="1">
      <alignment horizontal="center" vertical="center" wrapText="1" readingOrder="1"/>
    </xf>
    <xf numFmtId="0" fontId="0" fillId="4" borderId="17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11" fillId="0" borderId="6" xfId="0" applyFont="1" applyFill="1" applyBorder="1" applyAlignment="1">
      <alignment horizontal="center" vertical="center" wrapText="1" readingOrder="1"/>
    </xf>
    <xf numFmtId="0" fontId="12" fillId="0" borderId="0" xfId="0" applyFont="1" applyFill="1" applyBorder="1" applyAlignment="1">
      <alignment horizontal="center" vertical="center" wrapText="1" readingOrder="2"/>
    </xf>
    <xf numFmtId="0" fontId="2" fillId="0" borderId="6" xfId="0" applyFont="1" applyBorder="1" applyAlignment="1">
      <alignment horizontal="center" vertical="center" readingOrder="2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8" xfId="0" applyFont="1" applyBorder="1" applyAlignment="1">
      <alignment horizontal="center" vertical="center" wrapText="1" readingOrder="2"/>
    </xf>
    <xf numFmtId="0" fontId="2" fillId="0" borderId="26" xfId="0" applyFont="1" applyFill="1" applyBorder="1" applyAlignment="1">
      <alignment horizontal="center" vertical="center" readingOrder="2"/>
    </xf>
    <xf numFmtId="0" fontId="2" fillId="0" borderId="27" xfId="0" applyFont="1" applyFill="1" applyBorder="1" applyAlignment="1">
      <alignment horizontal="center" vertical="center" readingOrder="2"/>
    </xf>
    <xf numFmtId="0" fontId="2" fillId="0" borderId="11" xfId="0" applyFont="1" applyFill="1" applyBorder="1" applyAlignment="1">
      <alignment horizontal="center" vertical="center" readingOrder="2"/>
    </xf>
    <xf numFmtId="0" fontId="2" fillId="0" borderId="41" xfId="0" applyFont="1" applyBorder="1" applyAlignment="1">
      <alignment horizontal="center" vertical="center" readingOrder="2"/>
    </xf>
    <xf numFmtId="0" fontId="2" fillId="0" borderId="32" xfId="0" applyFont="1" applyBorder="1" applyAlignment="1">
      <alignment horizontal="center" vertical="center" readingOrder="2"/>
    </xf>
    <xf numFmtId="0" fontId="2" fillId="0" borderId="33" xfId="0" applyFont="1" applyBorder="1" applyAlignment="1">
      <alignment horizontal="center" vertical="center" readingOrder="2"/>
    </xf>
    <xf numFmtId="0" fontId="2" fillId="0" borderId="44" xfId="0" applyFont="1" applyBorder="1" applyAlignment="1">
      <alignment horizontal="center" vertical="center" readingOrder="2"/>
    </xf>
    <xf numFmtId="0" fontId="2" fillId="0" borderId="36" xfId="0" applyFont="1" applyBorder="1" applyAlignment="1">
      <alignment horizontal="center" vertical="center" readingOrder="2"/>
    </xf>
    <xf numFmtId="0" fontId="2" fillId="0" borderId="1" xfId="0" applyFont="1" applyBorder="1" applyAlignment="1">
      <alignment horizontal="center" vertical="center" readingOrder="2"/>
    </xf>
    <xf numFmtId="0" fontId="2" fillId="0" borderId="37" xfId="0" applyFont="1" applyBorder="1" applyAlignment="1">
      <alignment horizontal="center" vertical="center" readingOrder="2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0" fontId="2" fillId="0" borderId="24" xfId="0" applyFont="1" applyBorder="1" applyAlignment="1">
      <alignment horizontal="center" vertical="center" wrapText="1" readingOrder="2"/>
    </xf>
    <xf numFmtId="0" fontId="12" fillId="0" borderId="16" xfId="0" applyFont="1" applyBorder="1" applyAlignment="1">
      <alignment horizontal="center" vertical="center" wrapText="1" readingOrder="1"/>
    </xf>
    <xf numFmtId="0" fontId="12" fillId="0" borderId="4" xfId="0" applyFont="1" applyBorder="1" applyAlignment="1">
      <alignment horizontal="center" vertical="center" wrapText="1" readingOrder="1"/>
    </xf>
    <xf numFmtId="0" fontId="2" fillId="0" borderId="21" xfId="0" applyFont="1" applyBorder="1" applyAlignment="1">
      <alignment horizontal="center" vertical="center" readingOrder="2"/>
    </xf>
    <xf numFmtId="0" fontId="2" fillId="0" borderId="15" xfId="0" applyFont="1" applyFill="1" applyBorder="1" applyAlignment="1">
      <alignment horizontal="center" vertical="center" wrapText="1" readingOrder="2"/>
    </xf>
    <xf numFmtId="0" fontId="2" fillId="0" borderId="25" xfId="0" applyFont="1" applyFill="1" applyBorder="1" applyAlignment="1">
      <alignment horizontal="center" vertical="center" wrapText="1" readingOrder="2"/>
    </xf>
    <xf numFmtId="0" fontId="2" fillId="0" borderId="13" xfId="0" applyFont="1" applyFill="1" applyBorder="1" applyAlignment="1">
      <alignment horizontal="center" vertical="center" wrapText="1" readingOrder="2"/>
    </xf>
    <xf numFmtId="0" fontId="2" fillId="0" borderId="38" xfId="0" applyFont="1" applyBorder="1" applyAlignment="1">
      <alignment horizontal="center" vertical="center" wrapText="1" readingOrder="2"/>
    </xf>
    <xf numFmtId="0" fontId="2" fillId="0" borderId="39" xfId="0" applyFont="1" applyBorder="1" applyAlignment="1">
      <alignment horizontal="center" vertical="center" wrapText="1" readingOrder="2"/>
    </xf>
    <xf numFmtId="0" fontId="2" fillId="0" borderId="40" xfId="0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2"/>
    </xf>
    <xf numFmtId="0" fontId="2" fillId="0" borderId="45" xfId="0" applyFont="1" applyBorder="1" applyAlignment="1">
      <alignment horizontal="center" vertical="center" readingOrder="2"/>
    </xf>
    <xf numFmtId="0" fontId="2" fillId="0" borderId="39" xfId="0" applyFont="1" applyBorder="1" applyAlignment="1">
      <alignment horizontal="center" vertical="center" readingOrder="2"/>
    </xf>
    <xf numFmtId="0" fontId="2" fillId="0" borderId="46" xfId="0" applyFont="1" applyBorder="1" applyAlignment="1">
      <alignment horizontal="center" vertical="center" readingOrder="2"/>
    </xf>
    <xf numFmtId="0" fontId="2" fillId="0" borderId="2" xfId="0" applyFont="1" applyBorder="1" applyAlignment="1">
      <alignment horizontal="center" vertical="center" readingOrder="2"/>
    </xf>
    <xf numFmtId="0" fontId="2" fillId="0" borderId="29" xfId="0" applyFont="1" applyBorder="1" applyAlignment="1">
      <alignment horizontal="center" vertical="center" wrapText="1" readingOrder="2"/>
    </xf>
    <xf numFmtId="0" fontId="2" fillId="0" borderId="30" xfId="0" applyFont="1" applyBorder="1" applyAlignment="1">
      <alignment horizontal="center" vertical="center" wrapText="1" readingOrder="2"/>
    </xf>
    <xf numFmtId="0" fontId="2" fillId="0" borderId="31" xfId="0" applyFont="1" applyBorder="1" applyAlignment="1">
      <alignment horizontal="center" vertical="center" wrapText="1" readingOrder="2"/>
    </xf>
    <xf numFmtId="0" fontId="2" fillId="0" borderId="38" xfId="0" applyFont="1" applyBorder="1" applyAlignment="1">
      <alignment horizontal="center" vertical="center" readingOrder="2"/>
    </xf>
    <xf numFmtId="0" fontId="2" fillId="0" borderId="40" xfId="0" applyFont="1" applyBorder="1" applyAlignment="1">
      <alignment horizontal="center" vertical="center" readingOrder="2"/>
    </xf>
    <xf numFmtId="0" fontId="2" fillId="0" borderId="15" xfId="0" applyFont="1" applyBorder="1" applyAlignment="1">
      <alignment horizontal="center" vertical="center" readingOrder="2"/>
    </xf>
    <xf numFmtId="0" fontId="2" fillId="0" borderId="25" xfId="0" applyFont="1" applyBorder="1" applyAlignment="1">
      <alignment horizontal="center" vertical="center" readingOrder="2"/>
    </xf>
    <xf numFmtId="0" fontId="2" fillId="0" borderId="3" xfId="0" applyFont="1" applyBorder="1" applyAlignment="1">
      <alignment horizontal="center" vertical="center" readingOrder="2"/>
    </xf>
    <xf numFmtId="0" fontId="2" fillId="0" borderId="28" xfId="0" applyFont="1" applyFill="1" applyBorder="1" applyAlignment="1">
      <alignment horizontal="center" vertical="center" readingOrder="2"/>
    </xf>
    <xf numFmtId="0" fontId="1" fillId="0" borderId="0" xfId="0" applyFont="1" applyAlignment="1">
      <alignment horizontal="center" readingOrder="2"/>
    </xf>
    <xf numFmtId="0" fontId="1" fillId="0" borderId="42" xfId="0" applyFont="1" applyBorder="1" applyAlignment="1">
      <alignment horizontal="center" readingOrder="2"/>
    </xf>
    <xf numFmtId="0" fontId="1" fillId="0" borderId="0" xfId="0" applyFont="1" applyBorder="1" applyAlignment="1">
      <alignment horizontal="center" readingOrder="2"/>
    </xf>
    <xf numFmtId="0" fontId="2" fillId="0" borderId="6" xfId="0" applyFont="1" applyFill="1" applyBorder="1" applyAlignment="1">
      <alignment horizontal="center" vertical="center" wrapText="1" readingOrder="2"/>
    </xf>
    <xf numFmtId="0" fontId="2" fillId="0" borderId="6" xfId="0" applyFont="1" applyFill="1" applyBorder="1" applyAlignment="1">
      <alignment horizontal="center" vertical="center" readingOrder="2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1</xdr:row>
      <xdr:rowOff>0</xdr:rowOff>
    </xdr:from>
    <xdr:to>
      <xdr:col>24</xdr:col>
      <xdr:colOff>539750</xdr:colOff>
      <xdr:row>5</xdr:row>
      <xdr:rowOff>120650</xdr:rowOff>
    </xdr:to>
    <xdr:pic>
      <xdr:nvPicPr>
        <xdr:cNvPr id="1667" name="Picture 4">
          <a:extLst>
            <a:ext uri="{FF2B5EF4-FFF2-40B4-BE49-F238E27FC236}">
              <a16:creationId xmlns:a16="http://schemas.microsoft.com/office/drawing/2014/main" id="{71E46C3A-1AD2-9F85-3D2A-41A8E85ED6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291550" y="298450"/>
          <a:ext cx="261620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57</xdr:col>
      <xdr:colOff>1047750</xdr:colOff>
      <xdr:row>0</xdr:row>
      <xdr:rowOff>133350</xdr:rowOff>
    </xdr:from>
    <xdr:to>
      <xdr:col>59</xdr:col>
      <xdr:colOff>768350</xdr:colOff>
      <xdr:row>4</xdr:row>
      <xdr:rowOff>266700</xdr:rowOff>
    </xdr:to>
    <xdr:pic>
      <xdr:nvPicPr>
        <xdr:cNvPr id="1668" name="Picture 4">
          <a:extLst>
            <a:ext uri="{FF2B5EF4-FFF2-40B4-BE49-F238E27FC236}">
              <a16:creationId xmlns:a16="http://schemas.microsoft.com/office/drawing/2014/main" id="{D9893E98-C50B-7727-492B-28AE41185F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54800" y="133350"/>
          <a:ext cx="2578100" cy="132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43</xdr:col>
      <xdr:colOff>228600</xdr:colOff>
      <xdr:row>1</xdr:row>
      <xdr:rowOff>69850</xdr:rowOff>
    </xdr:from>
    <xdr:to>
      <xdr:col>46</xdr:col>
      <xdr:colOff>241300</xdr:colOff>
      <xdr:row>4</xdr:row>
      <xdr:rowOff>222250</xdr:rowOff>
    </xdr:to>
    <xdr:pic>
      <xdr:nvPicPr>
        <xdr:cNvPr id="1669" name="Picture 4">
          <a:extLst>
            <a:ext uri="{FF2B5EF4-FFF2-40B4-BE49-F238E27FC236}">
              <a16:creationId xmlns:a16="http://schemas.microsoft.com/office/drawing/2014/main" id="{2A8E680E-2C93-0541-6D22-E3360F3DF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910850" y="368300"/>
          <a:ext cx="28765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4</xdr:row>
      <xdr:rowOff>311150</xdr:rowOff>
    </xdr:to>
    <xdr:pic>
      <xdr:nvPicPr>
        <xdr:cNvPr id="102421" name="Picture 4">
          <a:extLst>
            <a:ext uri="{FF2B5EF4-FFF2-40B4-BE49-F238E27FC236}">
              <a16:creationId xmlns:a16="http://schemas.microsoft.com/office/drawing/2014/main" id="{12207954-EAE9-3A7D-8D12-B3668B31EC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144950" y="330200"/>
          <a:ext cx="2609850" cy="130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4</xdr:row>
      <xdr:rowOff>311150</xdr:rowOff>
    </xdr:to>
    <xdr:pic>
      <xdr:nvPicPr>
        <xdr:cNvPr id="102422" name="Picture 4">
          <a:extLst>
            <a:ext uri="{FF2B5EF4-FFF2-40B4-BE49-F238E27FC236}">
              <a16:creationId xmlns:a16="http://schemas.microsoft.com/office/drawing/2014/main" id="{54DCF2F6-13F7-1AE4-74E0-2EE7EA9159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144950" y="330200"/>
          <a:ext cx="2609850" cy="130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41</xdr:col>
      <xdr:colOff>577850</xdr:colOff>
      <xdr:row>0</xdr:row>
      <xdr:rowOff>234950</xdr:rowOff>
    </xdr:from>
    <xdr:to>
      <xdr:col>45</xdr:col>
      <xdr:colOff>19050</xdr:colOff>
      <xdr:row>3</xdr:row>
      <xdr:rowOff>279400</xdr:rowOff>
    </xdr:to>
    <xdr:pic>
      <xdr:nvPicPr>
        <xdr:cNvPr id="102423" name="Picture 4">
          <a:extLst>
            <a:ext uri="{FF2B5EF4-FFF2-40B4-BE49-F238E27FC236}">
              <a16:creationId xmlns:a16="http://schemas.microsoft.com/office/drawing/2014/main" id="{598AA9EB-9C9F-19C8-AAC4-E0E7DD590A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579850" y="234950"/>
          <a:ext cx="4152900" cy="1035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57</xdr:col>
      <xdr:colOff>1168400</xdr:colOff>
      <xdr:row>0</xdr:row>
      <xdr:rowOff>95250</xdr:rowOff>
    </xdr:from>
    <xdr:to>
      <xdr:col>61</xdr:col>
      <xdr:colOff>857250</xdr:colOff>
      <xdr:row>3</xdr:row>
      <xdr:rowOff>139700</xdr:rowOff>
    </xdr:to>
    <xdr:pic>
      <xdr:nvPicPr>
        <xdr:cNvPr id="102424" name="Picture 5">
          <a:extLst>
            <a:ext uri="{FF2B5EF4-FFF2-40B4-BE49-F238E27FC236}">
              <a16:creationId xmlns:a16="http://schemas.microsoft.com/office/drawing/2014/main" id="{0FFA9B69-D878-99B7-B630-DC43BBAD5F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31450" y="95250"/>
          <a:ext cx="4140200" cy="1035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3</xdr:row>
      <xdr:rowOff>266700</xdr:rowOff>
    </xdr:to>
    <xdr:pic>
      <xdr:nvPicPr>
        <xdr:cNvPr id="64121" name="Picture 4">
          <a:extLst>
            <a:ext uri="{FF2B5EF4-FFF2-40B4-BE49-F238E27FC236}">
              <a16:creationId xmlns:a16="http://schemas.microsoft.com/office/drawing/2014/main" id="{92F4C313-095C-F402-2727-D578602F62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985950" y="520700"/>
          <a:ext cx="2609850" cy="130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3</xdr:row>
      <xdr:rowOff>266700</xdr:rowOff>
    </xdr:to>
    <xdr:pic>
      <xdr:nvPicPr>
        <xdr:cNvPr id="64122" name="Picture 4">
          <a:extLst>
            <a:ext uri="{FF2B5EF4-FFF2-40B4-BE49-F238E27FC236}">
              <a16:creationId xmlns:a16="http://schemas.microsoft.com/office/drawing/2014/main" id="{0EE0A639-482D-6E6F-9022-98008C1D4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985950" y="520700"/>
          <a:ext cx="2609850" cy="130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57</xdr:col>
      <xdr:colOff>247650</xdr:colOff>
      <xdr:row>0</xdr:row>
      <xdr:rowOff>101600</xdr:rowOff>
    </xdr:from>
    <xdr:to>
      <xdr:col>61</xdr:col>
      <xdr:colOff>361950</xdr:colOff>
      <xdr:row>2</xdr:row>
      <xdr:rowOff>381000</xdr:rowOff>
    </xdr:to>
    <xdr:pic>
      <xdr:nvPicPr>
        <xdr:cNvPr id="64123" name="Picture 4">
          <a:extLst>
            <a:ext uri="{FF2B5EF4-FFF2-40B4-BE49-F238E27FC236}">
              <a16:creationId xmlns:a16="http://schemas.microsoft.com/office/drawing/2014/main" id="{2EE84551-790D-21B9-E6CE-606593929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126750" y="101600"/>
          <a:ext cx="4241800" cy="1320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42</xdr:col>
      <xdr:colOff>660400</xdr:colOff>
      <xdr:row>0</xdr:row>
      <xdr:rowOff>266700</xdr:rowOff>
    </xdr:from>
    <xdr:to>
      <xdr:col>46</xdr:col>
      <xdr:colOff>628650</xdr:colOff>
      <xdr:row>2</xdr:row>
      <xdr:rowOff>266700</xdr:rowOff>
    </xdr:to>
    <xdr:pic>
      <xdr:nvPicPr>
        <xdr:cNvPr id="64124" name="Picture 5">
          <a:extLst>
            <a:ext uri="{FF2B5EF4-FFF2-40B4-BE49-F238E27FC236}">
              <a16:creationId xmlns:a16="http://schemas.microsoft.com/office/drawing/2014/main" id="{FE1D8316-343D-2906-0FC8-7B18AF0B61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446250" y="266700"/>
          <a:ext cx="4159250" cy="1041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5</xdr:row>
      <xdr:rowOff>120650</xdr:rowOff>
    </xdr:to>
    <xdr:pic>
      <xdr:nvPicPr>
        <xdr:cNvPr id="84537" name="Picture 4">
          <a:extLst>
            <a:ext uri="{FF2B5EF4-FFF2-40B4-BE49-F238E27FC236}">
              <a16:creationId xmlns:a16="http://schemas.microsoft.com/office/drawing/2014/main" id="{D4BD23E1-2039-6CB9-F8F9-C9FF5B7C89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11900" y="298450"/>
          <a:ext cx="26098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5</xdr:row>
      <xdr:rowOff>120650</xdr:rowOff>
    </xdr:to>
    <xdr:pic>
      <xdr:nvPicPr>
        <xdr:cNvPr id="84538" name="Picture 4">
          <a:extLst>
            <a:ext uri="{FF2B5EF4-FFF2-40B4-BE49-F238E27FC236}">
              <a16:creationId xmlns:a16="http://schemas.microsoft.com/office/drawing/2014/main" id="{49732808-BE04-17D0-C5CB-8A0937BB2F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11900" y="298450"/>
          <a:ext cx="26098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57</xdr:col>
      <xdr:colOff>247650</xdr:colOff>
      <xdr:row>0</xdr:row>
      <xdr:rowOff>107950</xdr:rowOff>
    </xdr:from>
    <xdr:to>
      <xdr:col>61</xdr:col>
      <xdr:colOff>361950</xdr:colOff>
      <xdr:row>4</xdr:row>
      <xdr:rowOff>241300</xdr:rowOff>
    </xdr:to>
    <xdr:pic>
      <xdr:nvPicPr>
        <xdr:cNvPr id="84539" name="Picture 4">
          <a:extLst>
            <a:ext uri="{FF2B5EF4-FFF2-40B4-BE49-F238E27FC236}">
              <a16:creationId xmlns:a16="http://schemas.microsoft.com/office/drawing/2014/main" id="{DE881ACE-9B27-F2C1-4651-39C5AEEFB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967250" y="107950"/>
          <a:ext cx="4241800" cy="132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42</xdr:col>
      <xdr:colOff>781050</xdr:colOff>
      <xdr:row>1</xdr:row>
      <xdr:rowOff>0</xdr:rowOff>
    </xdr:from>
    <xdr:to>
      <xdr:col>46</xdr:col>
      <xdr:colOff>736600</xdr:colOff>
      <xdr:row>4</xdr:row>
      <xdr:rowOff>152400</xdr:rowOff>
    </xdr:to>
    <xdr:pic>
      <xdr:nvPicPr>
        <xdr:cNvPr id="84540" name="Picture 4">
          <a:extLst>
            <a:ext uri="{FF2B5EF4-FFF2-40B4-BE49-F238E27FC236}">
              <a16:creationId xmlns:a16="http://schemas.microsoft.com/office/drawing/2014/main" id="{8DC8AC30-293A-EE18-1903-CF4A18CA4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600950" y="298450"/>
          <a:ext cx="41465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5</xdr:row>
      <xdr:rowOff>120650</xdr:rowOff>
    </xdr:to>
    <xdr:pic>
      <xdr:nvPicPr>
        <xdr:cNvPr id="85561" name="Picture 4">
          <a:extLst>
            <a:ext uri="{FF2B5EF4-FFF2-40B4-BE49-F238E27FC236}">
              <a16:creationId xmlns:a16="http://schemas.microsoft.com/office/drawing/2014/main" id="{76F3956D-8BF6-2727-A8B6-AD8C392994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11900" y="298450"/>
          <a:ext cx="26098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5</xdr:row>
      <xdr:rowOff>120650</xdr:rowOff>
    </xdr:to>
    <xdr:pic>
      <xdr:nvPicPr>
        <xdr:cNvPr id="85562" name="Picture 4">
          <a:extLst>
            <a:ext uri="{FF2B5EF4-FFF2-40B4-BE49-F238E27FC236}">
              <a16:creationId xmlns:a16="http://schemas.microsoft.com/office/drawing/2014/main" id="{87C7BBD5-AE9B-E389-64FB-8C73EF1E8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11900" y="298450"/>
          <a:ext cx="26098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57</xdr:col>
      <xdr:colOff>247650</xdr:colOff>
      <xdr:row>0</xdr:row>
      <xdr:rowOff>107950</xdr:rowOff>
    </xdr:from>
    <xdr:to>
      <xdr:col>61</xdr:col>
      <xdr:colOff>361950</xdr:colOff>
      <xdr:row>4</xdr:row>
      <xdr:rowOff>241300</xdr:rowOff>
    </xdr:to>
    <xdr:pic>
      <xdr:nvPicPr>
        <xdr:cNvPr id="85563" name="Picture 4">
          <a:extLst>
            <a:ext uri="{FF2B5EF4-FFF2-40B4-BE49-F238E27FC236}">
              <a16:creationId xmlns:a16="http://schemas.microsoft.com/office/drawing/2014/main" id="{DD43DECE-4535-B439-649B-66BA0D907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967250" y="107950"/>
          <a:ext cx="4241800" cy="132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42</xdr:col>
      <xdr:colOff>209550</xdr:colOff>
      <xdr:row>1</xdr:row>
      <xdr:rowOff>57150</xdr:rowOff>
    </xdr:from>
    <xdr:to>
      <xdr:col>46</xdr:col>
      <xdr:colOff>177800</xdr:colOff>
      <xdr:row>4</xdr:row>
      <xdr:rowOff>203200</xdr:rowOff>
    </xdr:to>
    <xdr:pic>
      <xdr:nvPicPr>
        <xdr:cNvPr id="85564" name="Picture 4">
          <a:extLst>
            <a:ext uri="{FF2B5EF4-FFF2-40B4-BE49-F238E27FC236}">
              <a16:creationId xmlns:a16="http://schemas.microsoft.com/office/drawing/2014/main" id="{37FC9CA6-4C2E-6091-E086-1BD412560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159750" y="355600"/>
          <a:ext cx="4159250" cy="1041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5</xdr:row>
      <xdr:rowOff>120650</xdr:rowOff>
    </xdr:to>
    <xdr:pic>
      <xdr:nvPicPr>
        <xdr:cNvPr id="86585" name="Picture 4">
          <a:extLst>
            <a:ext uri="{FF2B5EF4-FFF2-40B4-BE49-F238E27FC236}">
              <a16:creationId xmlns:a16="http://schemas.microsoft.com/office/drawing/2014/main" id="{CE33EFCD-3F0E-AAE5-D91C-271465C57E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11900" y="298450"/>
          <a:ext cx="26098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5</xdr:row>
      <xdr:rowOff>120650</xdr:rowOff>
    </xdr:to>
    <xdr:pic>
      <xdr:nvPicPr>
        <xdr:cNvPr id="86586" name="Picture 4">
          <a:extLst>
            <a:ext uri="{FF2B5EF4-FFF2-40B4-BE49-F238E27FC236}">
              <a16:creationId xmlns:a16="http://schemas.microsoft.com/office/drawing/2014/main" id="{81C4893A-E41B-248B-394F-E7AE17B4E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11900" y="298450"/>
          <a:ext cx="26098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57</xdr:col>
      <xdr:colOff>247650</xdr:colOff>
      <xdr:row>0</xdr:row>
      <xdr:rowOff>107950</xdr:rowOff>
    </xdr:from>
    <xdr:to>
      <xdr:col>61</xdr:col>
      <xdr:colOff>361950</xdr:colOff>
      <xdr:row>4</xdr:row>
      <xdr:rowOff>241300</xdr:rowOff>
    </xdr:to>
    <xdr:pic>
      <xdr:nvPicPr>
        <xdr:cNvPr id="86587" name="Picture 4">
          <a:extLst>
            <a:ext uri="{FF2B5EF4-FFF2-40B4-BE49-F238E27FC236}">
              <a16:creationId xmlns:a16="http://schemas.microsoft.com/office/drawing/2014/main" id="{3D1D3AD3-E7E1-BDEC-9251-A1D2B2CFA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967250" y="107950"/>
          <a:ext cx="4241800" cy="132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42</xdr:col>
      <xdr:colOff>546100</xdr:colOff>
      <xdr:row>1</xdr:row>
      <xdr:rowOff>69850</xdr:rowOff>
    </xdr:from>
    <xdr:to>
      <xdr:col>46</xdr:col>
      <xdr:colOff>508000</xdr:colOff>
      <xdr:row>4</xdr:row>
      <xdr:rowOff>222250</xdr:rowOff>
    </xdr:to>
    <xdr:pic>
      <xdr:nvPicPr>
        <xdr:cNvPr id="86588" name="Picture 4">
          <a:extLst>
            <a:ext uri="{FF2B5EF4-FFF2-40B4-BE49-F238E27FC236}">
              <a16:creationId xmlns:a16="http://schemas.microsoft.com/office/drawing/2014/main" id="{C69FF5FB-597B-DD15-6AFD-56FDCE9288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829550" y="368300"/>
          <a:ext cx="415290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5</xdr:row>
      <xdr:rowOff>120650</xdr:rowOff>
    </xdr:to>
    <xdr:pic>
      <xdr:nvPicPr>
        <xdr:cNvPr id="87609" name="Picture 4">
          <a:extLst>
            <a:ext uri="{FF2B5EF4-FFF2-40B4-BE49-F238E27FC236}">
              <a16:creationId xmlns:a16="http://schemas.microsoft.com/office/drawing/2014/main" id="{12EE3055-BE7A-3D55-189B-14BBB71D3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11900" y="298450"/>
          <a:ext cx="26098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5</xdr:row>
      <xdr:rowOff>120650</xdr:rowOff>
    </xdr:to>
    <xdr:pic>
      <xdr:nvPicPr>
        <xdr:cNvPr id="87610" name="Picture 4">
          <a:extLst>
            <a:ext uri="{FF2B5EF4-FFF2-40B4-BE49-F238E27FC236}">
              <a16:creationId xmlns:a16="http://schemas.microsoft.com/office/drawing/2014/main" id="{3CF03E6C-3462-3507-5FEF-5D6178BCB3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11900" y="298450"/>
          <a:ext cx="26098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57</xdr:col>
      <xdr:colOff>247650</xdr:colOff>
      <xdr:row>0</xdr:row>
      <xdr:rowOff>107950</xdr:rowOff>
    </xdr:from>
    <xdr:to>
      <xdr:col>61</xdr:col>
      <xdr:colOff>361950</xdr:colOff>
      <xdr:row>4</xdr:row>
      <xdr:rowOff>241300</xdr:rowOff>
    </xdr:to>
    <xdr:pic>
      <xdr:nvPicPr>
        <xdr:cNvPr id="87611" name="Picture 4">
          <a:extLst>
            <a:ext uri="{FF2B5EF4-FFF2-40B4-BE49-F238E27FC236}">
              <a16:creationId xmlns:a16="http://schemas.microsoft.com/office/drawing/2014/main" id="{B7E17CEC-4E5E-547A-29A7-AD40AE11B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967250" y="107950"/>
          <a:ext cx="4241800" cy="132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42</xdr:col>
      <xdr:colOff>711200</xdr:colOff>
      <xdr:row>1</xdr:row>
      <xdr:rowOff>114300</xdr:rowOff>
    </xdr:from>
    <xdr:to>
      <xdr:col>46</xdr:col>
      <xdr:colOff>666750</xdr:colOff>
      <xdr:row>4</xdr:row>
      <xdr:rowOff>266700</xdr:rowOff>
    </xdr:to>
    <xdr:pic>
      <xdr:nvPicPr>
        <xdr:cNvPr id="87612" name="Picture 4">
          <a:extLst>
            <a:ext uri="{FF2B5EF4-FFF2-40B4-BE49-F238E27FC236}">
              <a16:creationId xmlns:a16="http://schemas.microsoft.com/office/drawing/2014/main" id="{55CFA360-0358-2B23-E256-87E715A76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670800" y="412750"/>
          <a:ext cx="41465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5</xdr:row>
      <xdr:rowOff>120650</xdr:rowOff>
    </xdr:to>
    <xdr:pic>
      <xdr:nvPicPr>
        <xdr:cNvPr id="88633" name="Picture 4">
          <a:extLst>
            <a:ext uri="{FF2B5EF4-FFF2-40B4-BE49-F238E27FC236}">
              <a16:creationId xmlns:a16="http://schemas.microsoft.com/office/drawing/2014/main" id="{61FB615B-B8AD-E80C-B77F-8732C91B34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11900" y="298450"/>
          <a:ext cx="26098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5</xdr:row>
      <xdr:rowOff>120650</xdr:rowOff>
    </xdr:to>
    <xdr:pic>
      <xdr:nvPicPr>
        <xdr:cNvPr id="88634" name="Picture 4">
          <a:extLst>
            <a:ext uri="{FF2B5EF4-FFF2-40B4-BE49-F238E27FC236}">
              <a16:creationId xmlns:a16="http://schemas.microsoft.com/office/drawing/2014/main" id="{0B0A7378-3896-92E3-82EE-4322F7C2E5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11900" y="298450"/>
          <a:ext cx="26098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57</xdr:col>
      <xdr:colOff>247650</xdr:colOff>
      <xdr:row>0</xdr:row>
      <xdr:rowOff>107950</xdr:rowOff>
    </xdr:from>
    <xdr:to>
      <xdr:col>61</xdr:col>
      <xdr:colOff>361950</xdr:colOff>
      <xdr:row>4</xdr:row>
      <xdr:rowOff>241300</xdr:rowOff>
    </xdr:to>
    <xdr:pic>
      <xdr:nvPicPr>
        <xdr:cNvPr id="88635" name="Picture 4">
          <a:extLst>
            <a:ext uri="{FF2B5EF4-FFF2-40B4-BE49-F238E27FC236}">
              <a16:creationId xmlns:a16="http://schemas.microsoft.com/office/drawing/2014/main" id="{94B94B2C-C9B2-DACC-A416-F245AB34D1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967250" y="107950"/>
          <a:ext cx="4241800" cy="132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43</xdr:col>
      <xdr:colOff>69850</xdr:colOff>
      <xdr:row>1</xdr:row>
      <xdr:rowOff>31750</xdr:rowOff>
    </xdr:from>
    <xdr:to>
      <xdr:col>47</xdr:col>
      <xdr:colOff>107950</xdr:colOff>
      <xdr:row>4</xdr:row>
      <xdr:rowOff>184150</xdr:rowOff>
    </xdr:to>
    <xdr:pic>
      <xdr:nvPicPr>
        <xdr:cNvPr id="88636" name="Picture 4">
          <a:extLst>
            <a:ext uri="{FF2B5EF4-FFF2-40B4-BE49-F238E27FC236}">
              <a16:creationId xmlns:a16="http://schemas.microsoft.com/office/drawing/2014/main" id="{307C72A0-4720-40ED-6DA1-6D8D00D126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251700" y="330200"/>
          <a:ext cx="41592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5</xdr:row>
      <xdr:rowOff>120650</xdr:rowOff>
    </xdr:to>
    <xdr:pic>
      <xdr:nvPicPr>
        <xdr:cNvPr id="89657" name="Picture 4">
          <a:extLst>
            <a:ext uri="{FF2B5EF4-FFF2-40B4-BE49-F238E27FC236}">
              <a16:creationId xmlns:a16="http://schemas.microsoft.com/office/drawing/2014/main" id="{E29786FC-C63F-34AD-E167-8D609DABE5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11900" y="298450"/>
          <a:ext cx="26098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5</xdr:row>
      <xdr:rowOff>120650</xdr:rowOff>
    </xdr:to>
    <xdr:pic>
      <xdr:nvPicPr>
        <xdr:cNvPr id="89658" name="Picture 4">
          <a:extLst>
            <a:ext uri="{FF2B5EF4-FFF2-40B4-BE49-F238E27FC236}">
              <a16:creationId xmlns:a16="http://schemas.microsoft.com/office/drawing/2014/main" id="{E6DDF38C-C50E-2D32-CB53-9CEF4F0A0E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11900" y="298450"/>
          <a:ext cx="26098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57</xdr:col>
      <xdr:colOff>247650</xdr:colOff>
      <xdr:row>0</xdr:row>
      <xdr:rowOff>107950</xdr:rowOff>
    </xdr:from>
    <xdr:to>
      <xdr:col>61</xdr:col>
      <xdr:colOff>361950</xdr:colOff>
      <xdr:row>4</xdr:row>
      <xdr:rowOff>241300</xdr:rowOff>
    </xdr:to>
    <xdr:pic>
      <xdr:nvPicPr>
        <xdr:cNvPr id="89659" name="Picture 4">
          <a:extLst>
            <a:ext uri="{FF2B5EF4-FFF2-40B4-BE49-F238E27FC236}">
              <a16:creationId xmlns:a16="http://schemas.microsoft.com/office/drawing/2014/main" id="{E2919941-1403-A9D3-B7E5-AA1FE5CA7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967250" y="107950"/>
          <a:ext cx="4241800" cy="132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43</xdr:col>
      <xdr:colOff>69850</xdr:colOff>
      <xdr:row>1</xdr:row>
      <xdr:rowOff>31750</xdr:rowOff>
    </xdr:from>
    <xdr:to>
      <xdr:col>47</xdr:col>
      <xdr:colOff>107950</xdr:colOff>
      <xdr:row>4</xdr:row>
      <xdr:rowOff>184150</xdr:rowOff>
    </xdr:to>
    <xdr:pic>
      <xdr:nvPicPr>
        <xdr:cNvPr id="89660" name="Picture 4">
          <a:extLst>
            <a:ext uri="{FF2B5EF4-FFF2-40B4-BE49-F238E27FC236}">
              <a16:creationId xmlns:a16="http://schemas.microsoft.com/office/drawing/2014/main" id="{10FD06E0-D012-8B1E-A803-15268E15E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251700" y="330200"/>
          <a:ext cx="41592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5</xdr:row>
      <xdr:rowOff>120650</xdr:rowOff>
    </xdr:to>
    <xdr:pic>
      <xdr:nvPicPr>
        <xdr:cNvPr id="90681" name="Picture 4">
          <a:extLst>
            <a:ext uri="{FF2B5EF4-FFF2-40B4-BE49-F238E27FC236}">
              <a16:creationId xmlns:a16="http://schemas.microsoft.com/office/drawing/2014/main" id="{8A336F4C-5AE3-A492-F3E5-19F943C880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11900" y="298450"/>
          <a:ext cx="26098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5</xdr:row>
      <xdr:rowOff>120650</xdr:rowOff>
    </xdr:to>
    <xdr:pic>
      <xdr:nvPicPr>
        <xdr:cNvPr id="90682" name="Picture 4">
          <a:extLst>
            <a:ext uri="{FF2B5EF4-FFF2-40B4-BE49-F238E27FC236}">
              <a16:creationId xmlns:a16="http://schemas.microsoft.com/office/drawing/2014/main" id="{AB322165-4EA5-C564-158E-340653CA1C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11900" y="298450"/>
          <a:ext cx="26098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57</xdr:col>
      <xdr:colOff>247650</xdr:colOff>
      <xdr:row>0</xdr:row>
      <xdr:rowOff>107950</xdr:rowOff>
    </xdr:from>
    <xdr:to>
      <xdr:col>61</xdr:col>
      <xdr:colOff>361950</xdr:colOff>
      <xdr:row>4</xdr:row>
      <xdr:rowOff>241300</xdr:rowOff>
    </xdr:to>
    <xdr:pic>
      <xdr:nvPicPr>
        <xdr:cNvPr id="90683" name="Picture 4">
          <a:extLst>
            <a:ext uri="{FF2B5EF4-FFF2-40B4-BE49-F238E27FC236}">
              <a16:creationId xmlns:a16="http://schemas.microsoft.com/office/drawing/2014/main" id="{BA93FF92-E903-C1F4-814C-676FD04B9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967250" y="107950"/>
          <a:ext cx="4241800" cy="132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43</xdr:col>
      <xdr:colOff>69850</xdr:colOff>
      <xdr:row>1</xdr:row>
      <xdr:rowOff>31750</xdr:rowOff>
    </xdr:from>
    <xdr:to>
      <xdr:col>47</xdr:col>
      <xdr:colOff>107950</xdr:colOff>
      <xdr:row>4</xdr:row>
      <xdr:rowOff>184150</xdr:rowOff>
    </xdr:to>
    <xdr:pic>
      <xdr:nvPicPr>
        <xdr:cNvPr id="90684" name="Picture 4">
          <a:extLst>
            <a:ext uri="{FF2B5EF4-FFF2-40B4-BE49-F238E27FC236}">
              <a16:creationId xmlns:a16="http://schemas.microsoft.com/office/drawing/2014/main" id="{F40A03FB-4D18-4A30-7498-81009187A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251700" y="330200"/>
          <a:ext cx="41592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5</xdr:row>
      <xdr:rowOff>120650</xdr:rowOff>
    </xdr:to>
    <xdr:pic>
      <xdr:nvPicPr>
        <xdr:cNvPr id="91705" name="Picture 4">
          <a:extLst>
            <a:ext uri="{FF2B5EF4-FFF2-40B4-BE49-F238E27FC236}">
              <a16:creationId xmlns:a16="http://schemas.microsoft.com/office/drawing/2014/main" id="{003F2657-AE68-3793-9DB3-5BFD39E38C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11900" y="298450"/>
          <a:ext cx="26098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5</xdr:row>
      <xdr:rowOff>120650</xdr:rowOff>
    </xdr:to>
    <xdr:pic>
      <xdr:nvPicPr>
        <xdr:cNvPr id="91706" name="Picture 4">
          <a:extLst>
            <a:ext uri="{FF2B5EF4-FFF2-40B4-BE49-F238E27FC236}">
              <a16:creationId xmlns:a16="http://schemas.microsoft.com/office/drawing/2014/main" id="{6FE14FF3-A0EA-495E-133E-13F5D3942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11900" y="298450"/>
          <a:ext cx="26098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57</xdr:col>
      <xdr:colOff>247650</xdr:colOff>
      <xdr:row>0</xdr:row>
      <xdr:rowOff>107950</xdr:rowOff>
    </xdr:from>
    <xdr:to>
      <xdr:col>61</xdr:col>
      <xdr:colOff>361950</xdr:colOff>
      <xdr:row>4</xdr:row>
      <xdr:rowOff>241300</xdr:rowOff>
    </xdr:to>
    <xdr:pic>
      <xdr:nvPicPr>
        <xdr:cNvPr id="91707" name="Picture 4">
          <a:extLst>
            <a:ext uri="{FF2B5EF4-FFF2-40B4-BE49-F238E27FC236}">
              <a16:creationId xmlns:a16="http://schemas.microsoft.com/office/drawing/2014/main" id="{D0B37F95-8679-EB64-980B-EAC94F66D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967250" y="107950"/>
          <a:ext cx="4241800" cy="132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43</xdr:col>
      <xdr:colOff>69850</xdr:colOff>
      <xdr:row>1</xdr:row>
      <xdr:rowOff>31750</xdr:rowOff>
    </xdr:from>
    <xdr:to>
      <xdr:col>47</xdr:col>
      <xdr:colOff>107950</xdr:colOff>
      <xdr:row>4</xdr:row>
      <xdr:rowOff>184150</xdr:rowOff>
    </xdr:to>
    <xdr:pic>
      <xdr:nvPicPr>
        <xdr:cNvPr id="91708" name="Picture 4">
          <a:extLst>
            <a:ext uri="{FF2B5EF4-FFF2-40B4-BE49-F238E27FC236}">
              <a16:creationId xmlns:a16="http://schemas.microsoft.com/office/drawing/2014/main" id="{4607B2A6-B7CA-70C8-3699-1B85D1B2B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251700" y="330200"/>
          <a:ext cx="41592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5</xdr:row>
      <xdr:rowOff>120650</xdr:rowOff>
    </xdr:to>
    <xdr:pic>
      <xdr:nvPicPr>
        <xdr:cNvPr id="92729" name="Picture 4">
          <a:extLst>
            <a:ext uri="{FF2B5EF4-FFF2-40B4-BE49-F238E27FC236}">
              <a16:creationId xmlns:a16="http://schemas.microsoft.com/office/drawing/2014/main" id="{0D6DC074-A3DF-B936-1C54-7B57C3BD35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11900" y="298450"/>
          <a:ext cx="26098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5</xdr:row>
      <xdr:rowOff>120650</xdr:rowOff>
    </xdr:to>
    <xdr:pic>
      <xdr:nvPicPr>
        <xdr:cNvPr id="92730" name="Picture 4">
          <a:extLst>
            <a:ext uri="{FF2B5EF4-FFF2-40B4-BE49-F238E27FC236}">
              <a16:creationId xmlns:a16="http://schemas.microsoft.com/office/drawing/2014/main" id="{8EED6045-1FC6-9B2B-9841-DBD695F11C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11900" y="298450"/>
          <a:ext cx="26098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57</xdr:col>
      <xdr:colOff>247650</xdr:colOff>
      <xdr:row>0</xdr:row>
      <xdr:rowOff>107950</xdr:rowOff>
    </xdr:from>
    <xdr:to>
      <xdr:col>61</xdr:col>
      <xdr:colOff>361950</xdr:colOff>
      <xdr:row>4</xdr:row>
      <xdr:rowOff>241300</xdr:rowOff>
    </xdr:to>
    <xdr:pic>
      <xdr:nvPicPr>
        <xdr:cNvPr id="92731" name="Picture 4">
          <a:extLst>
            <a:ext uri="{FF2B5EF4-FFF2-40B4-BE49-F238E27FC236}">
              <a16:creationId xmlns:a16="http://schemas.microsoft.com/office/drawing/2014/main" id="{783155EA-1D27-3EF1-4409-74F61A1977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967250" y="107950"/>
          <a:ext cx="4241800" cy="132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43</xdr:col>
      <xdr:colOff>69850</xdr:colOff>
      <xdr:row>1</xdr:row>
      <xdr:rowOff>31750</xdr:rowOff>
    </xdr:from>
    <xdr:to>
      <xdr:col>47</xdr:col>
      <xdr:colOff>107950</xdr:colOff>
      <xdr:row>4</xdr:row>
      <xdr:rowOff>184150</xdr:rowOff>
    </xdr:to>
    <xdr:pic>
      <xdr:nvPicPr>
        <xdr:cNvPr id="92732" name="Picture 4">
          <a:extLst>
            <a:ext uri="{FF2B5EF4-FFF2-40B4-BE49-F238E27FC236}">
              <a16:creationId xmlns:a16="http://schemas.microsoft.com/office/drawing/2014/main" id="{6C94D725-948C-A135-DEE4-B9781AFF4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251700" y="330200"/>
          <a:ext cx="41592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5</xdr:row>
      <xdr:rowOff>120650</xdr:rowOff>
    </xdr:to>
    <xdr:pic>
      <xdr:nvPicPr>
        <xdr:cNvPr id="93753" name="Picture 4">
          <a:extLst>
            <a:ext uri="{FF2B5EF4-FFF2-40B4-BE49-F238E27FC236}">
              <a16:creationId xmlns:a16="http://schemas.microsoft.com/office/drawing/2014/main" id="{4C51D985-F1A0-18C4-B3C4-726F2A0A0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11900" y="298450"/>
          <a:ext cx="26098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5</xdr:row>
      <xdr:rowOff>120650</xdr:rowOff>
    </xdr:to>
    <xdr:pic>
      <xdr:nvPicPr>
        <xdr:cNvPr id="93754" name="Picture 4">
          <a:extLst>
            <a:ext uri="{FF2B5EF4-FFF2-40B4-BE49-F238E27FC236}">
              <a16:creationId xmlns:a16="http://schemas.microsoft.com/office/drawing/2014/main" id="{56EA674E-21EF-D398-257D-CC5E5B1F47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11900" y="298450"/>
          <a:ext cx="26098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57</xdr:col>
      <xdr:colOff>247650</xdr:colOff>
      <xdr:row>0</xdr:row>
      <xdr:rowOff>107950</xdr:rowOff>
    </xdr:from>
    <xdr:to>
      <xdr:col>61</xdr:col>
      <xdr:colOff>361950</xdr:colOff>
      <xdr:row>4</xdr:row>
      <xdr:rowOff>241300</xdr:rowOff>
    </xdr:to>
    <xdr:pic>
      <xdr:nvPicPr>
        <xdr:cNvPr id="93755" name="Picture 4">
          <a:extLst>
            <a:ext uri="{FF2B5EF4-FFF2-40B4-BE49-F238E27FC236}">
              <a16:creationId xmlns:a16="http://schemas.microsoft.com/office/drawing/2014/main" id="{5157F4AC-FC25-C88C-DBC1-2EF8A8A3E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967250" y="107950"/>
          <a:ext cx="4241800" cy="132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42</xdr:col>
      <xdr:colOff>406400</xdr:colOff>
      <xdr:row>1</xdr:row>
      <xdr:rowOff>31750</xdr:rowOff>
    </xdr:from>
    <xdr:to>
      <xdr:col>46</xdr:col>
      <xdr:colOff>368300</xdr:colOff>
      <xdr:row>4</xdr:row>
      <xdr:rowOff>184150</xdr:rowOff>
    </xdr:to>
    <xdr:pic>
      <xdr:nvPicPr>
        <xdr:cNvPr id="93756" name="Picture 4">
          <a:extLst>
            <a:ext uri="{FF2B5EF4-FFF2-40B4-BE49-F238E27FC236}">
              <a16:creationId xmlns:a16="http://schemas.microsoft.com/office/drawing/2014/main" id="{F486F44A-7FD0-7B8D-1148-FB7A65306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969250" y="330200"/>
          <a:ext cx="415290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5</xdr:row>
      <xdr:rowOff>120650</xdr:rowOff>
    </xdr:to>
    <xdr:pic>
      <xdr:nvPicPr>
        <xdr:cNvPr id="94777" name="Picture 4">
          <a:extLst>
            <a:ext uri="{FF2B5EF4-FFF2-40B4-BE49-F238E27FC236}">
              <a16:creationId xmlns:a16="http://schemas.microsoft.com/office/drawing/2014/main" id="{FF756C6C-1EEA-117A-CC3E-47E788DC5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11900" y="298450"/>
          <a:ext cx="26098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5</xdr:row>
      <xdr:rowOff>120650</xdr:rowOff>
    </xdr:to>
    <xdr:pic>
      <xdr:nvPicPr>
        <xdr:cNvPr id="94778" name="Picture 4">
          <a:extLst>
            <a:ext uri="{FF2B5EF4-FFF2-40B4-BE49-F238E27FC236}">
              <a16:creationId xmlns:a16="http://schemas.microsoft.com/office/drawing/2014/main" id="{4D0E1F07-9BCB-D7D4-6496-97ACD85D0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11900" y="298450"/>
          <a:ext cx="26098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57</xdr:col>
      <xdr:colOff>247650</xdr:colOff>
      <xdr:row>0</xdr:row>
      <xdr:rowOff>107950</xdr:rowOff>
    </xdr:from>
    <xdr:to>
      <xdr:col>61</xdr:col>
      <xdr:colOff>361950</xdr:colOff>
      <xdr:row>4</xdr:row>
      <xdr:rowOff>241300</xdr:rowOff>
    </xdr:to>
    <xdr:pic>
      <xdr:nvPicPr>
        <xdr:cNvPr id="94779" name="Picture 4">
          <a:extLst>
            <a:ext uri="{FF2B5EF4-FFF2-40B4-BE49-F238E27FC236}">
              <a16:creationId xmlns:a16="http://schemas.microsoft.com/office/drawing/2014/main" id="{C014835C-CA61-7E20-CF7B-C415A87827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967250" y="107950"/>
          <a:ext cx="4241800" cy="132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43</xdr:col>
      <xdr:colOff>69850</xdr:colOff>
      <xdr:row>1</xdr:row>
      <xdr:rowOff>31750</xdr:rowOff>
    </xdr:from>
    <xdr:to>
      <xdr:col>47</xdr:col>
      <xdr:colOff>107950</xdr:colOff>
      <xdr:row>4</xdr:row>
      <xdr:rowOff>184150</xdr:rowOff>
    </xdr:to>
    <xdr:pic>
      <xdr:nvPicPr>
        <xdr:cNvPr id="94780" name="Picture 4">
          <a:extLst>
            <a:ext uri="{FF2B5EF4-FFF2-40B4-BE49-F238E27FC236}">
              <a16:creationId xmlns:a16="http://schemas.microsoft.com/office/drawing/2014/main" id="{0E269E61-BD55-91DC-8FA4-49F085A09E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251700" y="330200"/>
          <a:ext cx="41592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5</xdr:row>
      <xdr:rowOff>120650</xdr:rowOff>
    </xdr:to>
    <xdr:pic>
      <xdr:nvPicPr>
        <xdr:cNvPr id="95801" name="Picture 4">
          <a:extLst>
            <a:ext uri="{FF2B5EF4-FFF2-40B4-BE49-F238E27FC236}">
              <a16:creationId xmlns:a16="http://schemas.microsoft.com/office/drawing/2014/main" id="{84E1E84B-0AED-712F-2455-56060EA0A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11900" y="298450"/>
          <a:ext cx="26098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5</xdr:row>
      <xdr:rowOff>120650</xdr:rowOff>
    </xdr:to>
    <xdr:pic>
      <xdr:nvPicPr>
        <xdr:cNvPr id="95802" name="Picture 4">
          <a:extLst>
            <a:ext uri="{FF2B5EF4-FFF2-40B4-BE49-F238E27FC236}">
              <a16:creationId xmlns:a16="http://schemas.microsoft.com/office/drawing/2014/main" id="{36060224-2070-6A00-913E-F6A448C370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11900" y="298450"/>
          <a:ext cx="26098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57</xdr:col>
      <xdr:colOff>247650</xdr:colOff>
      <xdr:row>0</xdr:row>
      <xdr:rowOff>107950</xdr:rowOff>
    </xdr:from>
    <xdr:to>
      <xdr:col>61</xdr:col>
      <xdr:colOff>361950</xdr:colOff>
      <xdr:row>4</xdr:row>
      <xdr:rowOff>241300</xdr:rowOff>
    </xdr:to>
    <xdr:pic>
      <xdr:nvPicPr>
        <xdr:cNvPr id="95803" name="Picture 4">
          <a:extLst>
            <a:ext uri="{FF2B5EF4-FFF2-40B4-BE49-F238E27FC236}">
              <a16:creationId xmlns:a16="http://schemas.microsoft.com/office/drawing/2014/main" id="{D7F54B70-3252-D6E8-7B07-28232C531A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967250" y="107950"/>
          <a:ext cx="4241800" cy="132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43</xdr:col>
      <xdr:colOff>69850</xdr:colOff>
      <xdr:row>1</xdr:row>
      <xdr:rowOff>31750</xdr:rowOff>
    </xdr:from>
    <xdr:to>
      <xdr:col>47</xdr:col>
      <xdr:colOff>107950</xdr:colOff>
      <xdr:row>4</xdr:row>
      <xdr:rowOff>184150</xdr:rowOff>
    </xdr:to>
    <xdr:pic>
      <xdr:nvPicPr>
        <xdr:cNvPr id="95804" name="Picture 4">
          <a:extLst>
            <a:ext uri="{FF2B5EF4-FFF2-40B4-BE49-F238E27FC236}">
              <a16:creationId xmlns:a16="http://schemas.microsoft.com/office/drawing/2014/main" id="{90A5BAA6-96DA-5DC5-E30C-04A88801F6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251700" y="330200"/>
          <a:ext cx="41592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5</xdr:row>
      <xdr:rowOff>120650</xdr:rowOff>
    </xdr:to>
    <xdr:pic>
      <xdr:nvPicPr>
        <xdr:cNvPr id="96825" name="Picture 4">
          <a:extLst>
            <a:ext uri="{FF2B5EF4-FFF2-40B4-BE49-F238E27FC236}">
              <a16:creationId xmlns:a16="http://schemas.microsoft.com/office/drawing/2014/main" id="{B12C1098-E390-673D-CA3B-0E7431DDD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11900" y="298450"/>
          <a:ext cx="26098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5</xdr:row>
      <xdr:rowOff>120650</xdr:rowOff>
    </xdr:to>
    <xdr:pic>
      <xdr:nvPicPr>
        <xdr:cNvPr id="96826" name="Picture 4">
          <a:extLst>
            <a:ext uri="{FF2B5EF4-FFF2-40B4-BE49-F238E27FC236}">
              <a16:creationId xmlns:a16="http://schemas.microsoft.com/office/drawing/2014/main" id="{3E610179-C486-E292-D89A-F29616798C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11900" y="298450"/>
          <a:ext cx="26098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57</xdr:col>
      <xdr:colOff>247650</xdr:colOff>
      <xdr:row>0</xdr:row>
      <xdr:rowOff>107950</xdr:rowOff>
    </xdr:from>
    <xdr:to>
      <xdr:col>61</xdr:col>
      <xdr:colOff>361950</xdr:colOff>
      <xdr:row>4</xdr:row>
      <xdr:rowOff>241300</xdr:rowOff>
    </xdr:to>
    <xdr:pic>
      <xdr:nvPicPr>
        <xdr:cNvPr id="96827" name="Picture 4">
          <a:extLst>
            <a:ext uri="{FF2B5EF4-FFF2-40B4-BE49-F238E27FC236}">
              <a16:creationId xmlns:a16="http://schemas.microsoft.com/office/drawing/2014/main" id="{3C58734C-299F-72D5-BD6D-F8AF4735F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967250" y="107950"/>
          <a:ext cx="4241800" cy="132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43</xdr:col>
      <xdr:colOff>69850</xdr:colOff>
      <xdr:row>1</xdr:row>
      <xdr:rowOff>31750</xdr:rowOff>
    </xdr:from>
    <xdr:to>
      <xdr:col>47</xdr:col>
      <xdr:colOff>107950</xdr:colOff>
      <xdr:row>4</xdr:row>
      <xdr:rowOff>184150</xdr:rowOff>
    </xdr:to>
    <xdr:pic>
      <xdr:nvPicPr>
        <xdr:cNvPr id="96828" name="Picture 4">
          <a:extLst>
            <a:ext uri="{FF2B5EF4-FFF2-40B4-BE49-F238E27FC236}">
              <a16:creationId xmlns:a16="http://schemas.microsoft.com/office/drawing/2014/main" id="{A72EDF4C-2306-6915-DFEA-4257EC15D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251700" y="330200"/>
          <a:ext cx="41592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5</xdr:row>
      <xdr:rowOff>120650</xdr:rowOff>
    </xdr:to>
    <xdr:pic>
      <xdr:nvPicPr>
        <xdr:cNvPr id="97849" name="Picture 4">
          <a:extLst>
            <a:ext uri="{FF2B5EF4-FFF2-40B4-BE49-F238E27FC236}">
              <a16:creationId xmlns:a16="http://schemas.microsoft.com/office/drawing/2014/main" id="{6AC1DD95-4601-FE72-5C62-8ECC408AE0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11900" y="298450"/>
          <a:ext cx="26098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5</xdr:row>
      <xdr:rowOff>120650</xdr:rowOff>
    </xdr:to>
    <xdr:pic>
      <xdr:nvPicPr>
        <xdr:cNvPr id="97850" name="Picture 4">
          <a:extLst>
            <a:ext uri="{FF2B5EF4-FFF2-40B4-BE49-F238E27FC236}">
              <a16:creationId xmlns:a16="http://schemas.microsoft.com/office/drawing/2014/main" id="{CF4628C4-8690-6767-4985-B348693CAD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11900" y="298450"/>
          <a:ext cx="26098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57</xdr:col>
      <xdr:colOff>247650</xdr:colOff>
      <xdr:row>0</xdr:row>
      <xdr:rowOff>107950</xdr:rowOff>
    </xdr:from>
    <xdr:to>
      <xdr:col>61</xdr:col>
      <xdr:colOff>361950</xdr:colOff>
      <xdr:row>4</xdr:row>
      <xdr:rowOff>241300</xdr:rowOff>
    </xdr:to>
    <xdr:pic>
      <xdr:nvPicPr>
        <xdr:cNvPr id="97851" name="Picture 4">
          <a:extLst>
            <a:ext uri="{FF2B5EF4-FFF2-40B4-BE49-F238E27FC236}">
              <a16:creationId xmlns:a16="http://schemas.microsoft.com/office/drawing/2014/main" id="{D0659C60-A8B2-A416-F8EF-C641BBDD9A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967250" y="107950"/>
          <a:ext cx="4241800" cy="132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43</xdr:col>
      <xdr:colOff>69850</xdr:colOff>
      <xdr:row>1</xdr:row>
      <xdr:rowOff>31750</xdr:rowOff>
    </xdr:from>
    <xdr:to>
      <xdr:col>47</xdr:col>
      <xdr:colOff>107950</xdr:colOff>
      <xdr:row>4</xdr:row>
      <xdr:rowOff>184150</xdr:rowOff>
    </xdr:to>
    <xdr:pic>
      <xdr:nvPicPr>
        <xdr:cNvPr id="97852" name="Picture 4">
          <a:extLst>
            <a:ext uri="{FF2B5EF4-FFF2-40B4-BE49-F238E27FC236}">
              <a16:creationId xmlns:a16="http://schemas.microsoft.com/office/drawing/2014/main" id="{67AA4569-CE5F-4E4C-D4C7-68D4E32DE4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251700" y="330200"/>
          <a:ext cx="41592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5</xdr:row>
      <xdr:rowOff>120650</xdr:rowOff>
    </xdr:to>
    <xdr:pic>
      <xdr:nvPicPr>
        <xdr:cNvPr id="98873" name="Picture 4">
          <a:extLst>
            <a:ext uri="{FF2B5EF4-FFF2-40B4-BE49-F238E27FC236}">
              <a16:creationId xmlns:a16="http://schemas.microsoft.com/office/drawing/2014/main" id="{DDAAF8C7-2D6B-6E99-C67B-53DCC62CD8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11900" y="298450"/>
          <a:ext cx="26098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5</xdr:row>
      <xdr:rowOff>120650</xdr:rowOff>
    </xdr:to>
    <xdr:pic>
      <xdr:nvPicPr>
        <xdr:cNvPr id="98874" name="Picture 4">
          <a:extLst>
            <a:ext uri="{FF2B5EF4-FFF2-40B4-BE49-F238E27FC236}">
              <a16:creationId xmlns:a16="http://schemas.microsoft.com/office/drawing/2014/main" id="{CE5A2483-DB78-08B9-7EE5-5A76A81ED1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11900" y="298450"/>
          <a:ext cx="26098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57</xdr:col>
      <xdr:colOff>247650</xdr:colOff>
      <xdr:row>0</xdr:row>
      <xdr:rowOff>107950</xdr:rowOff>
    </xdr:from>
    <xdr:to>
      <xdr:col>61</xdr:col>
      <xdr:colOff>361950</xdr:colOff>
      <xdr:row>4</xdr:row>
      <xdr:rowOff>241300</xdr:rowOff>
    </xdr:to>
    <xdr:pic>
      <xdr:nvPicPr>
        <xdr:cNvPr id="98875" name="Picture 4">
          <a:extLst>
            <a:ext uri="{FF2B5EF4-FFF2-40B4-BE49-F238E27FC236}">
              <a16:creationId xmlns:a16="http://schemas.microsoft.com/office/drawing/2014/main" id="{927BE719-4090-C470-A55F-0833302767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967250" y="107950"/>
          <a:ext cx="4241800" cy="132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43</xdr:col>
      <xdr:colOff>69850</xdr:colOff>
      <xdr:row>1</xdr:row>
      <xdr:rowOff>31750</xdr:rowOff>
    </xdr:from>
    <xdr:to>
      <xdr:col>47</xdr:col>
      <xdr:colOff>107950</xdr:colOff>
      <xdr:row>4</xdr:row>
      <xdr:rowOff>184150</xdr:rowOff>
    </xdr:to>
    <xdr:pic>
      <xdr:nvPicPr>
        <xdr:cNvPr id="98876" name="Picture 4">
          <a:extLst>
            <a:ext uri="{FF2B5EF4-FFF2-40B4-BE49-F238E27FC236}">
              <a16:creationId xmlns:a16="http://schemas.microsoft.com/office/drawing/2014/main" id="{2DB47F48-2102-6036-98AB-546540F6F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251700" y="330200"/>
          <a:ext cx="41592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5</xdr:row>
      <xdr:rowOff>120650</xdr:rowOff>
    </xdr:to>
    <xdr:pic>
      <xdr:nvPicPr>
        <xdr:cNvPr id="99897" name="Picture 4">
          <a:extLst>
            <a:ext uri="{FF2B5EF4-FFF2-40B4-BE49-F238E27FC236}">
              <a16:creationId xmlns:a16="http://schemas.microsoft.com/office/drawing/2014/main" id="{2DBDE9F8-F59E-0B01-FABF-C34B740269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11900" y="298450"/>
          <a:ext cx="26098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5</xdr:row>
      <xdr:rowOff>120650</xdr:rowOff>
    </xdr:to>
    <xdr:pic>
      <xdr:nvPicPr>
        <xdr:cNvPr id="99898" name="Picture 4">
          <a:extLst>
            <a:ext uri="{FF2B5EF4-FFF2-40B4-BE49-F238E27FC236}">
              <a16:creationId xmlns:a16="http://schemas.microsoft.com/office/drawing/2014/main" id="{ECF5B5BE-EC55-BFB1-03B8-D6936A3624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11900" y="298450"/>
          <a:ext cx="26098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57</xdr:col>
      <xdr:colOff>247650</xdr:colOff>
      <xdr:row>0</xdr:row>
      <xdr:rowOff>107950</xdr:rowOff>
    </xdr:from>
    <xdr:to>
      <xdr:col>61</xdr:col>
      <xdr:colOff>361950</xdr:colOff>
      <xdr:row>4</xdr:row>
      <xdr:rowOff>241300</xdr:rowOff>
    </xdr:to>
    <xdr:pic>
      <xdr:nvPicPr>
        <xdr:cNvPr id="99899" name="Picture 4">
          <a:extLst>
            <a:ext uri="{FF2B5EF4-FFF2-40B4-BE49-F238E27FC236}">
              <a16:creationId xmlns:a16="http://schemas.microsoft.com/office/drawing/2014/main" id="{CF96F2B0-4E42-2DA0-795B-C980A5FBD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967250" y="107950"/>
          <a:ext cx="4241800" cy="132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43</xdr:col>
      <xdr:colOff>69850</xdr:colOff>
      <xdr:row>1</xdr:row>
      <xdr:rowOff>31750</xdr:rowOff>
    </xdr:from>
    <xdr:to>
      <xdr:col>47</xdr:col>
      <xdr:colOff>107950</xdr:colOff>
      <xdr:row>4</xdr:row>
      <xdr:rowOff>184150</xdr:rowOff>
    </xdr:to>
    <xdr:pic>
      <xdr:nvPicPr>
        <xdr:cNvPr id="99900" name="Picture 4">
          <a:extLst>
            <a:ext uri="{FF2B5EF4-FFF2-40B4-BE49-F238E27FC236}">
              <a16:creationId xmlns:a16="http://schemas.microsoft.com/office/drawing/2014/main" id="{278BA10D-7D2F-B335-D658-9703EDD262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251700" y="330200"/>
          <a:ext cx="41592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5</xdr:row>
      <xdr:rowOff>120650</xdr:rowOff>
    </xdr:to>
    <xdr:pic>
      <xdr:nvPicPr>
        <xdr:cNvPr id="100921" name="Picture 4">
          <a:extLst>
            <a:ext uri="{FF2B5EF4-FFF2-40B4-BE49-F238E27FC236}">
              <a16:creationId xmlns:a16="http://schemas.microsoft.com/office/drawing/2014/main" id="{EDEAA47D-707A-947F-ABDE-96C4A4C788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11900" y="298450"/>
          <a:ext cx="26098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5</xdr:row>
      <xdr:rowOff>120650</xdr:rowOff>
    </xdr:to>
    <xdr:pic>
      <xdr:nvPicPr>
        <xdr:cNvPr id="100922" name="Picture 4">
          <a:extLst>
            <a:ext uri="{FF2B5EF4-FFF2-40B4-BE49-F238E27FC236}">
              <a16:creationId xmlns:a16="http://schemas.microsoft.com/office/drawing/2014/main" id="{E9617D0D-5F55-4ED3-F894-050D91824A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11900" y="298450"/>
          <a:ext cx="26098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57</xdr:col>
      <xdr:colOff>247650</xdr:colOff>
      <xdr:row>0</xdr:row>
      <xdr:rowOff>107950</xdr:rowOff>
    </xdr:from>
    <xdr:to>
      <xdr:col>61</xdr:col>
      <xdr:colOff>361950</xdr:colOff>
      <xdr:row>4</xdr:row>
      <xdr:rowOff>241300</xdr:rowOff>
    </xdr:to>
    <xdr:pic>
      <xdr:nvPicPr>
        <xdr:cNvPr id="100923" name="Picture 4">
          <a:extLst>
            <a:ext uri="{FF2B5EF4-FFF2-40B4-BE49-F238E27FC236}">
              <a16:creationId xmlns:a16="http://schemas.microsoft.com/office/drawing/2014/main" id="{84609FC1-4257-2BBA-F3B1-DE9EA287C4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967250" y="107950"/>
          <a:ext cx="4241800" cy="132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43</xdr:col>
      <xdr:colOff>69850</xdr:colOff>
      <xdr:row>1</xdr:row>
      <xdr:rowOff>31750</xdr:rowOff>
    </xdr:from>
    <xdr:to>
      <xdr:col>47</xdr:col>
      <xdr:colOff>107950</xdr:colOff>
      <xdr:row>4</xdr:row>
      <xdr:rowOff>184150</xdr:rowOff>
    </xdr:to>
    <xdr:pic>
      <xdr:nvPicPr>
        <xdr:cNvPr id="100924" name="Picture 4">
          <a:extLst>
            <a:ext uri="{FF2B5EF4-FFF2-40B4-BE49-F238E27FC236}">
              <a16:creationId xmlns:a16="http://schemas.microsoft.com/office/drawing/2014/main" id="{3D6E28A8-A2A3-5815-B71E-6169394894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251700" y="330200"/>
          <a:ext cx="41592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5</xdr:row>
      <xdr:rowOff>120650</xdr:rowOff>
    </xdr:to>
    <xdr:pic>
      <xdr:nvPicPr>
        <xdr:cNvPr id="101945" name="Picture 4">
          <a:extLst>
            <a:ext uri="{FF2B5EF4-FFF2-40B4-BE49-F238E27FC236}">
              <a16:creationId xmlns:a16="http://schemas.microsoft.com/office/drawing/2014/main" id="{C93D92D7-5880-E311-D531-03163E1537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11900" y="298450"/>
          <a:ext cx="26098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0</xdr:colOff>
      <xdr:row>1</xdr:row>
      <xdr:rowOff>0</xdr:rowOff>
    </xdr:from>
    <xdr:to>
      <xdr:col>23</xdr:col>
      <xdr:colOff>476250</xdr:colOff>
      <xdr:row>5</xdr:row>
      <xdr:rowOff>120650</xdr:rowOff>
    </xdr:to>
    <xdr:pic>
      <xdr:nvPicPr>
        <xdr:cNvPr id="101946" name="Picture 4">
          <a:extLst>
            <a:ext uri="{FF2B5EF4-FFF2-40B4-BE49-F238E27FC236}">
              <a16:creationId xmlns:a16="http://schemas.microsoft.com/office/drawing/2014/main" id="{22563400-B9B7-9B04-A05C-390AED9EBE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11900" y="298450"/>
          <a:ext cx="26098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57</xdr:col>
      <xdr:colOff>247650</xdr:colOff>
      <xdr:row>0</xdr:row>
      <xdr:rowOff>107950</xdr:rowOff>
    </xdr:from>
    <xdr:to>
      <xdr:col>61</xdr:col>
      <xdr:colOff>361950</xdr:colOff>
      <xdr:row>4</xdr:row>
      <xdr:rowOff>241300</xdr:rowOff>
    </xdr:to>
    <xdr:pic>
      <xdr:nvPicPr>
        <xdr:cNvPr id="101947" name="Picture 4">
          <a:extLst>
            <a:ext uri="{FF2B5EF4-FFF2-40B4-BE49-F238E27FC236}">
              <a16:creationId xmlns:a16="http://schemas.microsoft.com/office/drawing/2014/main" id="{792BC131-75E3-884B-28B5-BFABA6F2C9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967250" y="107950"/>
          <a:ext cx="4241800" cy="132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43</xdr:col>
      <xdr:colOff>69850</xdr:colOff>
      <xdr:row>1</xdr:row>
      <xdr:rowOff>31750</xdr:rowOff>
    </xdr:from>
    <xdr:to>
      <xdr:col>47</xdr:col>
      <xdr:colOff>107950</xdr:colOff>
      <xdr:row>4</xdr:row>
      <xdr:rowOff>184150</xdr:rowOff>
    </xdr:to>
    <xdr:pic>
      <xdr:nvPicPr>
        <xdr:cNvPr id="101948" name="Picture 4">
          <a:extLst>
            <a:ext uri="{FF2B5EF4-FFF2-40B4-BE49-F238E27FC236}">
              <a16:creationId xmlns:a16="http://schemas.microsoft.com/office/drawing/2014/main" id="{9E5D56B7-AC48-9234-33DB-4D4766D341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251700" y="330200"/>
          <a:ext cx="41592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23E11-A03B-4B23-9891-A65B20F396CE}">
  <dimension ref="A1:BI60"/>
  <sheetViews>
    <sheetView rightToLeft="1" view="pageBreakPreview" topLeftCell="D1" zoomScale="55" zoomScaleNormal="70" zoomScaleSheetLayoutView="55" zoomScalePageLayoutView="40" workbookViewId="0">
      <selection activeCell="Q13" sqref="Q13"/>
    </sheetView>
  </sheetViews>
  <sheetFormatPr defaultColWidth="7.81640625" defaultRowHeight="26" x14ac:dyDescent="0.35"/>
  <cols>
    <col min="1" max="1" width="14" style="103" customWidth="1"/>
    <col min="2" max="2" width="24.54296875" style="103" bestFit="1" customWidth="1"/>
    <col min="3" max="4" width="14.81640625" style="103" bestFit="1" customWidth="1"/>
    <col min="5" max="5" width="7.7265625" style="102" bestFit="1" customWidth="1"/>
    <col min="6" max="6" width="14.26953125" style="102" bestFit="1" customWidth="1"/>
    <col min="7" max="7" width="10.1796875" style="102" bestFit="1" customWidth="1"/>
    <col min="8" max="8" width="14.26953125" style="102" bestFit="1" customWidth="1"/>
    <col min="9" max="9" width="12.26953125" style="102" bestFit="1" customWidth="1"/>
    <col min="10" max="10" width="14.26953125" style="102" bestFit="1" customWidth="1"/>
    <col min="11" max="11" width="7.7265625" style="102" bestFit="1" customWidth="1"/>
    <col min="12" max="12" width="14.26953125" style="102" bestFit="1" customWidth="1"/>
    <col min="13" max="13" width="10.54296875" style="102" customWidth="1"/>
    <col min="14" max="14" width="14.26953125" style="102" bestFit="1" customWidth="1"/>
    <col min="15" max="15" width="7.7265625" style="102" bestFit="1" customWidth="1"/>
    <col min="16" max="16" width="14.26953125" style="102" bestFit="1" customWidth="1"/>
    <col min="17" max="17" width="13" style="102" bestFit="1" customWidth="1"/>
    <col min="18" max="18" width="14.26953125" style="102" bestFit="1" customWidth="1"/>
    <col min="19" max="19" width="15" style="102" bestFit="1" customWidth="1"/>
    <col min="20" max="20" width="10.1796875" style="102" customWidth="1"/>
    <col min="21" max="21" width="14.26953125" style="102" bestFit="1" customWidth="1"/>
    <col min="22" max="22" width="7.7265625" style="102" bestFit="1" customWidth="1"/>
    <col min="23" max="23" width="14.26953125" style="102" bestFit="1" customWidth="1"/>
    <col min="24" max="24" width="7.7265625" style="102" bestFit="1" customWidth="1"/>
    <col min="25" max="25" width="14.26953125" style="102" bestFit="1" customWidth="1"/>
    <col min="26" max="26" width="7.81640625" style="103" customWidth="1"/>
    <col min="27" max="27" width="7.81640625" style="102" customWidth="1"/>
    <col min="28" max="28" width="14.453125" style="102" customWidth="1"/>
    <col min="29" max="29" width="24" style="102" bestFit="1" customWidth="1"/>
    <col min="30" max="30" width="12.81640625" style="102" bestFit="1" customWidth="1"/>
    <col min="31" max="31" width="14.453125" style="102" customWidth="1"/>
    <col min="32" max="32" width="14.26953125" style="102" bestFit="1" customWidth="1"/>
    <col min="33" max="33" width="14" style="102" customWidth="1"/>
    <col min="34" max="34" width="16.7265625" style="102" customWidth="1"/>
    <col min="35" max="35" width="18" style="102" bestFit="1" customWidth="1"/>
    <col min="36" max="36" width="29.453125" style="102" customWidth="1"/>
    <col min="37" max="37" width="18.81640625" style="102" bestFit="1" customWidth="1"/>
    <col min="38" max="38" width="7.81640625" style="102" customWidth="1"/>
    <col min="39" max="39" width="14.7265625" style="102" bestFit="1" customWidth="1"/>
    <col min="40" max="40" width="23" style="102" bestFit="1" customWidth="1"/>
    <col min="41" max="41" width="23.54296875" style="102" bestFit="1" customWidth="1"/>
    <col min="42" max="42" width="7.7265625" style="102" bestFit="1" customWidth="1"/>
    <col min="43" max="43" width="14.26953125" style="102" bestFit="1" customWidth="1"/>
    <col min="44" max="44" width="10.1796875" style="102" customWidth="1"/>
    <col min="45" max="45" width="12.81640625" style="102" customWidth="1"/>
    <col min="46" max="46" width="18" style="102" bestFit="1" customWidth="1"/>
    <col min="47" max="47" width="7.81640625" style="103" customWidth="1"/>
    <col min="48" max="48" width="7.81640625" style="102" customWidth="1"/>
    <col min="49" max="49" width="27.1796875" style="102" customWidth="1"/>
    <col min="50" max="50" width="13.54296875" style="102" customWidth="1"/>
    <col min="51" max="51" width="19.7265625" style="102" customWidth="1"/>
    <col min="52" max="52" width="20.81640625" style="102" customWidth="1"/>
    <col min="53" max="53" width="16.453125" style="102" bestFit="1" customWidth="1"/>
    <col min="54" max="54" width="21.26953125" style="102" bestFit="1" customWidth="1"/>
    <col min="55" max="55" width="22.26953125" style="102" customWidth="1"/>
    <col min="56" max="56" width="16.26953125" style="102" customWidth="1"/>
    <col min="57" max="57" width="16.81640625" style="102" customWidth="1"/>
    <col min="58" max="58" width="24.453125" style="102" customWidth="1"/>
    <col min="59" max="59" width="16.453125" style="102" bestFit="1" customWidth="1"/>
    <col min="60" max="60" width="21.26953125" style="102" bestFit="1" customWidth="1"/>
    <col min="61" max="61" width="15" style="102" bestFit="1" customWidth="1"/>
    <col min="62" max="16384" width="7.81640625" style="102"/>
  </cols>
  <sheetData>
    <row r="1" spans="1:61" s="120" customFormat="1" ht="23.5" x14ac:dyDescent="0.35">
      <c r="A1" s="118" t="s">
        <v>0</v>
      </c>
      <c r="B1" s="118"/>
      <c r="C1" s="118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AB1" s="118" t="s">
        <v>0</v>
      </c>
      <c r="AC1" s="118"/>
      <c r="AD1" s="119"/>
      <c r="AE1" s="119"/>
      <c r="AF1" s="119"/>
      <c r="AU1" s="121"/>
      <c r="AW1" s="118" t="s">
        <v>0</v>
      </c>
      <c r="AX1" s="118"/>
      <c r="AY1" s="118"/>
      <c r="AZ1" s="119"/>
      <c r="BA1" s="119"/>
      <c r="BB1" s="119"/>
      <c r="BC1" s="119"/>
      <c r="BD1" s="119"/>
      <c r="BE1" s="122"/>
      <c r="BF1" s="119"/>
      <c r="BI1" s="119"/>
    </row>
    <row r="2" spans="1:61" s="120" customFormat="1" ht="23.5" x14ac:dyDescent="0.35">
      <c r="A2" s="118" t="s">
        <v>21</v>
      </c>
      <c r="B2" s="118"/>
      <c r="C2" s="118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AB2" s="118" t="s">
        <v>21</v>
      </c>
      <c r="AC2" s="118"/>
      <c r="AD2" s="119"/>
      <c r="AE2" s="119"/>
      <c r="AF2" s="119"/>
      <c r="AU2" s="121"/>
      <c r="AW2" s="118" t="s">
        <v>21</v>
      </c>
      <c r="AX2" s="118"/>
      <c r="AY2" s="118"/>
      <c r="AZ2" s="119"/>
      <c r="BA2" s="119"/>
      <c r="BB2" s="119"/>
      <c r="BC2" s="119"/>
      <c r="BD2" s="119"/>
      <c r="BE2" s="122"/>
      <c r="BF2" s="119"/>
      <c r="BI2" s="119"/>
    </row>
    <row r="3" spans="1:61" s="120" customFormat="1" ht="23.5" x14ac:dyDescent="0.35">
      <c r="A3" s="118" t="s">
        <v>22</v>
      </c>
      <c r="B3" s="118"/>
      <c r="C3" s="118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AB3" s="118" t="s">
        <v>22</v>
      </c>
      <c r="AC3" s="118"/>
      <c r="AD3" s="119"/>
      <c r="AE3" s="119"/>
      <c r="AF3" s="119"/>
      <c r="AU3" s="121"/>
      <c r="AW3" s="118" t="s">
        <v>22</v>
      </c>
      <c r="AX3" s="118"/>
      <c r="AY3" s="118"/>
      <c r="AZ3" s="119"/>
      <c r="BA3" s="119"/>
      <c r="BB3" s="119"/>
      <c r="BC3" s="119"/>
      <c r="BD3" s="119"/>
      <c r="BE3" s="122"/>
      <c r="BF3" s="119"/>
      <c r="BI3" s="119"/>
    </row>
    <row r="4" spans="1:61" s="120" customFormat="1" ht="23.5" x14ac:dyDescent="0.35">
      <c r="A4" s="118" t="s">
        <v>23</v>
      </c>
      <c r="B4" s="118"/>
      <c r="C4" s="118"/>
      <c r="D4" s="119"/>
      <c r="E4" s="122"/>
      <c r="F4" s="122"/>
      <c r="G4" s="122"/>
      <c r="H4" s="122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19"/>
      <c r="AB4" s="118" t="s">
        <v>23</v>
      </c>
      <c r="AC4" s="118"/>
      <c r="AU4" s="121"/>
      <c r="AW4" s="118" t="s">
        <v>23</v>
      </c>
      <c r="AX4" s="118"/>
      <c r="AY4" s="118"/>
      <c r="AZ4" s="119"/>
      <c r="BA4" s="119"/>
      <c r="BB4" s="119"/>
      <c r="BC4" s="119"/>
      <c r="BD4" s="119"/>
      <c r="BE4" s="122"/>
      <c r="BF4" s="119"/>
    </row>
    <row r="5" spans="1:61" s="120" customFormat="1" ht="23.5" x14ac:dyDescent="0.35">
      <c r="A5" s="118" t="s">
        <v>1</v>
      </c>
      <c r="B5" s="118"/>
      <c r="C5" s="118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19"/>
      <c r="AB5" s="118" t="s">
        <v>1</v>
      </c>
      <c r="AC5" s="118"/>
      <c r="AU5" s="121"/>
      <c r="AW5" s="118" t="s">
        <v>1</v>
      </c>
      <c r="AX5" s="118"/>
      <c r="AY5" s="118"/>
      <c r="AZ5" s="119"/>
      <c r="BA5" s="119"/>
      <c r="BB5" s="119"/>
      <c r="BC5" s="119"/>
      <c r="BD5" s="119"/>
      <c r="BE5" s="122"/>
      <c r="BF5" s="119"/>
    </row>
    <row r="6" spans="1:61" x14ac:dyDescent="0.35">
      <c r="A6" s="200" t="s">
        <v>18</v>
      </c>
      <c r="B6" s="200"/>
      <c r="C6" s="200"/>
      <c r="D6" s="200"/>
      <c r="E6" s="200"/>
      <c r="F6" s="200"/>
      <c r="G6" s="200"/>
      <c r="H6" s="200"/>
      <c r="I6" s="200"/>
      <c r="J6" s="200"/>
      <c r="K6" s="200"/>
      <c r="L6" s="200"/>
      <c r="M6" s="200"/>
      <c r="N6" s="200"/>
      <c r="O6" s="200"/>
      <c r="P6" s="200"/>
      <c r="Q6" s="200"/>
      <c r="R6" s="200"/>
      <c r="S6" s="200"/>
      <c r="T6" s="200"/>
      <c r="U6" s="200"/>
      <c r="V6" s="200"/>
      <c r="W6" s="200"/>
      <c r="X6" s="200"/>
      <c r="Y6" s="200"/>
      <c r="Z6" s="104"/>
      <c r="AF6" s="200" t="s">
        <v>16</v>
      </c>
      <c r="AG6" s="200"/>
      <c r="AH6" s="200"/>
      <c r="AI6" s="200"/>
      <c r="AJ6" s="200"/>
      <c r="AK6" s="200"/>
      <c r="AL6" s="200"/>
      <c r="AM6" s="200"/>
      <c r="AN6" s="200"/>
      <c r="AO6" s="101"/>
      <c r="AP6" s="101"/>
      <c r="AQ6" s="101"/>
      <c r="AR6" s="101"/>
      <c r="AS6" s="101"/>
      <c r="AT6" s="101"/>
      <c r="AU6" s="104"/>
      <c r="AY6" s="200" t="s">
        <v>30</v>
      </c>
      <c r="AZ6" s="200"/>
      <c r="BA6" s="200"/>
      <c r="BB6" s="200"/>
      <c r="BC6" s="200"/>
      <c r="BD6" s="200"/>
      <c r="BE6" s="200"/>
      <c r="BF6" s="200"/>
      <c r="BG6" s="200"/>
      <c r="BH6" s="200"/>
      <c r="BI6" s="200"/>
    </row>
    <row r="7" spans="1:61" ht="26.5" thickBot="1" x14ac:dyDescent="0.4">
      <c r="A7" s="201" t="s">
        <v>52</v>
      </c>
      <c r="B7" s="202"/>
      <c r="C7" s="202"/>
      <c r="D7" s="202"/>
      <c r="E7" s="201"/>
      <c r="F7" s="201"/>
      <c r="G7" s="201"/>
      <c r="H7" s="201"/>
      <c r="I7" s="201"/>
      <c r="J7" s="201"/>
      <c r="K7" s="201"/>
      <c r="L7" s="201"/>
      <c r="M7" s="201"/>
      <c r="N7" s="201"/>
      <c r="O7" s="201"/>
      <c r="P7" s="201"/>
      <c r="Q7" s="201"/>
      <c r="R7" s="201"/>
      <c r="S7" s="201"/>
      <c r="T7" s="202"/>
      <c r="U7" s="202"/>
      <c r="V7" s="202"/>
      <c r="W7" s="202"/>
      <c r="X7" s="202"/>
      <c r="Y7" s="202"/>
      <c r="Z7" s="60"/>
      <c r="AJ7" s="105" t="s">
        <v>31</v>
      </c>
      <c r="AK7" s="105"/>
      <c r="AL7" s="105"/>
      <c r="AN7" s="105"/>
      <c r="AO7" s="105"/>
      <c r="AP7" s="105"/>
      <c r="AQ7" s="105"/>
      <c r="AS7" s="105"/>
      <c r="AT7" s="105"/>
      <c r="AU7" s="60"/>
      <c r="BC7" s="105" t="s">
        <v>31</v>
      </c>
      <c r="BD7" s="105"/>
      <c r="BF7" s="105"/>
      <c r="BG7" s="105"/>
      <c r="BH7" s="105"/>
      <c r="BI7" s="105"/>
    </row>
    <row r="8" spans="1:61" s="108" customFormat="1" ht="56.25" customHeight="1" x14ac:dyDescent="0.35">
      <c r="A8" s="203" t="s">
        <v>24</v>
      </c>
      <c r="B8" s="206" t="s">
        <v>25</v>
      </c>
      <c r="C8" s="188" t="s">
        <v>11</v>
      </c>
      <c r="D8" s="188" t="s">
        <v>15</v>
      </c>
      <c r="E8" s="199" t="s">
        <v>5</v>
      </c>
      <c r="F8" s="199"/>
      <c r="G8" s="199"/>
      <c r="H8" s="199"/>
      <c r="I8" s="199"/>
      <c r="J8" s="199"/>
      <c r="K8" s="199" t="s">
        <v>7</v>
      </c>
      <c r="L8" s="199"/>
      <c r="M8" s="199"/>
      <c r="N8" s="199"/>
      <c r="O8" s="199"/>
      <c r="P8" s="199"/>
      <c r="Q8" s="189" t="s">
        <v>2</v>
      </c>
      <c r="R8" s="190"/>
      <c r="S8" s="193" t="s">
        <v>12</v>
      </c>
      <c r="T8" s="207" t="s">
        <v>8</v>
      </c>
      <c r="U8" s="207"/>
      <c r="V8" s="207" t="s">
        <v>9</v>
      </c>
      <c r="W8" s="207"/>
      <c r="X8" s="207" t="s">
        <v>20</v>
      </c>
      <c r="Y8" s="207"/>
      <c r="Z8" s="61"/>
      <c r="AB8" s="203" t="s">
        <v>24</v>
      </c>
      <c r="AC8" s="196" t="s">
        <v>28</v>
      </c>
      <c r="AD8" s="196" t="s">
        <v>14</v>
      </c>
      <c r="AE8" s="214" t="s">
        <v>45</v>
      </c>
      <c r="AF8" s="215"/>
      <c r="AG8" s="214" t="s">
        <v>10</v>
      </c>
      <c r="AH8" s="215"/>
      <c r="AI8" s="231" t="s">
        <v>46</v>
      </c>
      <c r="AJ8" s="182" t="s">
        <v>51</v>
      </c>
      <c r="AK8" s="182" t="s">
        <v>47</v>
      </c>
      <c r="AM8" s="235" t="s">
        <v>41</v>
      </c>
      <c r="AN8" s="227" t="s">
        <v>38</v>
      </c>
      <c r="AO8" s="233" t="s">
        <v>14</v>
      </c>
      <c r="AP8" s="229" t="s">
        <v>39</v>
      </c>
      <c r="AQ8" s="229"/>
      <c r="AR8" s="229" t="s">
        <v>50</v>
      </c>
      <c r="AS8" s="229"/>
      <c r="AT8" s="225" t="s">
        <v>40</v>
      </c>
      <c r="AU8" s="61"/>
      <c r="AW8" s="203" t="s">
        <v>28</v>
      </c>
      <c r="AX8" s="221" t="s">
        <v>48</v>
      </c>
      <c r="AY8" s="199"/>
      <c r="AZ8" s="199"/>
      <c r="BA8" s="199"/>
      <c r="BB8" s="199"/>
      <c r="BC8" s="222"/>
      <c r="BD8" s="199" t="s">
        <v>49</v>
      </c>
      <c r="BE8" s="199"/>
      <c r="BF8" s="199"/>
      <c r="BG8" s="199"/>
      <c r="BH8" s="199"/>
      <c r="BI8" s="222"/>
    </row>
    <row r="9" spans="1:61" s="111" customFormat="1" ht="51.75" customHeight="1" x14ac:dyDescent="0.35">
      <c r="A9" s="204"/>
      <c r="B9" s="206"/>
      <c r="C9" s="188"/>
      <c r="D9" s="188"/>
      <c r="E9" s="211" t="s">
        <v>6</v>
      </c>
      <c r="F9" s="209"/>
      <c r="G9" s="208" t="s">
        <v>13</v>
      </c>
      <c r="H9" s="209"/>
      <c r="I9" s="210" t="s">
        <v>19</v>
      </c>
      <c r="J9" s="210"/>
      <c r="K9" s="211" t="s">
        <v>6</v>
      </c>
      <c r="L9" s="209"/>
      <c r="M9" s="208" t="s">
        <v>13</v>
      </c>
      <c r="N9" s="209"/>
      <c r="O9" s="210" t="s">
        <v>19</v>
      </c>
      <c r="P9" s="210"/>
      <c r="Q9" s="191"/>
      <c r="R9" s="192"/>
      <c r="S9" s="194"/>
      <c r="T9" s="207"/>
      <c r="U9" s="207"/>
      <c r="V9" s="207"/>
      <c r="W9" s="207"/>
      <c r="X9" s="207"/>
      <c r="Y9" s="207"/>
      <c r="Z9" s="110"/>
      <c r="AB9" s="204"/>
      <c r="AC9" s="197"/>
      <c r="AD9" s="197"/>
      <c r="AE9" s="216"/>
      <c r="AF9" s="217"/>
      <c r="AG9" s="216"/>
      <c r="AH9" s="217"/>
      <c r="AI9" s="232"/>
      <c r="AJ9" s="183"/>
      <c r="AK9" s="183"/>
      <c r="AM9" s="236"/>
      <c r="AN9" s="228"/>
      <c r="AO9" s="234"/>
      <c r="AP9" s="109" t="s">
        <v>3</v>
      </c>
      <c r="AQ9" s="109" t="s">
        <v>4</v>
      </c>
      <c r="AR9" s="109" t="s">
        <v>3</v>
      </c>
      <c r="AS9" s="109" t="s">
        <v>4</v>
      </c>
      <c r="AT9" s="226"/>
      <c r="AU9" s="110"/>
      <c r="AW9" s="204"/>
      <c r="AX9" s="219" t="s">
        <v>17</v>
      </c>
      <c r="AY9" s="219" t="s">
        <v>11</v>
      </c>
      <c r="AZ9" s="219" t="s">
        <v>32</v>
      </c>
      <c r="BA9" s="219" t="s">
        <v>37</v>
      </c>
      <c r="BB9" s="219" t="s">
        <v>34</v>
      </c>
      <c r="BC9" s="212" t="s">
        <v>12</v>
      </c>
      <c r="BD9" s="223" t="s">
        <v>33</v>
      </c>
      <c r="BE9" s="219" t="s">
        <v>11</v>
      </c>
      <c r="BF9" s="219" t="s">
        <v>35</v>
      </c>
      <c r="BG9" s="219" t="s">
        <v>37</v>
      </c>
      <c r="BH9" s="219" t="s">
        <v>34</v>
      </c>
      <c r="BI9" s="212" t="s">
        <v>12</v>
      </c>
    </row>
    <row r="10" spans="1:61" ht="53.5" customHeight="1" thickBot="1" x14ac:dyDescent="0.4">
      <c r="A10" s="205"/>
      <c r="B10" s="206"/>
      <c r="C10" s="188"/>
      <c r="D10" s="188"/>
      <c r="E10" s="64" t="s">
        <v>3</v>
      </c>
      <c r="F10" s="59" t="s">
        <v>4</v>
      </c>
      <c r="G10" s="64" t="s">
        <v>3</v>
      </c>
      <c r="H10" s="59" t="s">
        <v>4</v>
      </c>
      <c r="I10" s="59" t="s">
        <v>3</v>
      </c>
      <c r="J10" s="59" t="s">
        <v>4</v>
      </c>
      <c r="K10" s="64" t="s">
        <v>3</v>
      </c>
      <c r="L10" s="59" t="s">
        <v>4</v>
      </c>
      <c r="M10" s="64" t="s">
        <v>3</v>
      </c>
      <c r="N10" s="59" t="s">
        <v>4</v>
      </c>
      <c r="O10" s="59" t="s">
        <v>3</v>
      </c>
      <c r="P10" s="59" t="s">
        <v>4</v>
      </c>
      <c r="Q10" s="65" t="s">
        <v>3</v>
      </c>
      <c r="R10" s="65" t="s">
        <v>4</v>
      </c>
      <c r="S10" s="195"/>
      <c r="T10" s="59" t="s">
        <v>3</v>
      </c>
      <c r="U10" s="59" t="s">
        <v>4</v>
      </c>
      <c r="V10" s="59" t="s">
        <v>3</v>
      </c>
      <c r="W10" s="59" t="s">
        <v>4</v>
      </c>
      <c r="X10" s="59" t="s">
        <v>3</v>
      </c>
      <c r="Y10" s="59" t="s">
        <v>4</v>
      </c>
      <c r="Z10" s="60"/>
      <c r="AB10" s="218"/>
      <c r="AC10" s="198"/>
      <c r="AD10" s="198"/>
      <c r="AE10" s="66" t="s">
        <v>3</v>
      </c>
      <c r="AF10" s="67" t="s">
        <v>4</v>
      </c>
      <c r="AG10" s="68" t="s">
        <v>3</v>
      </c>
      <c r="AH10" s="69" t="s">
        <v>4</v>
      </c>
      <c r="AI10" s="213"/>
      <c r="AJ10" s="184"/>
      <c r="AK10" s="184"/>
      <c r="AM10" s="236"/>
      <c r="AN10" s="70" t="s">
        <v>88</v>
      </c>
      <c r="AO10" s="70">
        <v>73</v>
      </c>
      <c r="AP10" s="70">
        <v>0</v>
      </c>
      <c r="AQ10" s="71">
        <f>AO10+AP10</f>
        <v>73</v>
      </c>
      <c r="AR10" s="71">
        <v>0</v>
      </c>
      <c r="AS10" s="71">
        <f>AR10</f>
        <v>0</v>
      </c>
      <c r="AT10" s="72">
        <f>AO10+AP10-AR10</f>
        <v>73</v>
      </c>
      <c r="AU10" s="100"/>
      <c r="AW10" s="218"/>
      <c r="AX10" s="220"/>
      <c r="AY10" s="220"/>
      <c r="AZ10" s="220"/>
      <c r="BA10" s="220"/>
      <c r="BB10" s="220"/>
      <c r="BC10" s="213"/>
      <c r="BD10" s="224"/>
      <c r="BE10" s="220"/>
      <c r="BF10" s="220"/>
      <c r="BG10" s="220"/>
      <c r="BH10" s="220"/>
      <c r="BI10" s="213"/>
    </row>
    <row r="11" spans="1:61" ht="41.5" customHeight="1" x14ac:dyDescent="0.35">
      <c r="A11" s="73">
        <v>1</v>
      </c>
      <c r="B11" s="127" t="s">
        <v>53</v>
      </c>
      <c r="C11" s="58">
        <v>12251</v>
      </c>
      <c r="D11" s="58">
        <v>13</v>
      </c>
      <c r="E11" s="59">
        <v>11</v>
      </c>
      <c r="F11" s="64">
        <f t="shared" ref="F11:F16" si="0">E11</f>
        <v>11</v>
      </c>
      <c r="G11" s="59">
        <v>417</v>
      </c>
      <c r="H11" s="64">
        <f t="shared" ref="H11:H16" si="1">G11</f>
        <v>417</v>
      </c>
      <c r="I11" s="59">
        <v>2013</v>
      </c>
      <c r="J11" s="64">
        <f t="shared" ref="J11:J16" si="2">I11</f>
        <v>2013</v>
      </c>
      <c r="K11" s="59">
        <v>0</v>
      </c>
      <c r="L11" s="64">
        <f t="shared" ref="L11:L16" si="3">K11</f>
        <v>0</v>
      </c>
      <c r="M11" s="59">
        <v>0</v>
      </c>
      <c r="N11" s="64">
        <f t="shared" ref="N11:N50" si="4">M11</f>
        <v>0</v>
      </c>
      <c r="O11" s="59">
        <v>0</v>
      </c>
      <c r="P11" s="64">
        <f t="shared" ref="P11:P16" si="5">O11</f>
        <v>0</v>
      </c>
      <c r="Q11" s="65">
        <f t="shared" ref="Q11:Q16" si="6">O11+M11+K11+I11+G11+E11</f>
        <v>2441</v>
      </c>
      <c r="R11" s="65">
        <f t="shared" ref="R11:R16" si="7">Q11</f>
        <v>2441</v>
      </c>
      <c r="S11" s="99">
        <f t="shared" ref="S11:S20" si="8">R11/C11</f>
        <v>0.19924904089462084</v>
      </c>
      <c r="T11" s="59">
        <v>402</v>
      </c>
      <c r="U11" s="59">
        <f t="shared" ref="U11:U16" si="9">T11</f>
        <v>402</v>
      </c>
      <c r="V11" s="59">
        <v>0</v>
      </c>
      <c r="W11" s="59">
        <f t="shared" ref="W11:W16" si="10">V11</f>
        <v>0</v>
      </c>
      <c r="X11" s="59">
        <v>0</v>
      </c>
      <c r="Y11" s="59">
        <f t="shared" ref="Y11:Y16" si="11">X11</f>
        <v>0</v>
      </c>
      <c r="Z11" s="74"/>
      <c r="AA11" s="106"/>
      <c r="AB11" s="63">
        <v>1</v>
      </c>
      <c r="AC11" s="126" t="str">
        <f t="shared" ref="AC11:AC50" si="12">AW11</f>
        <v>مكتب الصحة</v>
      </c>
      <c r="AD11" s="59">
        <v>1076</v>
      </c>
      <c r="AE11" s="59">
        <v>0</v>
      </c>
      <c r="AF11" s="76">
        <f t="shared" ref="AF11:AF20" si="13">AD11+AE11</f>
        <v>1076</v>
      </c>
      <c r="AG11" s="59">
        <v>249</v>
      </c>
      <c r="AH11" s="76">
        <f>AG11</f>
        <v>249</v>
      </c>
      <c r="AI11" s="65">
        <f>AD11+AE11-AG11</f>
        <v>827</v>
      </c>
      <c r="AJ11" s="77">
        <f t="shared" ref="AJ11:AJ51" si="14">Q11/AG11</f>
        <v>9.8032128514056218</v>
      </c>
      <c r="AK11" s="78">
        <f t="shared" ref="AK11:AK51" si="15">R11/AH11</f>
        <v>9.8032128514056218</v>
      </c>
      <c r="AM11" s="236"/>
      <c r="AN11" s="79" t="s">
        <v>89</v>
      </c>
      <c r="AO11" s="79">
        <v>8550</v>
      </c>
      <c r="AP11" s="79">
        <v>0</v>
      </c>
      <c r="AQ11" s="71">
        <f>AO11+AP11</f>
        <v>8550</v>
      </c>
      <c r="AR11" s="79">
        <v>2120</v>
      </c>
      <c r="AS11" s="71">
        <f>AR11</f>
        <v>2120</v>
      </c>
      <c r="AT11" s="72">
        <f>AO11+AP11-AR11</f>
        <v>6430</v>
      </c>
      <c r="AU11" s="100"/>
      <c r="AW11" s="126" t="str">
        <f t="shared" ref="AW11:AW50" si="16">B11</f>
        <v>مكتب الصحة</v>
      </c>
      <c r="AX11" s="65">
        <v>11</v>
      </c>
      <c r="AY11" s="65">
        <v>8411</v>
      </c>
      <c r="AZ11" s="65">
        <v>4</v>
      </c>
      <c r="BA11" s="65">
        <v>2251</v>
      </c>
      <c r="BB11" s="65">
        <f t="shared" ref="BB11:BB50" si="17">BA11</f>
        <v>2251</v>
      </c>
      <c r="BC11" s="80">
        <f t="shared" ref="BC11:BC20" si="18">BB11/AY11</f>
        <v>0.26762572821305436</v>
      </c>
      <c r="BD11" s="81">
        <v>27</v>
      </c>
      <c r="BE11" s="65">
        <v>1746</v>
      </c>
      <c r="BF11" s="65">
        <v>0</v>
      </c>
      <c r="BG11" s="65">
        <v>0</v>
      </c>
      <c r="BH11" s="65">
        <f t="shared" ref="BH11:BH50" si="19">BG11</f>
        <v>0</v>
      </c>
      <c r="BI11" s="80">
        <f t="shared" ref="BI11:BI20" si="20">BH11/BE11</f>
        <v>0</v>
      </c>
    </row>
    <row r="12" spans="1:61" ht="41.5" customHeight="1" x14ac:dyDescent="0.35">
      <c r="A12" s="73">
        <v>2</v>
      </c>
      <c r="B12" s="127" t="s">
        <v>54</v>
      </c>
      <c r="C12" s="58">
        <v>4445</v>
      </c>
      <c r="D12" s="58">
        <v>4</v>
      </c>
      <c r="E12" s="59">
        <v>1</v>
      </c>
      <c r="F12" s="64">
        <f t="shared" si="0"/>
        <v>1</v>
      </c>
      <c r="G12" s="59">
        <v>25</v>
      </c>
      <c r="H12" s="64">
        <f t="shared" si="1"/>
        <v>25</v>
      </c>
      <c r="I12" s="59">
        <v>652</v>
      </c>
      <c r="J12" s="64">
        <f t="shared" si="2"/>
        <v>652</v>
      </c>
      <c r="K12" s="59">
        <v>0</v>
      </c>
      <c r="L12" s="64">
        <f t="shared" si="3"/>
        <v>0</v>
      </c>
      <c r="M12" s="59">
        <v>0</v>
      </c>
      <c r="N12" s="64">
        <f t="shared" si="4"/>
        <v>0</v>
      </c>
      <c r="O12" s="59">
        <v>0</v>
      </c>
      <c r="P12" s="64">
        <f t="shared" si="5"/>
        <v>0</v>
      </c>
      <c r="Q12" s="65">
        <f t="shared" si="6"/>
        <v>678</v>
      </c>
      <c r="R12" s="65">
        <f t="shared" si="7"/>
        <v>678</v>
      </c>
      <c r="S12" s="99">
        <f t="shared" si="8"/>
        <v>0.15253093363329584</v>
      </c>
      <c r="T12" s="59">
        <v>102</v>
      </c>
      <c r="U12" s="59">
        <f t="shared" si="9"/>
        <v>102</v>
      </c>
      <c r="V12" s="59">
        <v>1</v>
      </c>
      <c r="W12" s="59">
        <f t="shared" si="10"/>
        <v>1</v>
      </c>
      <c r="X12" s="59">
        <v>0</v>
      </c>
      <c r="Y12" s="59">
        <f t="shared" si="11"/>
        <v>0</v>
      </c>
      <c r="Z12" s="74"/>
      <c r="AA12" s="106"/>
      <c r="AB12" s="73">
        <v>2</v>
      </c>
      <c r="AC12" s="126" t="str">
        <f t="shared" si="12"/>
        <v>شبرابخـــــــــــوم</v>
      </c>
      <c r="AD12" s="59">
        <v>390</v>
      </c>
      <c r="AE12" s="59">
        <v>0</v>
      </c>
      <c r="AF12" s="58">
        <f t="shared" si="13"/>
        <v>390</v>
      </c>
      <c r="AG12" s="59">
        <v>70</v>
      </c>
      <c r="AH12" s="76">
        <f t="shared" ref="AH12:AH50" si="21">AG12</f>
        <v>70</v>
      </c>
      <c r="AI12" s="65">
        <f t="shared" ref="AI12:AI50" si="22">AD12+AE12-AG12</f>
        <v>320</v>
      </c>
      <c r="AJ12" s="77">
        <f t="shared" si="14"/>
        <v>9.6857142857142851</v>
      </c>
      <c r="AK12" s="78">
        <f t="shared" si="15"/>
        <v>9.6857142857142851</v>
      </c>
      <c r="AM12" s="236"/>
      <c r="AN12" s="79"/>
      <c r="AO12" s="79"/>
      <c r="AP12" s="79"/>
      <c r="AQ12" s="71">
        <f>AO12+AP12</f>
        <v>0</v>
      </c>
      <c r="AR12" s="79"/>
      <c r="AS12" s="71">
        <f>AR12</f>
        <v>0</v>
      </c>
      <c r="AT12" s="72">
        <f>AO12+AP12-AR12</f>
        <v>0</v>
      </c>
      <c r="AU12" s="100"/>
      <c r="AW12" s="126" t="str">
        <f t="shared" si="16"/>
        <v>شبرابخـــــــــــوم</v>
      </c>
      <c r="AX12" s="59">
        <v>6</v>
      </c>
      <c r="AY12" s="59">
        <v>2215</v>
      </c>
      <c r="AZ12" s="59">
        <v>2</v>
      </c>
      <c r="BA12" s="59">
        <v>678</v>
      </c>
      <c r="BB12" s="59">
        <f t="shared" si="17"/>
        <v>678</v>
      </c>
      <c r="BC12" s="82">
        <f t="shared" si="18"/>
        <v>0.30609480812641082</v>
      </c>
      <c r="BD12" s="83">
        <v>16</v>
      </c>
      <c r="BE12" s="59">
        <v>729</v>
      </c>
      <c r="BF12" s="59">
        <v>0</v>
      </c>
      <c r="BG12" s="59">
        <v>0</v>
      </c>
      <c r="BH12" s="59">
        <f t="shared" si="19"/>
        <v>0</v>
      </c>
      <c r="BI12" s="82">
        <f t="shared" si="20"/>
        <v>0</v>
      </c>
    </row>
    <row r="13" spans="1:61" ht="41.5" customHeight="1" x14ac:dyDescent="0.35">
      <c r="A13" s="73">
        <v>3</v>
      </c>
      <c r="B13" s="127" t="s">
        <v>55</v>
      </c>
      <c r="C13" s="58">
        <v>11614</v>
      </c>
      <c r="D13" s="58">
        <v>8</v>
      </c>
      <c r="E13" s="59">
        <v>13</v>
      </c>
      <c r="F13" s="64">
        <f t="shared" si="0"/>
        <v>13</v>
      </c>
      <c r="G13" s="59">
        <v>45</v>
      </c>
      <c r="H13" s="64">
        <f t="shared" si="1"/>
        <v>45</v>
      </c>
      <c r="I13" s="59">
        <v>1545</v>
      </c>
      <c r="J13" s="64">
        <f t="shared" si="2"/>
        <v>1545</v>
      </c>
      <c r="K13" s="59">
        <v>0</v>
      </c>
      <c r="L13" s="64">
        <f t="shared" si="3"/>
        <v>0</v>
      </c>
      <c r="M13" s="59">
        <v>0</v>
      </c>
      <c r="N13" s="64">
        <f t="shared" si="4"/>
        <v>0</v>
      </c>
      <c r="O13" s="59">
        <v>0</v>
      </c>
      <c r="P13" s="64">
        <f t="shared" si="5"/>
        <v>0</v>
      </c>
      <c r="Q13" s="65">
        <f t="shared" si="6"/>
        <v>1603</v>
      </c>
      <c r="R13" s="65">
        <f t="shared" si="7"/>
        <v>1603</v>
      </c>
      <c r="S13" s="99">
        <f t="shared" si="8"/>
        <v>0.1380230755984157</v>
      </c>
      <c r="T13" s="59">
        <v>199</v>
      </c>
      <c r="U13" s="59">
        <f t="shared" si="9"/>
        <v>199</v>
      </c>
      <c r="V13" s="59">
        <v>0</v>
      </c>
      <c r="W13" s="59">
        <f t="shared" si="10"/>
        <v>0</v>
      </c>
      <c r="X13" s="59">
        <v>0</v>
      </c>
      <c r="Y13" s="59">
        <f t="shared" si="11"/>
        <v>0</v>
      </c>
      <c r="Z13" s="74"/>
      <c r="AA13" s="106"/>
      <c r="AB13" s="73">
        <v>3</v>
      </c>
      <c r="AC13" s="126" t="str">
        <f t="shared" si="12"/>
        <v>ميت بره</v>
      </c>
      <c r="AD13" s="59">
        <v>1020</v>
      </c>
      <c r="AE13" s="59">
        <v>0</v>
      </c>
      <c r="AF13" s="58">
        <f t="shared" si="13"/>
        <v>1020</v>
      </c>
      <c r="AG13" s="59">
        <v>163</v>
      </c>
      <c r="AH13" s="76">
        <f t="shared" si="21"/>
        <v>163</v>
      </c>
      <c r="AI13" s="65">
        <f t="shared" si="22"/>
        <v>857</v>
      </c>
      <c r="AJ13" s="77">
        <f t="shared" si="14"/>
        <v>9.8343558282208594</v>
      </c>
      <c r="AK13" s="78">
        <f t="shared" si="15"/>
        <v>9.8343558282208594</v>
      </c>
      <c r="AM13" s="236"/>
      <c r="AN13" s="84" t="s">
        <v>43</v>
      </c>
      <c r="AO13" s="85">
        <f t="shared" ref="AO13:AT13" si="23">SUM(AO10:AO12)</f>
        <v>8623</v>
      </c>
      <c r="AP13" s="85">
        <f t="shared" si="23"/>
        <v>0</v>
      </c>
      <c r="AQ13" s="85">
        <f t="shared" si="23"/>
        <v>8623</v>
      </c>
      <c r="AR13" s="85">
        <f t="shared" si="23"/>
        <v>2120</v>
      </c>
      <c r="AS13" s="85">
        <f t="shared" si="23"/>
        <v>2120</v>
      </c>
      <c r="AT13" s="86">
        <f t="shared" si="23"/>
        <v>6503</v>
      </c>
      <c r="AU13" s="100"/>
      <c r="AW13" s="126" t="str">
        <f t="shared" si="16"/>
        <v>ميت بره</v>
      </c>
      <c r="AX13" s="59">
        <v>8</v>
      </c>
      <c r="AY13" s="59">
        <v>4849</v>
      </c>
      <c r="AZ13" s="59">
        <v>3</v>
      </c>
      <c r="BA13" s="59">
        <v>1533</v>
      </c>
      <c r="BB13" s="59">
        <f t="shared" si="17"/>
        <v>1533</v>
      </c>
      <c r="BC13" s="82">
        <f t="shared" si="18"/>
        <v>0.3161476593111982</v>
      </c>
      <c r="BD13" s="83">
        <v>21</v>
      </c>
      <c r="BE13" s="59">
        <v>1129</v>
      </c>
      <c r="BF13" s="59">
        <v>0</v>
      </c>
      <c r="BG13" s="59">
        <v>0</v>
      </c>
      <c r="BH13" s="59">
        <f t="shared" si="19"/>
        <v>0</v>
      </c>
      <c r="BI13" s="82">
        <f t="shared" si="20"/>
        <v>0</v>
      </c>
    </row>
    <row r="14" spans="1:61" ht="41.5" customHeight="1" thickBot="1" x14ac:dyDescent="0.4">
      <c r="A14" s="73">
        <v>4</v>
      </c>
      <c r="B14" s="127" t="s">
        <v>56</v>
      </c>
      <c r="C14" s="58">
        <v>5029</v>
      </c>
      <c r="D14" s="58">
        <v>4</v>
      </c>
      <c r="E14" s="59">
        <v>4</v>
      </c>
      <c r="F14" s="64">
        <f t="shared" si="0"/>
        <v>4</v>
      </c>
      <c r="G14" s="59">
        <v>29</v>
      </c>
      <c r="H14" s="64">
        <f t="shared" si="1"/>
        <v>29</v>
      </c>
      <c r="I14" s="59">
        <v>886</v>
      </c>
      <c r="J14" s="64">
        <f t="shared" si="2"/>
        <v>886</v>
      </c>
      <c r="K14" s="59">
        <v>0</v>
      </c>
      <c r="L14" s="64">
        <f t="shared" si="3"/>
        <v>0</v>
      </c>
      <c r="M14" s="59">
        <v>0</v>
      </c>
      <c r="N14" s="64">
        <f t="shared" si="4"/>
        <v>0</v>
      </c>
      <c r="O14" s="59">
        <v>0</v>
      </c>
      <c r="P14" s="64">
        <f t="shared" si="5"/>
        <v>0</v>
      </c>
      <c r="Q14" s="65">
        <f t="shared" si="6"/>
        <v>919</v>
      </c>
      <c r="R14" s="65">
        <f t="shared" si="7"/>
        <v>919</v>
      </c>
      <c r="S14" s="99">
        <f t="shared" si="8"/>
        <v>0.18274010737721216</v>
      </c>
      <c r="T14" s="59">
        <v>77</v>
      </c>
      <c r="U14" s="59">
        <f t="shared" si="9"/>
        <v>77</v>
      </c>
      <c r="V14" s="59">
        <v>0</v>
      </c>
      <c r="W14" s="59">
        <f t="shared" si="10"/>
        <v>0</v>
      </c>
      <c r="X14" s="59">
        <v>0</v>
      </c>
      <c r="Y14" s="59">
        <f t="shared" si="11"/>
        <v>0</v>
      </c>
      <c r="Z14" s="74"/>
      <c r="AA14" s="106"/>
      <c r="AB14" s="73">
        <v>4</v>
      </c>
      <c r="AC14" s="126" t="str">
        <f t="shared" si="12"/>
        <v>أبنــــــــــــــــهس</v>
      </c>
      <c r="AD14" s="59">
        <v>440</v>
      </c>
      <c r="AE14" s="59">
        <v>0</v>
      </c>
      <c r="AF14" s="58">
        <f t="shared" si="13"/>
        <v>440</v>
      </c>
      <c r="AG14" s="59">
        <v>94</v>
      </c>
      <c r="AH14" s="76">
        <f t="shared" si="21"/>
        <v>94</v>
      </c>
      <c r="AI14" s="65">
        <f t="shared" si="22"/>
        <v>346</v>
      </c>
      <c r="AJ14" s="77">
        <f t="shared" si="14"/>
        <v>9.7765957446808507</v>
      </c>
      <c r="AK14" s="78">
        <f t="shared" si="15"/>
        <v>9.7765957446808507</v>
      </c>
      <c r="AM14" s="237" t="s">
        <v>42</v>
      </c>
      <c r="AN14" s="238"/>
      <c r="AO14" s="239"/>
      <c r="AP14" s="240"/>
      <c r="AQ14" s="240"/>
      <c r="AR14" s="240"/>
      <c r="AS14" s="241"/>
      <c r="AT14" s="87">
        <f>AT13+AI51</f>
        <v>12933</v>
      </c>
      <c r="AU14" s="100"/>
      <c r="AW14" s="126" t="str">
        <f t="shared" si="16"/>
        <v>أبنــــــــــــــــهس</v>
      </c>
      <c r="AX14" s="59">
        <v>7</v>
      </c>
      <c r="AY14" s="59">
        <v>2531</v>
      </c>
      <c r="AZ14" s="59">
        <v>3</v>
      </c>
      <c r="BA14" s="59">
        <v>919</v>
      </c>
      <c r="BB14" s="59">
        <f t="shared" si="17"/>
        <v>919</v>
      </c>
      <c r="BC14" s="82">
        <f t="shared" si="18"/>
        <v>0.36309758988542079</v>
      </c>
      <c r="BD14" s="83">
        <v>23</v>
      </c>
      <c r="BE14" s="59">
        <v>921</v>
      </c>
      <c r="BF14" s="59">
        <v>0</v>
      </c>
      <c r="BG14" s="59">
        <v>0</v>
      </c>
      <c r="BH14" s="59">
        <f t="shared" si="19"/>
        <v>0</v>
      </c>
      <c r="BI14" s="82">
        <f t="shared" si="20"/>
        <v>0</v>
      </c>
    </row>
    <row r="15" spans="1:61" ht="41.5" customHeight="1" x14ac:dyDescent="0.35">
      <c r="A15" s="73">
        <v>5</v>
      </c>
      <c r="B15" s="127" t="s">
        <v>57</v>
      </c>
      <c r="C15" s="58">
        <v>2369</v>
      </c>
      <c r="D15" s="58">
        <v>3</v>
      </c>
      <c r="E15" s="59">
        <v>1</v>
      </c>
      <c r="F15" s="64">
        <f t="shared" si="0"/>
        <v>1</v>
      </c>
      <c r="G15" s="59">
        <v>182</v>
      </c>
      <c r="H15" s="64">
        <f t="shared" si="1"/>
        <v>182</v>
      </c>
      <c r="I15" s="59">
        <v>265</v>
      </c>
      <c r="J15" s="64">
        <f t="shared" si="2"/>
        <v>265</v>
      </c>
      <c r="K15" s="59">
        <v>0</v>
      </c>
      <c r="L15" s="64">
        <f t="shared" si="3"/>
        <v>0</v>
      </c>
      <c r="M15" s="59">
        <v>0</v>
      </c>
      <c r="N15" s="64">
        <f t="shared" si="4"/>
        <v>0</v>
      </c>
      <c r="O15" s="59">
        <v>0</v>
      </c>
      <c r="P15" s="64">
        <f t="shared" si="5"/>
        <v>0</v>
      </c>
      <c r="Q15" s="65">
        <f t="shared" si="6"/>
        <v>448</v>
      </c>
      <c r="R15" s="65">
        <f t="shared" si="7"/>
        <v>448</v>
      </c>
      <c r="S15" s="99">
        <f t="shared" si="8"/>
        <v>0.18910932883073026</v>
      </c>
      <c r="T15" s="59">
        <v>49</v>
      </c>
      <c r="U15" s="59">
        <f t="shared" si="9"/>
        <v>49</v>
      </c>
      <c r="V15" s="59">
        <v>0</v>
      </c>
      <c r="W15" s="59">
        <f t="shared" si="10"/>
        <v>0</v>
      </c>
      <c r="X15" s="59">
        <v>0</v>
      </c>
      <c r="Y15" s="59">
        <f t="shared" si="11"/>
        <v>0</v>
      </c>
      <c r="Z15" s="74"/>
      <c r="AA15" s="106"/>
      <c r="AB15" s="73">
        <v>5</v>
      </c>
      <c r="AC15" s="126" t="str">
        <f t="shared" si="12"/>
        <v>ميت ســـــــــراج</v>
      </c>
      <c r="AD15" s="59">
        <v>209</v>
      </c>
      <c r="AE15" s="59">
        <v>0</v>
      </c>
      <c r="AF15" s="58">
        <f t="shared" si="13"/>
        <v>209</v>
      </c>
      <c r="AG15" s="59">
        <v>46</v>
      </c>
      <c r="AH15" s="76">
        <f t="shared" si="21"/>
        <v>46</v>
      </c>
      <c r="AI15" s="65">
        <f t="shared" si="22"/>
        <v>163</v>
      </c>
      <c r="AJ15" s="77">
        <f t="shared" si="14"/>
        <v>9.7391304347826093</v>
      </c>
      <c r="AK15" s="78">
        <f t="shared" si="15"/>
        <v>9.7391304347826093</v>
      </c>
      <c r="AW15" s="126" t="str">
        <f t="shared" si="16"/>
        <v>ميت ســـــــــراج</v>
      </c>
      <c r="AX15" s="59">
        <v>2</v>
      </c>
      <c r="AY15" s="59">
        <v>1041</v>
      </c>
      <c r="AZ15" s="59">
        <v>1</v>
      </c>
      <c r="BA15" s="59">
        <v>307</v>
      </c>
      <c r="BB15" s="59">
        <f t="shared" si="17"/>
        <v>307</v>
      </c>
      <c r="BC15" s="82">
        <f t="shared" si="18"/>
        <v>0.29490874159462055</v>
      </c>
      <c r="BD15" s="83">
        <v>5</v>
      </c>
      <c r="BE15" s="59">
        <v>310</v>
      </c>
      <c r="BF15" s="59">
        <v>3</v>
      </c>
      <c r="BG15" s="59">
        <v>141</v>
      </c>
      <c r="BH15" s="59">
        <f t="shared" si="19"/>
        <v>141</v>
      </c>
      <c r="BI15" s="82">
        <f t="shared" si="20"/>
        <v>0.45483870967741935</v>
      </c>
    </row>
    <row r="16" spans="1:61" ht="41.5" customHeight="1" x14ac:dyDescent="0.35">
      <c r="A16" s="73">
        <v>6</v>
      </c>
      <c r="B16" s="127" t="s">
        <v>58</v>
      </c>
      <c r="C16" s="58">
        <v>4900</v>
      </c>
      <c r="D16" s="58">
        <v>4</v>
      </c>
      <c r="E16" s="59">
        <v>3</v>
      </c>
      <c r="F16" s="64">
        <f t="shared" si="0"/>
        <v>3</v>
      </c>
      <c r="G16" s="59">
        <v>121</v>
      </c>
      <c r="H16" s="64">
        <f t="shared" si="1"/>
        <v>121</v>
      </c>
      <c r="I16" s="59">
        <v>669</v>
      </c>
      <c r="J16" s="64">
        <f t="shared" si="2"/>
        <v>669</v>
      </c>
      <c r="K16" s="59">
        <v>0</v>
      </c>
      <c r="L16" s="64">
        <f t="shared" si="3"/>
        <v>0</v>
      </c>
      <c r="M16" s="59">
        <v>0</v>
      </c>
      <c r="N16" s="64">
        <f t="shared" si="4"/>
        <v>0</v>
      </c>
      <c r="O16" s="59">
        <v>0</v>
      </c>
      <c r="P16" s="64">
        <f t="shared" si="5"/>
        <v>0</v>
      </c>
      <c r="Q16" s="65">
        <f t="shared" si="6"/>
        <v>793</v>
      </c>
      <c r="R16" s="65">
        <f t="shared" si="7"/>
        <v>793</v>
      </c>
      <c r="S16" s="99">
        <f t="shared" si="8"/>
        <v>0.16183673469387755</v>
      </c>
      <c r="T16" s="59">
        <v>114</v>
      </c>
      <c r="U16" s="59">
        <f t="shared" si="9"/>
        <v>114</v>
      </c>
      <c r="V16" s="59">
        <v>0</v>
      </c>
      <c r="W16" s="59">
        <f t="shared" si="10"/>
        <v>0</v>
      </c>
      <c r="X16" s="59">
        <v>0</v>
      </c>
      <c r="Y16" s="59">
        <f t="shared" si="11"/>
        <v>0</v>
      </c>
      <c r="Z16" s="74"/>
      <c r="AA16" s="106"/>
      <c r="AB16" s="73">
        <v>6</v>
      </c>
      <c r="AC16" s="126" t="str">
        <f t="shared" si="12"/>
        <v>أم خــــــــــــــنان</v>
      </c>
      <c r="AD16" s="59">
        <v>430</v>
      </c>
      <c r="AE16" s="59">
        <v>0</v>
      </c>
      <c r="AF16" s="58">
        <f t="shared" si="13"/>
        <v>430</v>
      </c>
      <c r="AG16" s="59">
        <v>80</v>
      </c>
      <c r="AH16" s="76">
        <f t="shared" si="21"/>
        <v>80</v>
      </c>
      <c r="AI16" s="65">
        <f t="shared" si="22"/>
        <v>350</v>
      </c>
      <c r="AJ16" s="77">
        <f t="shared" si="14"/>
        <v>9.9124999999999996</v>
      </c>
      <c r="AK16" s="78">
        <f t="shared" si="15"/>
        <v>9.9124999999999996</v>
      </c>
      <c r="AW16" s="126" t="str">
        <f t="shared" si="16"/>
        <v>أم خــــــــــــــنان</v>
      </c>
      <c r="AX16" s="59">
        <v>8</v>
      </c>
      <c r="AY16" s="59">
        <v>2981</v>
      </c>
      <c r="AZ16" s="59">
        <v>1</v>
      </c>
      <c r="BA16" s="59">
        <v>764</v>
      </c>
      <c r="BB16" s="59">
        <f t="shared" si="17"/>
        <v>764</v>
      </c>
      <c r="BC16" s="82">
        <f t="shared" si="18"/>
        <v>0.25628983562562896</v>
      </c>
      <c r="BD16" s="83">
        <v>12</v>
      </c>
      <c r="BE16" s="59">
        <v>1313</v>
      </c>
      <c r="BF16" s="59">
        <v>0</v>
      </c>
      <c r="BG16" s="59">
        <v>0</v>
      </c>
      <c r="BH16" s="59">
        <f t="shared" si="19"/>
        <v>0</v>
      </c>
      <c r="BI16" s="82">
        <f t="shared" si="20"/>
        <v>0</v>
      </c>
    </row>
    <row r="17" spans="1:61" ht="41.5" customHeight="1" x14ac:dyDescent="0.35">
      <c r="A17" s="73">
        <v>7</v>
      </c>
      <c r="B17" s="127" t="s">
        <v>59</v>
      </c>
      <c r="C17" s="58">
        <v>3590</v>
      </c>
      <c r="D17" s="58">
        <v>3</v>
      </c>
      <c r="E17" s="59">
        <v>1</v>
      </c>
      <c r="F17" s="64">
        <f>E17</f>
        <v>1</v>
      </c>
      <c r="G17" s="59">
        <v>210</v>
      </c>
      <c r="H17" s="64">
        <f>G17</f>
        <v>210</v>
      </c>
      <c r="I17" s="59">
        <v>629</v>
      </c>
      <c r="J17" s="64">
        <f>I17</f>
        <v>629</v>
      </c>
      <c r="K17" s="59">
        <v>0</v>
      </c>
      <c r="L17" s="64">
        <f>K17</f>
        <v>0</v>
      </c>
      <c r="M17" s="59">
        <v>0</v>
      </c>
      <c r="N17" s="64">
        <f t="shared" si="4"/>
        <v>0</v>
      </c>
      <c r="O17" s="59">
        <v>0</v>
      </c>
      <c r="P17" s="64">
        <f>O17</f>
        <v>0</v>
      </c>
      <c r="Q17" s="65">
        <f>O17+M17+K17+I17+G17+E17</f>
        <v>840</v>
      </c>
      <c r="R17" s="65">
        <f>Q17</f>
        <v>840</v>
      </c>
      <c r="S17" s="99">
        <f t="shared" si="8"/>
        <v>0.23398328690807799</v>
      </c>
      <c r="T17" s="59">
        <v>161</v>
      </c>
      <c r="U17" s="59">
        <f>T17</f>
        <v>161</v>
      </c>
      <c r="V17" s="59">
        <v>0</v>
      </c>
      <c r="W17" s="59">
        <f>V17</f>
        <v>0</v>
      </c>
      <c r="X17" s="59">
        <v>0</v>
      </c>
      <c r="Y17" s="59">
        <f>X17</f>
        <v>0</v>
      </c>
      <c r="Z17" s="74"/>
      <c r="AA17" s="106"/>
      <c r="AB17" s="73">
        <v>7</v>
      </c>
      <c r="AC17" s="126" t="str">
        <f t="shared" si="12"/>
        <v>أجهور الرمل</v>
      </c>
      <c r="AD17" s="59">
        <v>316</v>
      </c>
      <c r="AE17" s="59">
        <v>0</v>
      </c>
      <c r="AF17" s="58">
        <f t="shared" si="13"/>
        <v>316</v>
      </c>
      <c r="AG17" s="59">
        <v>86</v>
      </c>
      <c r="AH17" s="76">
        <f t="shared" si="21"/>
        <v>86</v>
      </c>
      <c r="AI17" s="65">
        <f t="shared" si="22"/>
        <v>230</v>
      </c>
      <c r="AJ17" s="77">
        <f t="shared" si="14"/>
        <v>9.7674418604651159</v>
      </c>
      <c r="AK17" s="78">
        <f t="shared" si="15"/>
        <v>9.7674418604651159</v>
      </c>
      <c r="AW17" s="126" t="str">
        <f t="shared" si="16"/>
        <v>أجهور الرمل</v>
      </c>
      <c r="AX17" s="59">
        <v>4</v>
      </c>
      <c r="AY17" s="59">
        <v>1796</v>
      </c>
      <c r="AZ17" s="59">
        <v>1</v>
      </c>
      <c r="BA17" s="59">
        <v>598</v>
      </c>
      <c r="BB17" s="59">
        <f t="shared" si="17"/>
        <v>598</v>
      </c>
      <c r="BC17" s="82">
        <f t="shared" si="18"/>
        <v>0.33296213808463254</v>
      </c>
      <c r="BD17" s="83">
        <v>3</v>
      </c>
      <c r="BE17" s="59">
        <v>100</v>
      </c>
      <c r="BF17" s="59">
        <v>2</v>
      </c>
      <c r="BG17" s="59">
        <v>242</v>
      </c>
      <c r="BH17" s="59">
        <f t="shared" si="19"/>
        <v>242</v>
      </c>
      <c r="BI17" s="82">
        <f t="shared" si="20"/>
        <v>2.42</v>
      </c>
    </row>
    <row r="18" spans="1:61" ht="41.5" customHeight="1" x14ac:dyDescent="0.35">
      <c r="A18" s="73">
        <v>8</v>
      </c>
      <c r="B18" s="127" t="s">
        <v>60</v>
      </c>
      <c r="C18" s="58">
        <v>1320</v>
      </c>
      <c r="D18" s="58">
        <v>2</v>
      </c>
      <c r="E18" s="59">
        <v>11</v>
      </c>
      <c r="F18" s="64">
        <f>E18</f>
        <v>11</v>
      </c>
      <c r="G18" s="59">
        <v>98</v>
      </c>
      <c r="H18" s="64">
        <f>G18</f>
        <v>98</v>
      </c>
      <c r="I18" s="59">
        <v>502</v>
      </c>
      <c r="J18" s="64">
        <f>I18</f>
        <v>502</v>
      </c>
      <c r="K18" s="59">
        <v>0</v>
      </c>
      <c r="L18" s="64">
        <f>K18</f>
        <v>0</v>
      </c>
      <c r="M18" s="59">
        <v>0</v>
      </c>
      <c r="N18" s="64">
        <f t="shared" si="4"/>
        <v>0</v>
      </c>
      <c r="O18" s="59">
        <v>0</v>
      </c>
      <c r="P18" s="64">
        <f>O18</f>
        <v>0</v>
      </c>
      <c r="Q18" s="65">
        <f>O18+M18+K18+I18+G18+E18</f>
        <v>611</v>
      </c>
      <c r="R18" s="65">
        <f>Q18</f>
        <v>611</v>
      </c>
      <c r="S18" s="99">
        <f t="shared" si="8"/>
        <v>0.46287878787878789</v>
      </c>
      <c r="T18" s="59">
        <v>91</v>
      </c>
      <c r="U18" s="59">
        <f>T18</f>
        <v>91</v>
      </c>
      <c r="V18" s="59">
        <v>8</v>
      </c>
      <c r="W18" s="59">
        <f>V18</f>
        <v>8</v>
      </c>
      <c r="X18" s="59">
        <v>0</v>
      </c>
      <c r="Y18" s="59">
        <f>X18</f>
        <v>0</v>
      </c>
      <c r="Z18" s="74"/>
      <c r="AA18" s="106"/>
      <c r="AB18" s="73">
        <v>8</v>
      </c>
      <c r="AC18" s="126" t="str">
        <f t="shared" si="12"/>
        <v>منشأة دمــــــــــلو</v>
      </c>
      <c r="AD18" s="59">
        <v>115</v>
      </c>
      <c r="AE18" s="59">
        <v>0</v>
      </c>
      <c r="AF18" s="58">
        <f t="shared" si="13"/>
        <v>115</v>
      </c>
      <c r="AG18" s="59">
        <v>63</v>
      </c>
      <c r="AH18" s="76">
        <f t="shared" si="21"/>
        <v>63</v>
      </c>
      <c r="AI18" s="65">
        <f t="shared" si="22"/>
        <v>52</v>
      </c>
      <c r="AJ18" s="77">
        <f t="shared" si="14"/>
        <v>9.6984126984126977</v>
      </c>
      <c r="AK18" s="78">
        <f t="shared" si="15"/>
        <v>9.6984126984126977</v>
      </c>
      <c r="AW18" s="126" t="str">
        <f t="shared" si="16"/>
        <v>منشأة دمــــــــــلو</v>
      </c>
      <c r="AX18" s="59">
        <v>2</v>
      </c>
      <c r="AY18" s="59">
        <v>896</v>
      </c>
      <c r="AZ18" s="59">
        <v>1</v>
      </c>
      <c r="BA18" s="59">
        <v>561</v>
      </c>
      <c r="BB18" s="59">
        <f t="shared" si="17"/>
        <v>561</v>
      </c>
      <c r="BC18" s="82">
        <f t="shared" si="18"/>
        <v>0.6261160714285714</v>
      </c>
      <c r="BD18" s="83">
        <v>8</v>
      </c>
      <c r="BE18" s="59">
        <v>340</v>
      </c>
      <c r="BF18" s="59">
        <v>1</v>
      </c>
      <c r="BG18" s="59">
        <v>0</v>
      </c>
      <c r="BH18" s="59">
        <f t="shared" si="19"/>
        <v>0</v>
      </c>
      <c r="BI18" s="82">
        <f t="shared" si="20"/>
        <v>0</v>
      </c>
    </row>
    <row r="19" spans="1:61" ht="41.5" customHeight="1" x14ac:dyDescent="0.35">
      <c r="A19" s="73">
        <v>9</v>
      </c>
      <c r="B19" s="127" t="s">
        <v>61</v>
      </c>
      <c r="C19" s="58">
        <v>1414</v>
      </c>
      <c r="D19" s="58">
        <v>2</v>
      </c>
      <c r="E19" s="59">
        <v>7</v>
      </c>
      <c r="F19" s="64">
        <f>E19</f>
        <v>7</v>
      </c>
      <c r="G19" s="59">
        <v>14</v>
      </c>
      <c r="H19" s="64">
        <f>G19</f>
        <v>14</v>
      </c>
      <c r="I19" s="59">
        <v>424</v>
      </c>
      <c r="J19" s="64">
        <f>I19</f>
        <v>424</v>
      </c>
      <c r="K19" s="59">
        <v>0</v>
      </c>
      <c r="L19" s="64">
        <f>K19</f>
        <v>0</v>
      </c>
      <c r="M19" s="59">
        <v>0</v>
      </c>
      <c r="N19" s="64">
        <f t="shared" si="4"/>
        <v>0</v>
      </c>
      <c r="O19" s="59">
        <v>0</v>
      </c>
      <c r="P19" s="64">
        <f>O19</f>
        <v>0</v>
      </c>
      <c r="Q19" s="65">
        <f>O19+M19+K19+I19+G19+E19</f>
        <v>445</v>
      </c>
      <c r="R19" s="65">
        <f>Q19</f>
        <v>445</v>
      </c>
      <c r="S19" s="99">
        <f t="shared" si="8"/>
        <v>0.3147100424328147</v>
      </c>
      <c r="T19" s="59">
        <v>46</v>
      </c>
      <c r="U19" s="59">
        <f>T19</f>
        <v>46</v>
      </c>
      <c r="V19" s="59">
        <v>0</v>
      </c>
      <c r="W19" s="59">
        <f>V19</f>
        <v>0</v>
      </c>
      <c r="X19" s="59">
        <v>0</v>
      </c>
      <c r="Y19" s="59">
        <f>X19</f>
        <v>0</v>
      </c>
      <c r="Z19" s="74"/>
      <c r="AA19" s="106"/>
      <c r="AB19" s="73">
        <v>9</v>
      </c>
      <c r="AC19" s="126" t="str">
        <f t="shared" si="12"/>
        <v>شـــــــــــــرانيس</v>
      </c>
      <c r="AD19" s="59">
        <v>125</v>
      </c>
      <c r="AE19" s="59">
        <v>0</v>
      </c>
      <c r="AF19" s="58">
        <f t="shared" si="13"/>
        <v>125</v>
      </c>
      <c r="AG19" s="59">
        <v>46</v>
      </c>
      <c r="AH19" s="76">
        <f t="shared" si="21"/>
        <v>46</v>
      </c>
      <c r="AI19" s="65">
        <f t="shared" si="22"/>
        <v>79</v>
      </c>
      <c r="AJ19" s="77">
        <f t="shared" si="14"/>
        <v>9.6739130434782616</v>
      </c>
      <c r="AK19" s="78">
        <f t="shared" si="15"/>
        <v>9.6739130434782616</v>
      </c>
      <c r="AW19" s="126" t="str">
        <f t="shared" si="16"/>
        <v>شـــــــــــــرانيس</v>
      </c>
      <c r="AX19" s="59">
        <v>2</v>
      </c>
      <c r="AY19" s="59">
        <v>675</v>
      </c>
      <c r="AZ19" s="59">
        <v>1</v>
      </c>
      <c r="BA19" s="59">
        <v>427</v>
      </c>
      <c r="BB19" s="59">
        <f t="shared" si="17"/>
        <v>427</v>
      </c>
      <c r="BC19" s="82">
        <f t="shared" si="18"/>
        <v>0.6325925925925926</v>
      </c>
      <c r="BD19" s="83">
        <v>2</v>
      </c>
      <c r="BE19" s="59">
        <v>397</v>
      </c>
      <c r="BF19" s="59">
        <v>0</v>
      </c>
      <c r="BG19" s="59">
        <v>0</v>
      </c>
      <c r="BH19" s="59">
        <f t="shared" si="19"/>
        <v>0</v>
      </c>
      <c r="BI19" s="82">
        <f t="shared" si="20"/>
        <v>0</v>
      </c>
    </row>
    <row r="20" spans="1:61" ht="41.5" customHeight="1" x14ac:dyDescent="0.35">
      <c r="A20" s="73">
        <v>10</v>
      </c>
      <c r="B20" s="127" t="s">
        <v>62</v>
      </c>
      <c r="C20" s="58">
        <v>4115</v>
      </c>
      <c r="D20" s="58">
        <v>3</v>
      </c>
      <c r="E20" s="59">
        <v>14</v>
      </c>
      <c r="F20" s="64">
        <f>E20</f>
        <v>14</v>
      </c>
      <c r="G20" s="64">
        <v>32</v>
      </c>
      <c r="H20" s="64">
        <f>G20</f>
        <v>32</v>
      </c>
      <c r="I20" s="64">
        <v>527</v>
      </c>
      <c r="J20" s="64">
        <f>I20</f>
        <v>527</v>
      </c>
      <c r="K20" s="64">
        <v>0</v>
      </c>
      <c r="L20" s="64">
        <f>K20</f>
        <v>0</v>
      </c>
      <c r="M20" s="64">
        <v>0</v>
      </c>
      <c r="N20" s="64">
        <f t="shared" si="4"/>
        <v>0</v>
      </c>
      <c r="O20" s="64">
        <v>0</v>
      </c>
      <c r="P20" s="64">
        <f>O20</f>
        <v>0</v>
      </c>
      <c r="Q20" s="65">
        <f>O20+M20+K20+I20+G20+E20</f>
        <v>573</v>
      </c>
      <c r="R20" s="65">
        <f>Q20</f>
        <v>573</v>
      </c>
      <c r="S20" s="99">
        <f t="shared" si="8"/>
        <v>0.13924665856622115</v>
      </c>
      <c r="T20" s="59">
        <v>154</v>
      </c>
      <c r="U20" s="59">
        <f>T20</f>
        <v>154</v>
      </c>
      <c r="V20" s="59">
        <v>0</v>
      </c>
      <c r="W20" s="59">
        <f>V20</f>
        <v>0</v>
      </c>
      <c r="X20" s="59">
        <v>0</v>
      </c>
      <c r="Y20" s="59">
        <f>X20</f>
        <v>0</v>
      </c>
      <c r="Z20" s="74"/>
      <c r="AA20" s="106"/>
      <c r="AB20" s="73">
        <v>10</v>
      </c>
      <c r="AC20" s="126" t="str">
        <f t="shared" si="12"/>
        <v>قويســـــــــنا البلد</v>
      </c>
      <c r="AD20" s="58">
        <v>360</v>
      </c>
      <c r="AE20" s="62">
        <v>0</v>
      </c>
      <c r="AF20" s="58">
        <f t="shared" si="13"/>
        <v>360</v>
      </c>
      <c r="AG20" s="65">
        <v>58</v>
      </c>
      <c r="AH20" s="76">
        <f t="shared" si="21"/>
        <v>58</v>
      </c>
      <c r="AI20" s="65">
        <f t="shared" si="22"/>
        <v>302</v>
      </c>
      <c r="AJ20" s="77">
        <f t="shared" si="14"/>
        <v>9.8793103448275854</v>
      </c>
      <c r="AK20" s="78">
        <f t="shared" si="15"/>
        <v>9.8793103448275854</v>
      </c>
      <c r="AW20" s="126" t="str">
        <f t="shared" si="16"/>
        <v>قويســـــــــنا البلد</v>
      </c>
      <c r="AX20" s="59">
        <v>2</v>
      </c>
      <c r="AY20" s="59">
        <v>1539</v>
      </c>
      <c r="AZ20" s="59">
        <v>1</v>
      </c>
      <c r="BA20" s="59">
        <v>523</v>
      </c>
      <c r="BB20" s="59">
        <f t="shared" si="17"/>
        <v>523</v>
      </c>
      <c r="BC20" s="82">
        <f t="shared" si="18"/>
        <v>0.33983105912930472</v>
      </c>
      <c r="BD20" s="83">
        <v>7</v>
      </c>
      <c r="BE20" s="59">
        <v>580</v>
      </c>
      <c r="BF20" s="59">
        <v>0</v>
      </c>
      <c r="BG20" s="59">
        <v>0</v>
      </c>
      <c r="BH20" s="59">
        <f t="shared" si="19"/>
        <v>0</v>
      </c>
      <c r="BI20" s="82">
        <f t="shared" si="20"/>
        <v>0</v>
      </c>
    </row>
    <row r="21" spans="1:61" ht="41.5" customHeight="1" x14ac:dyDescent="0.35">
      <c r="A21" s="73">
        <v>11</v>
      </c>
      <c r="B21" s="127" t="s">
        <v>63</v>
      </c>
      <c r="C21" s="58">
        <v>1782</v>
      </c>
      <c r="D21" s="58">
        <v>3</v>
      </c>
      <c r="E21" s="59">
        <v>5</v>
      </c>
      <c r="F21" s="64">
        <f t="shared" ref="F21:F50" si="24">E21</f>
        <v>5</v>
      </c>
      <c r="G21" s="64">
        <v>101</v>
      </c>
      <c r="H21" s="64">
        <f t="shared" ref="H21:H50" si="25">G21</f>
        <v>101</v>
      </c>
      <c r="I21" s="64">
        <v>405</v>
      </c>
      <c r="J21" s="64">
        <f t="shared" ref="J21:J50" si="26">I21</f>
        <v>405</v>
      </c>
      <c r="K21" s="64">
        <v>0</v>
      </c>
      <c r="L21" s="64">
        <f t="shared" ref="L21:L50" si="27">K21</f>
        <v>0</v>
      </c>
      <c r="M21" s="64">
        <v>0</v>
      </c>
      <c r="N21" s="64">
        <f t="shared" si="4"/>
        <v>0</v>
      </c>
      <c r="O21" s="64">
        <v>0</v>
      </c>
      <c r="P21" s="64">
        <f t="shared" ref="P21:P50" si="28">O21</f>
        <v>0</v>
      </c>
      <c r="Q21" s="65">
        <f t="shared" ref="Q21:Q50" si="29">O21+M21+K21+I21+G21+E21</f>
        <v>511</v>
      </c>
      <c r="R21" s="65">
        <f t="shared" ref="R21:R50" si="30">Q21</f>
        <v>511</v>
      </c>
      <c r="S21" s="99">
        <f t="shared" ref="S21:S50" si="31">R21/C21</f>
        <v>0.28675645342312012</v>
      </c>
      <c r="T21" s="59">
        <v>56</v>
      </c>
      <c r="U21" s="59">
        <f t="shared" ref="U21:U50" si="32">T21</f>
        <v>56</v>
      </c>
      <c r="V21" s="59">
        <v>0</v>
      </c>
      <c r="W21" s="59">
        <f t="shared" ref="W21:W50" si="33">V21</f>
        <v>0</v>
      </c>
      <c r="X21" s="59">
        <v>0</v>
      </c>
      <c r="Y21" s="59">
        <f t="shared" ref="Y21:Y50" si="34">X21</f>
        <v>0</v>
      </c>
      <c r="Z21" s="74"/>
      <c r="AA21" s="106"/>
      <c r="AB21" s="73">
        <v>11</v>
      </c>
      <c r="AC21" s="126" t="str">
        <f t="shared" si="12"/>
        <v>بجيرم</v>
      </c>
      <c r="AD21" s="58">
        <v>157</v>
      </c>
      <c r="AE21" s="62">
        <v>0</v>
      </c>
      <c r="AF21" s="58">
        <f t="shared" ref="AF21:AF50" si="35">AD21+AE21</f>
        <v>157</v>
      </c>
      <c r="AG21" s="65">
        <v>52</v>
      </c>
      <c r="AH21" s="76">
        <f t="shared" si="21"/>
        <v>52</v>
      </c>
      <c r="AI21" s="65">
        <f t="shared" si="22"/>
        <v>105</v>
      </c>
      <c r="AJ21" s="77">
        <f t="shared" si="14"/>
        <v>9.8269230769230766</v>
      </c>
      <c r="AK21" s="78">
        <f t="shared" si="15"/>
        <v>9.8269230769230766</v>
      </c>
      <c r="AW21" s="126" t="str">
        <f t="shared" si="16"/>
        <v>بجيرم</v>
      </c>
      <c r="AX21" s="59">
        <v>4</v>
      </c>
      <c r="AY21" s="59">
        <v>946</v>
      </c>
      <c r="AZ21" s="59">
        <v>1</v>
      </c>
      <c r="BA21" s="59">
        <v>460</v>
      </c>
      <c r="BB21" s="59">
        <f t="shared" si="17"/>
        <v>460</v>
      </c>
      <c r="BC21" s="82">
        <f t="shared" ref="BC21:BC50" si="36">BB21/AY21</f>
        <v>0.48625792811839325</v>
      </c>
      <c r="BD21" s="83">
        <v>4</v>
      </c>
      <c r="BE21" s="59">
        <v>99</v>
      </c>
      <c r="BF21" s="59">
        <v>0</v>
      </c>
      <c r="BG21" s="59">
        <v>0</v>
      </c>
      <c r="BH21" s="59">
        <f t="shared" si="19"/>
        <v>0</v>
      </c>
      <c r="BI21" s="82">
        <f t="shared" ref="BI21:BI50" si="37">BH21/BE21</f>
        <v>0</v>
      </c>
    </row>
    <row r="22" spans="1:61" ht="41.5" customHeight="1" x14ac:dyDescent="0.35">
      <c r="A22" s="73">
        <v>12</v>
      </c>
      <c r="B22" s="127" t="s">
        <v>64</v>
      </c>
      <c r="C22" s="58">
        <v>2184</v>
      </c>
      <c r="D22" s="58">
        <v>3</v>
      </c>
      <c r="E22" s="59">
        <v>3</v>
      </c>
      <c r="F22" s="64">
        <f t="shared" si="24"/>
        <v>3</v>
      </c>
      <c r="G22" s="64">
        <v>181</v>
      </c>
      <c r="H22" s="64">
        <f t="shared" si="25"/>
        <v>181</v>
      </c>
      <c r="I22" s="64">
        <v>442</v>
      </c>
      <c r="J22" s="64">
        <f t="shared" si="26"/>
        <v>442</v>
      </c>
      <c r="K22" s="64">
        <v>0</v>
      </c>
      <c r="L22" s="64">
        <f t="shared" si="27"/>
        <v>0</v>
      </c>
      <c r="M22" s="64">
        <v>0</v>
      </c>
      <c r="N22" s="64">
        <f t="shared" si="4"/>
        <v>0</v>
      </c>
      <c r="O22" s="64">
        <v>0</v>
      </c>
      <c r="P22" s="64">
        <f t="shared" si="28"/>
        <v>0</v>
      </c>
      <c r="Q22" s="65">
        <f t="shared" si="29"/>
        <v>626</v>
      </c>
      <c r="R22" s="65">
        <f t="shared" si="30"/>
        <v>626</v>
      </c>
      <c r="S22" s="99">
        <f t="shared" si="31"/>
        <v>0.28663003663003661</v>
      </c>
      <c r="T22" s="59">
        <v>68</v>
      </c>
      <c r="U22" s="59">
        <f t="shared" si="32"/>
        <v>68</v>
      </c>
      <c r="V22" s="59">
        <v>0</v>
      </c>
      <c r="W22" s="59">
        <f t="shared" si="33"/>
        <v>0</v>
      </c>
      <c r="X22" s="59">
        <v>0</v>
      </c>
      <c r="Y22" s="59">
        <f t="shared" si="34"/>
        <v>0</v>
      </c>
      <c r="Z22" s="74"/>
      <c r="AA22" s="106"/>
      <c r="AB22" s="73">
        <v>12</v>
      </c>
      <c r="AC22" s="126" t="str">
        <f t="shared" si="12"/>
        <v>كفر بنى غريـــان</v>
      </c>
      <c r="AD22" s="58">
        <v>192</v>
      </c>
      <c r="AE22" s="62">
        <v>0</v>
      </c>
      <c r="AF22" s="58">
        <f t="shared" si="35"/>
        <v>192</v>
      </c>
      <c r="AG22" s="65">
        <v>63</v>
      </c>
      <c r="AH22" s="76">
        <f t="shared" si="21"/>
        <v>63</v>
      </c>
      <c r="AI22" s="65">
        <f t="shared" si="22"/>
        <v>129</v>
      </c>
      <c r="AJ22" s="77">
        <f t="shared" si="14"/>
        <v>9.9365079365079367</v>
      </c>
      <c r="AK22" s="78">
        <f t="shared" si="15"/>
        <v>9.9365079365079367</v>
      </c>
      <c r="AW22" s="126" t="str">
        <f t="shared" si="16"/>
        <v>كفر بنى غريـــان</v>
      </c>
      <c r="AX22" s="59">
        <v>3</v>
      </c>
      <c r="AY22" s="59">
        <v>1327</v>
      </c>
      <c r="AZ22" s="59">
        <v>1</v>
      </c>
      <c r="BA22" s="59">
        <v>566</v>
      </c>
      <c r="BB22" s="59">
        <f t="shared" si="17"/>
        <v>566</v>
      </c>
      <c r="BC22" s="82">
        <f t="shared" si="36"/>
        <v>0.42652599849284101</v>
      </c>
      <c r="BD22" s="83">
        <v>9</v>
      </c>
      <c r="BE22" s="59">
        <v>381</v>
      </c>
      <c r="BF22" s="59">
        <v>1</v>
      </c>
      <c r="BG22" s="59">
        <v>134</v>
      </c>
      <c r="BH22" s="59">
        <f t="shared" si="19"/>
        <v>134</v>
      </c>
      <c r="BI22" s="82">
        <f t="shared" si="37"/>
        <v>0.35170603674540685</v>
      </c>
    </row>
    <row r="23" spans="1:61" ht="41.5" customHeight="1" x14ac:dyDescent="0.35">
      <c r="A23" s="73">
        <v>13</v>
      </c>
      <c r="B23" s="127" t="s">
        <v>65</v>
      </c>
      <c r="C23" s="58">
        <v>862</v>
      </c>
      <c r="D23" s="58">
        <v>2</v>
      </c>
      <c r="E23" s="59">
        <v>4</v>
      </c>
      <c r="F23" s="64">
        <f>E23</f>
        <v>4</v>
      </c>
      <c r="G23" s="64">
        <v>38</v>
      </c>
      <c r="H23" s="64">
        <f>G23</f>
        <v>38</v>
      </c>
      <c r="I23" s="64">
        <v>326</v>
      </c>
      <c r="J23" s="64">
        <f t="shared" si="26"/>
        <v>326</v>
      </c>
      <c r="K23" s="64">
        <v>0</v>
      </c>
      <c r="L23" s="64">
        <f t="shared" si="27"/>
        <v>0</v>
      </c>
      <c r="M23" s="64">
        <v>0</v>
      </c>
      <c r="N23" s="64">
        <f t="shared" si="4"/>
        <v>0</v>
      </c>
      <c r="O23" s="64">
        <v>0</v>
      </c>
      <c r="P23" s="64">
        <f t="shared" si="28"/>
        <v>0</v>
      </c>
      <c r="Q23" s="65">
        <f t="shared" si="29"/>
        <v>368</v>
      </c>
      <c r="R23" s="65">
        <f t="shared" si="30"/>
        <v>368</v>
      </c>
      <c r="S23" s="99">
        <f t="shared" si="31"/>
        <v>0.42691415313225056</v>
      </c>
      <c r="T23" s="59">
        <v>27</v>
      </c>
      <c r="U23" s="59">
        <f t="shared" si="32"/>
        <v>27</v>
      </c>
      <c r="V23" s="59">
        <v>5</v>
      </c>
      <c r="W23" s="59">
        <f t="shared" si="33"/>
        <v>5</v>
      </c>
      <c r="X23" s="59">
        <v>0</v>
      </c>
      <c r="Y23" s="59">
        <f t="shared" si="34"/>
        <v>0</v>
      </c>
      <c r="Z23" s="74"/>
      <c r="AA23" s="106"/>
      <c r="AB23" s="73">
        <v>13</v>
      </c>
      <c r="AC23" s="126" t="str">
        <f t="shared" si="12"/>
        <v>بــقســـــــــــــــــا</v>
      </c>
      <c r="AD23" s="58">
        <v>75</v>
      </c>
      <c r="AE23" s="62">
        <v>0</v>
      </c>
      <c r="AF23" s="58">
        <f t="shared" si="35"/>
        <v>75</v>
      </c>
      <c r="AG23" s="65">
        <v>37</v>
      </c>
      <c r="AH23" s="76">
        <f t="shared" si="21"/>
        <v>37</v>
      </c>
      <c r="AI23" s="65">
        <f t="shared" si="22"/>
        <v>38</v>
      </c>
      <c r="AJ23" s="77">
        <f t="shared" si="14"/>
        <v>9.9459459459459456</v>
      </c>
      <c r="AK23" s="78">
        <f t="shared" si="15"/>
        <v>9.9459459459459456</v>
      </c>
      <c r="AW23" s="126" t="str">
        <f t="shared" si="16"/>
        <v>بــقســـــــــــــــــا</v>
      </c>
      <c r="AX23" s="59">
        <v>1</v>
      </c>
      <c r="AY23" s="59">
        <v>311</v>
      </c>
      <c r="AZ23" s="59">
        <v>1</v>
      </c>
      <c r="BA23" s="59">
        <v>288</v>
      </c>
      <c r="BB23" s="59">
        <f t="shared" si="17"/>
        <v>288</v>
      </c>
      <c r="BC23" s="82">
        <f t="shared" si="36"/>
        <v>0.92604501607717038</v>
      </c>
      <c r="BD23" s="83">
        <v>1</v>
      </c>
      <c r="BE23" s="59">
        <v>40</v>
      </c>
      <c r="BF23" s="59">
        <v>0</v>
      </c>
      <c r="BG23" s="59">
        <v>0</v>
      </c>
      <c r="BH23" s="59">
        <f t="shared" si="19"/>
        <v>0</v>
      </c>
      <c r="BI23" s="82">
        <f t="shared" si="37"/>
        <v>0</v>
      </c>
    </row>
    <row r="24" spans="1:61" ht="41.5" customHeight="1" x14ac:dyDescent="0.35">
      <c r="A24" s="73">
        <v>14</v>
      </c>
      <c r="B24" s="127" t="s">
        <v>66</v>
      </c>
      <c r="C24" s="58">
        <v>918</v>
      </c>
      <c r="D24" s="58">
        <v>2</v>
      </c>
      <c r="E24" s="59">
        <v>0</v>
      </c>
      <c r="F24" s="64">
        <f t="shared" si="24"/>
        <v>0</v>
      </c>
      <c r="G24" s="64">
        <v>62</v>
      </c>
      <c r="H24" s="64">
        <f t="shared" si="25"/>
        <v>62</v>
      </c>
      <c r="I24" s="64">
        <v>185</v>
      </c>
      <c r="J24" s="64">
        <f t="shared" si="26"/>
        <v>185</v>
      </c>
      <c r="K24" s="64">
        <v>0</v>
      </c>
      <c r="L24" s="64">
        <f t="shared" si="27"/>
        <v>0</v>
      </c>
      <c r="M24" s="64">
        <v>0</v>
      </c>
      <c r="N24" s="64">
        <f t="shared" si="4"/>
        <v>0</v>
      </c>
      <c r="O24" s="64">
        <v>0</v>
      </c>
      <c r="P24" s="64">
        <f t="shared" si="28"/>
        <v>0</v>
      </c>
      <c r="Q24" s="65">
        <f t="shared" si="29"/>
        <v>247</v>
      </c>
      <c r="R24" s="65">
        <f t="shared" si="30"/>
        <v>247</v>
      </c>
      <c r="S24" s="99">
        <f t="shared" si="31"/>
        <v>0.26906318082788672</v>
      </c>
      <c r="T24" s="59">
        <v>36</v>
      </c>
      <c r="U24" s="59">
        <f t="shared" si="32"/>
        <v>36</v>
      </c>
      <c r="V24" s="59">
        <v>0</v>
      </c>
      <c r="W24" s="59">
        <f t="shared" si="33"/>
        <v>0</v>
      </c>
      <c r="X24" s="59">
        <v>0</v>
      </c>
      <c r="Y24" s="59">
        <f t="shared" si="34"/>
        <v>0</v>
      </c>
      <c r="Z24" s="74"/>
      <c r="AA24" s="106"/>
      <c r="AB24" s="73">
        <v>14</v>
      </c>
      <c r="AC24" s="126" t="str">
        <f t="shared" si="12"/>
        <v>كفــــــــر الأكرم</v>
      </c>
      <c r="AD24" s="58">
        <v>80</v>
      </c>
      <c r="AE24" s="62">
        <v>0</v>
      </c>
      <c r="AF24" s="58">
        <f t="shared" si="35"/>
        <v>80</v>
      </c>
      <c r="AG24" s="65">
        <v>25</v>
      </c>
      <c r="AH24" s="76">
        <f t="shared" si="21"/>
        <v>25</v>
      </c>
      <c r="AI24" s="65">
        <f t="shared" si="22"/>
        <v>55</v>
      </c>
      <c r="AJ24" s="77">
        <f t="shared" si="14"/>
        <v>9.8800000000000008</v>
      </c>
      <c r="AK24" s="78">
        <f t="shared" si="15"/>
        <v>9.8800000000000008</v>
      </c>
      <c r="AW24" s="126" t="str">
        <f t="shared" si="16"/>
        <v>كفــــــــر الأكرم</v>
      </c>
      <c r="AX24" s="59">
        <v>2</v>
      </c>
      <c r="AY24" s="59">
        <v>540</v>
      </c>
      <c r="AZ24" s="59">
        <v>1</v>
      </c>
      <c r="BA24" s="59">
        <v>185</v>
      </c>
      <c r="BB24" s="59">
        <f t="shared" si="17"/>
        <v>185</v>
      </c>
      <c r="BC24" s="82">
        <f t="shared" si="36"/>
        <v>0.34259259259259262</v>
      </c>
      <c r="BD24" s="83">
        <v>2</v>
      </c>
      <c r="BE24" s="59">
        <v>115</v>
      </c>
      <c r="BF24" s="59">
        <v>1</v>
      </c>
      <c r="BG24" s="59">
        <v>32</v>
      </c>
      <c r="BH24" s="59">
        <f t="shared" si="19"/>
        <v>32</v>
      </c>
      <c r="BI24" s="82">
        <f t="shared" si="37"/>
        <v>0.27826086956521739</v>
      </c>
    </row>
    <row r="25" spans="1:61" ht="41.5" customHeight="1" x14ac:dyDescent="0.35">
      <c r="A25" s="73">
        <v>15</v>
      </c>
      <c r="B25" s="127" t="s">
        <v>67</v>
      </c>
      <c r="C25" s="58">
        <v>2072</v>
      </c>
      <c r="D25" s="58">
        <v>3</v>
      </c>
      <c r="E25" s="59">
        <v>0</v>
      </c>
      <c r="F25" s="64">
        <f t="shared" si="24"/>
        <v>0</v>
      </c>
      <c r="G25" s="64">
        <v>4</v>
      </c>
      <c r="H25" s="64">
        <f t="shared" si="25"/>
        <v>4</v>
      </c>
      <c r="I25" s="64">
        <v>605</v>
      </c>
      <c r="J25" s="64">
        <f t="shared" si="26"/>
        <v>605</v>
      </c>
      <c r="K25" s="64">
        <v>0</v>
      </c>
      <c r="L25" s="64">
        <f t="shared" si="27"/>
        <v>0</v>
      </c>
      <c r="M25" s="64">
        <v>0</v>
      </c>
      <c r="N25" s="64">
        <f t="shared" si="4"/>
        <v>0</v>
      </c>
      <c r="O25" s="64">
        <v>0</v>
      </c>
      <c r="P25" s="64">
        <f t="shared" si="28"/>
        <v>0</v>
      </c>
      <c r="Q25" s="65">
        <f t="shared" si="29"/>
        <v>609</v>
      </c>
      <c r="R25" s="65">
        <f t="shared" si="30"/>
        <v>609</v>
      </c>
      <c r="S25" s="99">
        <f t="shared" si="31"/>
        <v>0.29391891891891891</v>
      </c>
      <c r="T25" s="59">
        <v>108</v>
      </c>
      <c r="U25" s="59">
        <f t="shared" si="32"/>
        <v>108</v>
      </c>
      <c r="V25" s="59">
        <v>0</v>
      </c>
      <c r="W25" s="59">
        <f t="shared" si="33"/>
        <v>0</v>
      </c>
      <c r="X25" s="59">
        <v>0</v>
      </c>
      <c r="Y25" s="59">
        <f t="shared" si="34"/>
        <v>0</v>
      </c>
      <c r="Z25" s="74"/>
      <c r="AA25" s="106"/>
      <c r="AB25" s="73">
        <v>15</v>
      </c>
      <c r="AC25" s="126" t="str">
        <f t="shared" si="12"/>
        <v>كفـــــــــر إبنهس</v>
      </c>
      <c r="AD25" s="58">
        <v>180</v>
      </c>
      <c r="AE25" s="62">
        <v>0</v>
      </c>
      <c r="AF25" s="58">
        <f t="shared" si="35"/>
        <v>180</v>
      </c>
      <c r="AG25" s="65">
        <v>76</v>
      </c>
      <c r="AH25" s="76">
        <f t="shared" si="21"/>
        <v>76</v>
      </c>
      <c r="AI25" s="65">
        <f t="shared" si="22"/>
        <v>104</v>
      </c>
      <c r="AJ25" s="77">
        <f t="shared" si="14"/>
        <v>8.0131578947368425</v>
      </c>
      <c r="AK25" s="78">
        <f t="shared" si="15"/>
        <v>8.0131578947368425</v>
      </c>
      <c r="AW25" s="126" t="str">
        <f t="shared" si="16"/>
        <v>كفـــــــــر إبنهس</v>
      </c>
      <c r="AX25" s="59">
        <v>3</v>
      </c>
      <c r="AY25" s="59">
        <v>1013</v>
      </c>
      <c r="AZ25" s="59">
        <v>3</v>
      </c>
      <c r="BA25" s="59">
        <v>602</v>
      </c>
      <c r="BB25" s="59">
        <f t="shared" si="17"/>
        <v>602</v>
      </c>
      <c r="BC25" s="82">
        <f t="shared" si="36"/>
        <v>0.59427443237907207</v>
      </c>
      <c r="BD25" s="83">
        <v>4</v>
      </c>
      <c r="BE25" s="59">
        <v>620</v>
      </c>
      <c r="BF25" s="59">
        <v>0</v>
      </c>
      <c r="BG25" s="59">
        <v>0</v>
      </c>
      <c r="BH25" s="59">
        <f t="shared" si="19"/>
        <v>0</v>
      </c>
      <c r="BI25" s="82">
        <f t="shared" si="37"/>
        <v>0</v>
      </c>
    </row>
    <row r="26" spans="1:61" ht="41.5" customHeight="1" x14ac:dyDescent="0.35">
      <c r="A26" s="73">
        <v>16</v>
      </c>
      <c r="B26" s="127" t="s">
        <v>68</v>
      </c>
      <c r="C26" s="58">
        <v>2699</v>
      </c>
      <c r="D26" s="58">
        <v>3</v>
      </c>
      <c r="E26" s="59">
        <v>5</v>
      </c>
      <c r="F26" s="64">
        <f t="shared" si="24"/>
        <v>5</v>
      </c>
      <c r="G26" s="64">
        <v>133</v>
      </c>
      <c r="H26" s="64">
        <f t="shared" si="25"/>
        <v>133</v>
      </c>
      <c r="I26" s="64">
        <v>341</v>
      </c>
      <c r="J26" s="64">
        <f t="shared" si="26"/>
        <v>341</v>
      </c>
      <c r="K26" s="64">
        <v>0</v>
      </c>
      <c r="L26" s="64">
        <f t="shared" si="27"/>
        <v>0</v>
      </c>
      <c r="M26" s="64">
        <v>0</v>
      </c>
      <c r="N26" s="64">
        <f t="shared" si="4"/>
        <v>0</v>
      </c>
      <c r="O26" s="64">
        <v>0</v>
      </c>
      <c r="P26" s="64">
        <f t="shared" si="28"/>
        <v>0</v>
      </c>
      <c r="Q26" s="65">
        <f t="shared" si="29"/>
        <v>479</v>
      </c>
      <c r="R26" s="65">
        <f t="shared" si="30"/>
        <v>479</v>
      </c>
      <c r="S26" s="99">
        <f t="shared" si="31"/>
        <v>0.17747313819933308</v>
      </c>
      <c r="T26" s="59">
        <v>36</v>
      </c>
      <c r="U26" s="59">
        <f t="shared" si="32"/>
        <v>36</v>
      </c>
      <c r="V26" s="59">
        <v>0</v>
      </c>
      <c r="W26" s="59">
        <f t="shared" si="33"/>
        <v>0</v>
      </c>
      <c r="X26" s="59">
        <v>1</v>
      </c>
      <c r="Y26" s="59">
        <f t="shared" si="34"/>
        <v>1</v>
      </c>
      <c r="Z26" s="74"/>
      <c r="AA26" s="106"/>
      <c r="AB26" s="73">
        <v>16</v>
      </c>
      <c r="AC26" s="126" t="str">
        <f t="shared" si="12"/>
        <v>الرمــــــــــــــالى</v>
      </c>
      <c r="AD26" s="58">
        <v>235</v>
      </c>
      <c r="AE26" s="62">
        <v>0</v>
      </c>
      <c r="AF26" s="58">
        <f t="shared" si="35"/>
        <v>235</v>
      </c>
      <c r="AG26" s="65">
        <v>49</v>
      </c>
      <c r="AH26" s="76">
        <f t="shared" si="21"/>
        <v>49</v>
      </c>
      <c r="AI26" s="65">
        <f t="shared" si="22"/>
        <v>186</v>
      </c>
      <c r="AJ26" s="77">
        <f t="shared" si="14"/>
        <v>9.7755102040816322</v>
      </c>
      <c r="AK26" s="78">
        <f t="shared" si="15"/>
        <v>9.7755102040816322</v>
      </c>
      <c r="AW26" s="126" t="str">
        <f t="shared" si="16"/>
        <v>الرمــــــــــــــالى</v>
      </c>
      <c r="AX26" s="59">
        <v>3</v>
      </c>
      <c r="AY26" s="59">
        <v>1486</v>
      </c>
      <c r="AZ26" s="59">
        <v>1</v>
      </c>
      <c r="BA26" s="59">
        <v>425</v>
      </c>
      <c r="BB26" s="59">
        <f t="shared" si="17"/>
        <v>425</v>
      </c>
      <c r="BC26" s="82">
        <f t="shared" si="36"/>
        <v>0.2860026917900404</v>
      </c>
      <c r="BD26" s="83">
        <v>3</v>
      </c>
      <c r="BE26" s="59">
        <v>98</v>
      </c>
      <c r="BF26" s="59">
        <v>0</v>
      </c>
      <c r="BG26" s="59">
        <v>0</v>
      </c>
      <c r="BH26" s="59">
        <f t="shared" si="19"/>
        <v>0</v>
      </c>
      <c r="BI26" s="82">
        <f t="shared" si="37"/>
        <v>0</v>
      </c>
    </row>
    <row r="27" spans="1:61" ht="41.5" customHeight="1" x14ac:dyDescent="0.35">
      <c r="A27" s="73">
        <v>17</v>
      </c>
      <c r="B27" s="127" t="s">
        <v>69</v>
      </c>
      <c r="C27" s="58">
        <v>2666</v>
      </c>
      <c r="D27" s="58">
        <v>3</v>
      </c>
      <c r="E27" s="59">
        <v>36</v>
      </c>
      <c r="F27" s="64">
        <f t="shared" si="24"/>
        <v>36</v>
      </c>
      <c r="G27" s="64">
        <v>92</v>
      </c>
      <c r="H27" s="64">
        <f t="shared" si="25"/>
        <v>92</v>
      </c>
      <c r="I27" s="64">
        <v>512</v>
      </c>
      <c r="J27" s="64">
        <f t="shared" si="26"/>
        <v>512</v>
      </c>
      <c r="K27" s="64">
        <v>0</v>
      </c>
      <c r="L27" s="64">
        <f t="shared" si="27"/>
        <v>0</v>
      </c>
      <c r="M27" s="64">
        <v>0</v>
      </c>
      <c r="N27" s="64">
        <f t="shared" si="4"/>
        <v>0</v>
      </c>
      <c r="O27" s="64">
        <v>0</v>
      </c>
      <c r="P27" s="64">
        <f t="shared" si="28"/>
        <v>0</v>
      </c>
      <c r="Q27" s="65">
        <f t="shared" si="29"/>
        <v>640</v>
      </c>
      <c r="R27" s="65">
        <f t="shared" si="30"/>
        <v>640</v>
      </c>
      <c r="S27" s="99">
        <f t="shared" si="31"/>
        <v>0.24006001500375093</v>
      </c>
      <c r="T27" s="59">
        <v>45</v>
      </c>
      <c r="U27" s="59">
        <f t="shared" si="32"/>
        <v>45</v>
      </c>
      <c r="V27" s="59">
        <v>0</v>
      </c>
      <c r="W27" s="59">
        <f t="shared" si="33"/>
        <v>0</v>
      </c>
      <c r="X27" s="59">
        <v>0</v>
      </c>
      <c r="Y27" s="59">
        <f t="shared" si="34"/>
        <v>0</v>
      </c>
      <c r="Z27" s="74"/>
      <c r="AA27" s="106"/>
      <c r="AB27" s="73">
        <v>17</v>
      </c>
      <c r="AC27" s="126" t="str">
        <f t="shared" si="12"/>
        <v>مصطــــــــــــاى</v>
      </c>
      <c r="AD27" s="58">
        <v>234</v>
      </c>
      <c r="AE27" s="62">
        <v>0</v>
      </c>
      <c r="AF27" s="58">
        <f t="shared" si="35"/>
        <v>234</v>
      </c>
      <c r="AG27" s="65">
        <v>66</v>
      </c>
      <c r="AH27" s="76">
        <f t="shared" si="21"/>
        <v>66</v>
      </c>
      <c r="AI27" s="65">
        <f t="shared" si="22"/>
        <v>168</v>
      </c>
      <c r="AJ27" s="77">
        <f t="shared" si="14"/>
        <v>9.6969696969696972</v>
      </c>
      <c r="AK27" s="78">
        <f t="shared" si="15"/>
        <v>9.6969696969696972</v>
      </c>
      <c r="AW27" s="126" t="str">
        <f t="shared" si="16"/>
        <v>مصطــــــــــــاى</v>
      </c>
      <c r="AX27" s="59">
        <v>3</v>
      </c>
      <c r="AY27" s="59">
        <v>1709</v>
      </c>
      <c r="AZ27" s="59">
        <v>1</v>
      </c>
      <c r="BA27" s="59">
        <v>580</v>
      </c>
      <c r="BB27" s="59">
        <f t="shared" si="17"/>
        <v>580</v>
      </c>
      <c r="BC27" s="82">
        <f t="shared" si="36"/>
        <v>0.33937975424224692</v>
      </c>
      <c r="BD27" s="83">
        <v>6</v>
      </c>
      <c r="BE27" s="59">
        <v>696</v>
      </c>
      <c r="BF27" s="59">
        <v>0</v>
      </c>
      <c r="BG27" s="59">
        <v>0</v>
      </c>
      <c r="BH27" s="59">
        <f t="shared" si="19"/>
        <v>0</v>
      </c>
      <c r="BI27" s="82">
        <f t="shared" si="37"/>
        <v>0</v>
      </c>
    </row>
    <row r="28" spans="1:61" ht="41.5" customHeight="1" x14ac:dyDescent="0.35">
      <c r="A28" s="73">
        <v>18</v>
      </c>
      <c r="B28" s="127" t="s">
        <v>70</v>
      </c>
      <c r="C28" s="58">
        <v>1795</v>
      </c>
      <c r="D28" s="58">
        <v>3</v>
      </c>
      <c r="E28" s="59">
        <v>2</v>
      </c>
      <c r="F28" s="64">
        <f t="shared" si="24"/>
        <v>2</v>
      </c>
      <c r="G28" s="64">
        <v>42</v>
      </c>
      <c r="H28" s="64">
        <f t="shared" si="25"/>
        <v>42</v>
      </c>
      <c r="I28" s="64">
        <v>510</v>
      </c>
      <c r="J28" s="64">
        <f t="shared" si="26"/>
        <v>510</v>
      </c>
      <c r="K28" s="64">
        <v>0</v>
      </c>
      <c r="L28" s="64">
        <f t="shared" si="27"/>
        <v>0</v>
      </c>
      <c r="M28" s="64">
        <v>0</v>
      </c>
      <c r="N28" s="64">
        <f t="shared" si="4"/>
        <v>0</v>
      </c>
      <c r="O28" s="64">
        <v>0</v>
      </c>
      <c r="P28" s="64">
        <f t="shared" si="28"/>
        <v>0</v>
      </c>
      <c r="Q28" s="65">
        <f t="shared" si="29"/>
        <v>554</v>
      </c>
      <c r="R28" s="65">
        <f t="shared" si="30"/>
        <v>554</v>
      </c>
      <c r="S28" s="99">
        <f t="shared" si="31"/>
        <v>0.30863509749303619</v>
      </c>
      <c r="T28" s="59">
        <v>53</v>
      </c>
      <c r="U28" s="59">
        <f t="shared" si="32"/>
        <v>53</v>
      </c>
      <c r="V28" s="59">
        <v>0</v>
      </c>
      <c r="W28" s="59">
        <f t="shared" si="33"/>
        <v>0</v>
      </c>
      <c r="X28" s="59">
        <v>0</v>
      </c>
      <c r="Y28" s="59">
        <f t="shared" si="34"/>
        <v>0</v>
      </c>
      <c r="Z28" s="74"/>
      <c r="AA28" s="106"/>
      <c r="AB28" s="73">
        <v>18</v>
      </c>
      <c r="AC28" s="126" t="str">
        <f t="shared" si="12"/>
        <v>كفر طـــــــه شبرا</v>
      </c>
      <c r="AD28" s="58">
        <v>158</v>
      </c>
      <c r="AE28" s="62">
        <v>0</v>
      </c>
      <c r="AF28" s="58">
        <f t="shared" si="35"/>
        <v>158</v>
      </c>
      <c r="AG28" s="65">
        <v>59</v>
      </c>
      <c r="AH28" s="76">
        <f t="shared" si="21"/>
        <v>59</v>
      </c>
      <c r="AI28" s="65">
        <f t="shared" si="22"/>
        <v>99</v>
      </c>
      <c r="AJ28" s="77">
        <f t="shared" si="14"/>
        <v>9.3898305084745761</v>
      </c>
      <c r="AK28" s="78">
        <f t="shared" si="15"/>
        <v>9.3898305084745761</v>
      </c>
      <c r="AW28" s="126" t="str">
        <f t="shared" si="16"/>
        <v>كفر طـــــــه شبرا</v>
      </c>
      <c r="AX28" s="59">
        <v>4</v>
      </c>
      <c r="AY28" s="59">
        <v>948</v>
      </c>
      <c r="AZ28" s="59">
        <v>2</v>
      </c>
      <c r="BA28" s="59">
        <v>508</v>
      </c>
      <c r="BB28" s="59">
        <f t="shared" si="17"/>
        <v>508</v>
      </c>
      <c r="BC28" s="82">
        <f t="shared" si="36"/>
        <v>0.53586497890295359</v>
      </c>
      <c r="BD28" s="83">
        <v>7</v>
      </c>
      <c r="BE28" s="59">
        <v>300</v>
      </c>
      <c r="BF28" s="59">
        <v>1</v>
      </c>
      <c r="BG28" s="59">
        <v>37</v>
      </c>
      <c r="BH28" s="59">
        <f t="shared" si="19"/>
        <v>37</v>
      </c>
      <c r="BI28" s="82">
        <f t="shared" si="37"/>
        <v>0.12333333333333334</v>
      </c>
    </row>
    <row r="29" spans="1:61" ht="41.5" customHeight="1" x14ac:dyDescent="0.35">
      <c r="A29" s="73">
        <v>19</v>
      </c>
      <c r="B29" s="127" t="s">
        <v>71</v>
      </c>
      <c r="C29" s="58">
        <v>1397</v>
      </c>
      <c r="D29" s="58">
        <v>2</v>
      </c>
      <c r="E29" s="59">
        <v>0</v>
      </c>
      <c r="F29" s="64">
        <f t="shared" si="24"/>
        <v>0</v>
      </c>
      <c r="G29" s="64">
        <v>23</v>
      </c>
      <c r="H29" s="64">
        <f t="shared" si="25"/>
        <v>23</v>
      </c>
      <c r="I29" s="64">
        <v>357</v>
      </c>
      <c r="J29" s="64">
        <f t="shared" si="26"/>
        <v>357</v>
      </c>
      <c r="K29" s="64">
        <v>0</v>
      </c>
      <c r="L29" s="64">
        <f t="shared" si="27"/>
        <v>0</v>
      </c>
      <c r="M29" s="64">
        <v>0</v>
      </c>
      <c r="N29" s="64">
        <f t="shared" si="4"/>
        <v>0</v>
      </c>
      <c r="O29" s="64">
        <v>0</v>
      </c>
      <c r="P29" s="64">
        <f t="shared" si="28"/>
        <v>0</v>
      </c>
      <c r="Q29" s="65">
        <f t="shared" si="29"/>
        <v>380</v>
      </c>
      <c r="R29" s="65">
        <f t="shared" si="30"/>
        <v>380</v>
      </c>
      <c r="S29" s="99">
        <f t="shared" si="31"/>
        <v>0.2720114531138153</v>
      </c>
      <c r="T29" s="59">
        <v>49</v>
      </c>
      <c r="U29" s="59">
        <f t="shared" si="32"/>
        <v>49</v>
      </c>
      <c r="V29" s="59">
        <v>1</v>
      </c>
      <c r="W29" s="59">
        <f t="shared" si="33"/>
        <v>1</v>
      </c>
      <c r="X29" s="59">
        <v>0</v>
      </c>
      <c r="Y29" s="59">
        <f t="shared" si="34"/>
        <v>0</v>
      </c>
      <c r="Z29" s="74"/>
      <c r="AA29" s="106"/>
      <c r="AB29" s="73">
        <v>19</v>
      </c>
      <c r="AC29" s="126" t="str">
        <f t="shared" si="12"/>
        <v>كفر أبـــو الحسن</v>
      </c>
      <c r="AD29" s="58">
        <v>123</v>
      </c>
      <c r="AE29" s="62">
        <v>0</v>
      </c>
      <c r="AF29" s="58">
        <f t="shared" si="35"/>
        <v>123</v>
      </c>
      <c r="AG29" s="65">
        <v>39</v>
      </c>
      <c r="AH29" s="76">
        <f t="shared" si="21"/>
        <v>39</v>
      </c>
      <c r="AI29" s="65">
        <f t="shared" si="22"/>
        <v>84</v>
      </c>
      <c r="AJ29" s="77">
        <f t="shared" si="14"/>
        <v>9.7435897435897427</v>
      </c>
      <c r="AK29" s="78">
        <f t="shared" si="15"/>
        <v>9.7435897435897427</v>
      </c>
      <c r="AW29" s="126" t="str">
        <f t="shared" si="16"/>
        <v>كفر أبـــو الحسن</v>
      </c>
      <c r="AX29" s="59">
        <v>3</v>
      </c>
      <c r="AY29" s="59">
        <v>912</v>
      </c>
      <c r="AZ29" s="59">
        <v>1</v>
      </c>
      <c r="BA29" s="59">
        <v>376</v>
      </c>
      <c r="BB29" s="59">
        <f t="shared" si="17"/>
        <v>376</v>
      </c>
      <c r="BC29" s="82">
        <f t="shared" si="36"/>
        <v>0.41228070175438597</v>
      </c>
      <c r="BD29" s="83">
        <v>9</v>
      </c>
      <c r="BE29" s="59">
        <v>258</v>
      </c>
      <c r="BF29" s="59">
        <v>1</v>
      </c>
      <c r="BG29" s="59">
        <v>49</v>
      </c>
      <c r="BH29" s="59">
        <f t="shared" si="19"/>
        <v>49</v>
      </c>
      <c r="BI29" s="82">
        <f t="shared" si="37"/>
        <v>0.18992248062015504</v>
      </c>
    </row>
    <row r="30" spans="1:61" ht="41.5" customHeight="1" x14ac:dyDescent="0.35">
      <c r="A30" s="73">
        <v>20</v>
      </c>
      <c r="B30" s="127" t="s">
        <v>72</v>
      </c>
      <c r="C30" s="58">
        <v>1134</v>
      </c>
      <c r="D30" s="58">
        <v>2</v>
      </c>
      <c r="E30" s="59">
        <v>7</v>
      </c>
      <c r="F30" s="64">
        <f t="shared" si="24"/>
        <v>7</v>
      </c>
      <c r="G30" s="64">
        <v>50</v>
      </c>
      <c r="H30" s="64">
        <f t="shared" si="25"/>
        <v>50</v>
      </c>
      <c r="I30" s="64">
        <v>212</v>
      </c>
      <c r="J30" s="64">
        <f t="shared" si="26"/>
        <v>212</v>
      </c>
      <c r="K30" s="64">
        <v>0</v>
      </c>
      <c r="L30" s="64">
        <f t="shared" si="27"/>
        <v>0</v>
      </c>
      <c r="M30" s="64">
        <v>0</v>
      </c>
      <c r="N30" s="64">
        <f t="shared" si="4"/>
        <v>0</v>
      </c>
      <c r="O30" s="64">
        <v>0</v>
      </c>
      <c r="P30" s="64">
        <f t="shared" si="28"/>
        <v>0</v>
      </c>
      <c r="Q30" s="65">
        <f t="shared" si="29"/>
        <v>269</v>
      </c>
      <c r="R30" s="65">
        <f t="shared" si="30"/>
        <v>269</v>
      </c>
      <c r="S30" s="99">
        <f t="shared" si="31"/>
        <v>0.23721340388007053</v>
      </c>
      <c r="T30" s="59">
        <v>27</v>
      </c>
      <c r="U30" s="59">
        <f t="shared" si="32"/>
        <v>27</v>
      </c>
      <c r="V30" s="59">
        <v>0</v>
      </c>
      <c r="W30" s="59">
        <f t="shared" si="33"/>
        <v>0</v>
      </c>
      <c r="X30" s="59">
        <v>0</v>
      </c>
      <c r="Y30" s="59">
        <f t="shared" si="34"/>
        <v>0</v>
      </c>
      <c r="Z30" s="74"/>
      <c r="AA30" s="106"/>
      <c r="AB30" s="73">
        <v>20</v>
      </c>
      <c r="AC30" s="126" t="str">
        <f t="shared" si="12"/>
        <v>ميت أبـــــوشيخه</v>
      </c>
      <c r="AD30" s="58">
        <v>100</v>
      </c>
      <c r="AE30" s="62">
        <v>0</v>
      </c>
      <c r="AF30" s="58">
        <f t="shared" si="35"/>
        <v>100</v>
      </c>
      <c r="AG30" s="65">
        <v>27</v>
      </c>
      <c r="AH30" s="76">
        <f t="shared" si="21"/>
        <v>27</v>
      </c>
      <c r="AI30" s="65">
        <f t="shared" si="22"/>
        <v>73</v>
      </c>
      <c r="AJ30" s="77">
        <f t="shared" si="14"/>
        <v>9.9629629629629637</v>
      </c>
      <c r="AK30" s="78">
        <f t="shared" si="15"/>
        <v>9.9629629629629637</v>
      </c>
      <c r="AW30" s="126" t="str">
        <f t="shared" si="16"/>
        <v>ميت أبـــــوشيخه</v>
      </c>
      <c r="AX30" s="59">
        <v>2</v>
      </c>
      <c r="AY30" s="59">
        <v>560</v>
      </c>
      <c r="AZ30" s="59">
        <v>1</v>
      </c>
      <c r="BA30" s="59">
        <v>250</v>
      </c>
      <c r="BB30" s="59">
        <f t="shared" si="17"/>
        <v>250</v>
      </c>
      <c r="BC30" s="82">
        <f t="shared" si="36"/>
        <v>0.44642857142857145</v>
      </c>
      <c r="BD30" s="83">
        <v>2</v>
      </c>
      <c r="BE30" s="59">
        <v>107</v>
      </c>
      <c r="BF30" s="59">
        <v>0</v>
      </c>
      <c r="BG30" s="59">
        <v>0</v>
      </c>
      <c r="BH30" s="59">
        <f t="shared" si="19"/>
        <v>0</v>
      </c>
      <c r="BI30" s="82">
        <f t="shared" si="37"/>
        <v>0</v>
      </c>
    </row>
    <row r="31" spans="1:61" ht="41.5" customHeight="1" x14ac:dyDescent="0.35">
      <c r="A31" s="73">
        <v>21</v>
      </c>
      <c r="B31" s="127" t="s">
        <v>73</v>
      </c>
      <c r="C31" s="58">
        <v>5149</v>
      </c>
      <c r="D31" s="58">
        <v>4</v>
      </c>
      <c r="E31" s="59">
        <v>9</v>
      </c>
      <c r="F31" s="64">
        <f t="shared" si="24"/>
        <v>9</v>
      </c>
      <c r="G31" s="64">
        <v>261</v>
      </c>
      <c r="H31" s="64">
        <f t="shared" si="25"/>
        <v>261</v>
      </c>
      <c r="I31" s="64">
        <v>447</v>
      </c>
      <c r="J31" s="64">
        <f t="shared" si="26"/>
        <v>447</v>
      </c>
      <c r="K31" s="64">
        <v>0</v>
      </c>
      <c r="L31" s="64">
        <f t="shared" si="27"/>
        <v>0</v>
      </c>
      <c r="M31" s="64">
        <v>0</v>
      </c>
      <c r="N31" s="64">
        <f t="shared" si="4"/>
        <v>0</v>
      </c>
      <c r="O31" s="64">
        <v>0</v>
      </c>
      <c r="P31" s="64">
        <f t="shared" si="28"/>
        <v>0</v>
      </c>
      <c r="Q31" s="65">
        <f t="shared" si="29"/>
        <v>717</v>
      </c>
      <c r="R31" s="65">
        <f t="shared" si="30"/>
        <v>717</v>
      </c>
      <c r="S31" s="99">
        <f t="shared" si="31"/>
        <v>0.13925033987181978</v>
      </c>
      <c r="T31" s="59">
        <v>75</v>
      </c>
      <c r="U31" s="59">
        <f t="shared" si="32"/>
        <v>75</v>
      </c>
      <c r="V31" s="59">
        <v>2</v>
      </c>
      <c r="W31" s="59">
        <f t="shared" si="33"/>
        <v>2</v>
      </c>
      <c r="X31" s="59">
        <v>0</v>
      </c>
      <c r="Y31" s="59">
        <f t="shared" si="34"/>
        <v>0</v>
      </c>
      <c r="Z31" s="74"/>
      <c r="AA31" s="106"/>
      <c r="AB31" s="73">
        <v>21</v>
      </c>
      <c r="AC31" s="126" t="str">
        <f t="shared" si="12"/>
        <v>طــــــــــــه شبرا</v>
      </c>
      <c r="AD31" s="58">
        <v>452</v>
      </c>
      <c r="AE31" s="62">
        <v>0</v>
      </c>
      <c r="AF31" s="58">
        <f t="shared" si="35"/>
        <v>452</v>
      </c>
      <c r="AG31" s="65">
        <v>74</v>
      </c>
      <c r="AH31" s="76">
        <f t="shared" si="21"/>
        <v>74</v>
      </c>
      <c r="AI31" s="65">
        <f t="shared" si="22"/>
        <v>378</v>
      </c>
      <c r="AJ31" s="77">
        <f t="shared" si="14"/>
        <v>9.6891891891891895</v>
      </c>
      <c r="AK31" s="78">
        <f t="shared" si="15"/>
        <v>9.6891891891891895</v>
      </c>
      <c r="AW31" s="126" t="str">
        <f t="shared" si="16"/>
        <v>طــــــــــــه شبرا</v>
      </c>
      <c r="AX31" s="59">
        <v>6</v>
      </c>
      <c r="AY31" s="59">
        <v>2219</v>
      </c>
      <c r="AZ31" s="59">
        <v>1</v>
      </c>
      <c r="BA31" s="59">
        <v>554</v>
      </c>
      <c r="BB31" s="59">
        <f t="shared" si="17"/>
        <v>554</v>
      </c>
      <c r="BC31" s="82">
        <f t="shared" si="36"/>
        <v>0.24966200991437584</v>
      </c>
      <c r="BD31" s="83">
        <v>8</v>
      </c>
      <c r="BE31" s="59">
        <v>748</v>
      </c>
      <c r="BF31" s="59">
        <v>2</v>
      </c>
      <c r="BG31" s="59">
        <v>193</v>
      </c>
      <c r="BH31" s="59">
        <f t="shared" si="19"/>
        <v>193</v>
      </c>
      <c r="BI31" s="82">
        <f t="shared" si="37"/>
        <v>0.25802139037433153</v>
      </c>
    </row>
    <row r="32" spans="1:61" ht="41.5" customHeight="1" x14ac:dyDescent="0.35">
      <c r="A32" s="73">
        <v>22</v>
      </c>
      <c r="B32" s="127" t="s">
        <v>74</v>
      </c>
      <c r="C32" s="58">
        <v>2638</v>
      </c>
      <c r="D32" s="58">
        <v>3</v>
      </c>
      <c r="E32" s="59">
        <v>7</v>
      </c>
      <c r="F32" s="64">
        <f t="shared" si="24"/>
        <v>7</v>
      </c>
      <c r="G32" s="64">
        <v>94</v>
      </c>
      <c r="H32" s="64">
        <f t="shared" si="25"/>
        <v>94</v>
      </c>
      <c r="I32" s="64">
        <v>398</v>
      </c>
      <c r="J32" s="64">
        <f t="shared" si="26"/>
        <v>398</v>
      </c>
      <c r="K32" s="64">
        <v>0</v>
      </c>
      <c r="L32" s="64">
        <f t="shared" si="27"/>
        <v>0</v>
      </c>
      <c r="M32" s="64">
        <v>0</v>
      </c>
      <c r="N32" s="64">
        <f t="shared" si="4"/>
        <v>0</v>
      </c>
      <c r="O32" s="64">
        <v>0</v>
      </c>
      <c r="P32" s="64">
        <f t="shared" si="28"/>
        <v>0</v>
      </c>
      <c r="Q32" s="65">
        <f t="shared" si="29"/>
        <v>499</v>
      </c>
      <c r="R32" s="65">
        <f t="shared" si="30"/>
        <v>499</v>
      </c>
      <c r="S32" s="99">
        <f t="shared" si="31"/>
        <v>0.18915845337376799</v>
      </c>
      <c r="T32" s="59">
        <v>45</v>
      </c>
      <c r="U32" s="59">
        <f t="shared" si="32"/>
        <v>45</v>
      </c>
      <c r="V32" s="59">
        <v>0</v>
      </c>
      <c r="W32" s="59">
        <f t="shared" si="33"/>
        <v>0</v>
      </c>
      <c r="X32" s="59">
        <v>0</v>
      </c>
      <c r="Y32" s="59">
        <f t="shared" si="34"/>
        <v>0</v>
      </c>
      <c r="Z32" s="74"/>
      <c r="AA32" s="106"/>
      <c r="AB32" s="73">
        <v>22</v>
      </c>
      <c r="AC32" s="126" t="str">
        <f t="shared" si="12"/>
        <v>أشـــــــــــــــــليم</v>
      </c>
      <c r="AD32" s="58">
        <v>232</v>
      </c>
      <c r="AE32" s="62">
        <v>0</v>
      </c>
      <c r="AF32" s="58">
        <f t="shared" si="35"/>
        <v>232</v>
      </c>
      <c r="AG32" s="65">
        <v>52</v>
      </c>
      <c r="AH32" s="76">
        <f t="shared" si="21"/>
        <v>52</v>
      </c>
      <c r="AI32" s="65">
        <f t="shared" si="22"/>
        <v>180</v>
      </c>
      <c r="AJ32" s="77">
        <f t="shared" si="14"/>
        <v>9.5961538461538467</v>
      </c>
      <c r="AK32" s="78">
        <f t="shared" si="15"/>
        <v>9.5961538461538467</v>
      </c>
      <c r="AW32" s="126" t="str">
        <f t="shared" si="16"/>
        <v>أشـــــــــــــــــليم</v>
      </c>
      <c r="AX32" s="59">
        <v>8</v>
      </c>
      <c r="AY32" s="59">
        <v>1819</v>
      </c>
      <c r="AZ32" s="59">
        <v>2</v>
      </c>
      <c r="BA32" s="59">
        <v>432</v>
      </c>
      <c r="BB32" s="59">
        <f t="shared" si="17"/>
        <v>432</v>
      </c>
      <c r="BC32" s="82">
        <f t="shared" si="36"/>
        <v>0.23749312809235845</v>
      </c>
      <c r="BD32" s="83">
        <v>7</v>
      </c>
      <c r="BE32" s="59">
        <v>176</v>
      </c>
      <c r="BF32" s="59">
        <v>3</v>
      </c>
      <c r="BG32" s="59">
        <v>57</v>
      </c>
      <c r="BH32" s="59">
        <f t="shared" si="19"/>
        <v>57</v>
      </c>
      <c r="BI32" s="82">
        <f t="shared" si="37"/>
        <v>0.32386363636363635</v>
      </c>
    </row>
    <row r="33" spans="1:61" ht="41.5" customHeight="1" x14ac:dyDescent="0.35">
      <c r="A33" s="73">
        <v>23</v>
      </c>
      <c r="B33" s="127" t="s">
        <v>75</v>
      </c>
      <c r="C33" s="58">
        <v>2050</v>
      </c>
      <c r="D33" s="58">
        <v>2</v>
      </c>
      <c r="E33" s="59">
        <v>1</v>
      </c>
      <c r="F33" s="64">
        <f t="shared" si="24"/>
        <v>1</v>
      </c>
      <c r="G33" s="64">
        <v>46</v>
      </c>
      <c r="H33" s="64">
        <f t="shared" si="25"/>
        <v>46</v>
      </c>
      <c r="I33" s="64">
        <v>693</v>
      </c>
      <c r="J33" s="64">
        <f t="shared" si="26"/>
        <v>693</v>
      </c>
      <c r="K33" s="64">
        <v>0</v>
      </c>
      <c r="L33" s="64">
        <f t="shared" si="27"/>
        <v>0</v>
      </c>
      <c r="M33" s="64">
        <v>0</v>
      </c>
      <c r="N33" s="64">
        <f t="shared" si="4"/>
        <v>0</v>
      </c>
      <c r="O33" s="64">
        <v>0</v>
      </c>
      <c r="P33" s="64">
        <f t="shared" si="28"/>
        <v>0</v>
      </c>
      <c r="Q33" s="65">
        <f t="shared" si="29"/>
        <v>740</v>
      </c>
      <c r="R33" s="65">
        <f t="shared" si="30"/>
        <v>740</v>
      </c>
      <c r="S33" s="99">
        <f t="shared" si="31"/>
        <v>0.36097560975609755</v>
      </c>
      <c r="T33" s="59">
        <v>96</v>
      </c>
      <c r="U33" s="59">
        <f t="shared" si="32"/>
        <v>96</v>
      </c>
      <c r="V33" s="59">
        <v>4</v>
      </c>
      <c r="W33" s="59">
        <f t="shared" si="33"/>
        <v>4</v>
      </c>
      <c r="X33" s="59">
        <v>0</v>
      </c>
      <c r="Y33" s="59">
        <f t="shared" si="34"/>
        <v>0</v>
      </c>
      <c r="Z33" s="74"/>
      <c r="AA33" s="106"/>
      <c r="AB33" s="73">
        <v>23</v>
      </c>
      <c r="AC33" s="126" t="str">
        <f t="shared" si="12"/>
        <v>شبرا قبالــــــــــه</v>
      </c>
      <c r="AD33" s="58">
        <v>180</v>
      </c>
      <c r="AE33" s="62">
        <v>0</v>
      </c>
      <c r="AF33" s="58">
        <f t="shared" si="35"/>
        <v>180</v>
      </c>
      <c r="AG33" s="65">
        <v>74</v>
      </c>
      <c r="AH33" s="76">
        <f t="shared" si="21"/>
        <v>74</v>
      </c>
      <c r="AI33" s="65">
        <f t="shared" si="22"/>
        <v>106</v>
      </c>
      <c r="AJ33" s="77">
        <f t="shared" si="14"/>
        <v>10</v>
      </c>
      <c r="AK33" s="78">
        <f t="shared" si="15"/>
        <v>10</v>
      </c>
      <c r="AW33" s="126" t="str">
        <f t="shared" si="16"/>
        <v>شبرا قبالــــــــــه</v>
      </c>
      <c r="AX33" s="59">
        <v>1</v>
      </c>
      <c r="AY33" s="59">
        <v>918</v>
      </c>
      <c r="AZ33" s="59">
        <v>1</v>
      </c>
      <c r="BA33" s="59">
        <v>720</v>
      </c>
      <c r="BB33" s="59">
        <f t="shared" si="17"/>
        <v>720</v>
      </c>
      <c r="BC33" s="82">
        <f t="shared" si="36"/>
        <v>0.78431372549019607</v>
      </c>
      <c r="BD33" s="83">
        <v>5</v>
      </c>
      <c r="BE33" s="59">
        <v>375</v>
      </c>
      <c r="BF33" s="59">
        <v>0</v>
      </c>
      <c r="BG33" s="59">
        <v>0</v>
      </c>
      <c r="BH33" s="59">
        <f t="shared" si="19"/>
        <v>0</v>
      </c>
      <c r="BI33" s="82">
        <f t="shared" si="37"/>
        <v>0</v>
      </c>
    </row>
    <row r="34" spans="1:61" ht="41.5" customHeight="1" x14ac:dyDescent="0.35">
      <c r="A34" s="73">
        <v>24</v>
      </c>
      <c r="B34" s="127" t="s">
        <v>76</v>
      </c>
      <c r="C34" s="58">
        <v>5755</v>
      </c>
      <c r="D34" s="58">
        <v>4</v>
      </c>
      <c r="E34" s="59">
        <v>7</v>
      </c>
      <c r="F34" s="64">
        <f t="shared" si="24"/>
        <v>7</v>
      </c>
      <c r="G34" s="64">
        <v>141</v>
      </c>
      <c r="H34" s="64">
        <f t="shared" si="25"/>
        <v>141</v>
      </c>
      <c r="I34" s="64">
        <v>620</v>
      </c>
      <c r="J34" s="64">
        <f t="shared" si="26"/>
        <v>620</v>
      </c>
      <c r="K34" s="64">
        <v>0</v>
      </c>
      <c r="L34" s="64">
        <f t="shared" si="27"/>
        <v>0</v>
      </c>
      <c r="M34" s="64">
        <v>0</v>
      </c>
      <c r="N34" s="64">
        <f t="shared" si="4"/>
        <v>0</v>
      </c>
      <c r="O34" s="64">
        <v>0</v>
      </c>
      <c r="P34" s="64">
        <f t="shared" si="28"/>
        <v>0</v>
      </c>
      <c r="Q34" s="65">
        <f t="shared" si="29"/>
        <v>768</v>
      </c>
      <c r="R34" s="65">
        <f t="shared" si="30"/>
        <v>768</v>
      </c>
      <c r="S34" s="99">
        <f t="shared" si="31"/>
        <v>0.13344917463075587</v>
      </c>
      <c r="T34" s="59">
        <v>284</v>
      </c>
      <c r="U34" s="59">
        <f t="shared" si="32"/>
        <v>284</v>
      </c>
      <c r="V34" s="59">
        <v>0</v>
      </c>
      <c r="W34" s="59">
        <f t="shared" si="33"/>
        <v>0</v>
      </c>
      <c r="X34" s="59">
        <v>0</v>
      </c>
      <c r="Y34" s="59">
        <f t="shared" si="34"/>
        <v>0</v>
      </c>
      <c r="Z34" s="74"/>
      <c r="AA34" s="106"/>
      <c r="AB34" s="73">
        <v>24</v>
      </c>
      <c r="AC34" s="126" t="str">
        <f t="shared" si="12"/>
        <v>عرب الرمـــــــل</v>
      </c>
      <c r="AD34" s="58">
        <v>505</v>
      </c>
      <c r="AE34" s="62">
        <v>0</v>
      </c>
      <c r="AF34" s="58">
        <f t="shared" si="35"/>
        <v>505</v>
      </c>
      <c r="AG34" s="65">
        <v>78</v>
      </c>
      <c r="AH34" s="76">
        <f t="shared" si="21"/>
        <v>78</v>
      </c>
      <c r="AI34" s="65">
        <f t="shared" si="22"/>
        <v>427</v>
      </c>
      <c r="AJ34" s="77">
        <f t="shared" si="14"/>
        <v>9.8461538461538467</v>
      </c>
      <c r="AK34" s="78">
        <f t="shared" si="15"/>
        <v>9.8461538461538467</v>
      </c>
      <c r="AW34" s="126" t="str">
        <f t="shared" si="16"/>
        <v>عرب الرمـــــــل</v>
      </c>
      <c r="AX34" s="59">
        <v>6</v>
      </c>
      <c r="AY34" s="59">
        <v>2210</v>
      </c>
      <c r="AZ34" s="59">
        <v>3</v>
      </c>
      <c r="BA34" s="59">
        <v>637</v>
      </c>
      <c r="BB34" s="59">
        <f t="shared" si="17"/>
        <v>637</v>
      </c>
      <c r="BC34" s="82">
        <f t="shared" si="36"/>
        <v>0.28823529411764703</v>
      </c>
      <c r="BD34" s="83">
        <v>9</v>
      </c>
      <c r="BE34" s="59">
        <v>932</v>
      </c>
      <c r="BF34" s="59">
        <v>3</v>
      </c>
      <c r="BG34" s="59">
        <v>131</v>
      </c>
      <c r="BH34" s="59">
        <f t="shared" si="19"/>
        <v>131</v>
      </c>
      <c r="BI34" s="82">
        <f t="shared" si="37"/>
        <v>0.1405579399141631</v>
      </c>
    </row>
    <row r="35" spans="1:61" ht="41.5" customHeight="1" x14ac:dyDescent="0.35">
      <c r="A35" s="73">
        <v>25</v>
      </c>
      <c r="B35" s="127" t="s">
        <v>77</v>
      </c>
      <c r="C35" s="58">
        <v>1840</v>
      </c>
      <c r="D35" s="58">
        <v>2</v>
      </c>
      <c r="E35" s="59">
        <v>2</v>
      </c>
      <c r="F35" s="64">
        <f t="shared" si="24"/>
        <v>2</v>
      </c>
      <c r="G35" s="64">
        <v>59</v>
      </c>
      <c r="H35" s="64">
        <f t="shared" si="25"/>
        <v>59</v>
      </c>
      <c r="I35" s="64">
        <v>299</v>
      </c>
      <c r="J35" s="64">
        <f t="shared" si="26"/>
        <v>299</v>
      </c>
      <c r="K35" s="64">
        <v>0</v>
      </c>
      <c r="L35" s="64">
        <f t="shared" si="27"/>
        <v>0</v>
      </c>
      <c r="M35" s="64">
        <v>0</v>
      </c>
      <c r="N35" s="64">
        <f t="shared" si="4"/>
        <v>0</v>
      </c>
      <c r="O35" s="64">
        <v>0</v>
      </c>
      <c r="P35" s="64">
        <f t="shared" si="28"/>
        <v>0</v>
      </c>
      <c r="Q35" s="65">
        <f t="shared" si="29"/>
        <v>360</v>
      </c>
      <c r="R35" s="65">
        <f t="shared" si="30"/>
        <v>360</v>
      </c>
      <c r="S35" s="99">
        <f t="shared" si="31"/>
        <v>0.19565217391304349</v>
      </c>
      <c r="T35" s="59">
        <v>51</v>
      </c>
      <c r="U35" s="59">
        <f t="shared" si="32"/>
        <v>51</v>
      </c>
      <c r="V35" s="59">
        <v>3</v>
      </c>
      <c r="W35" s="59">
        <f t="shared" si="33"/>
        <v>3</v>
      </c>
      <c r="X35" s="59">
        <v>0</v>
      </c>
      <c r="Y35" s="59">
        <f t="shared" si="34"/>
        <v>0</v>
      </c>
      <c r="Z35" s="74"/>
      <c r="AA35" s="106"/>
      <c r="AB35" s="73">
        <v>25</v>
      </c>
      <c r="AC35" s="126" t="str">
        <f t="shared" si="12"/>
        <v>كفر ميت سراج</v>
      </c>
      <c r="AD35" s="58">
        <v>162</v>
      </c>
      <c r="AE35" s="62">
        <v>0</v>
      </c>
      <c r="AF35" s="58">
        <f t="shared" si="35"/>
        <v>162</v>
      </c>
      <c r="AG35" s="65">
        <v>36</v>
      </c>
      <c r="AH35" s="76">
        <f t="shared" si="21"/>
        <v>36</v>
      </c>
      <c r="AI35" s="65">
        <f t="shared" si="22"/>
        <v>126</v>
      </c>
      <c r="AJ35" s="77">
        <f t="shared" si="14"/>
        <v>10</v>
      </c>
      <c r="AK35" s="78">
        <f t="shared" si="15"/>
        <v>10</v>
      </c>
      <c r="AW35" s="126" t="str">
        <f t="shared" si="16"/>
        <v>كفر ميت سراج</v>
      </c>
      <c r="AX35" s="59">
        <v>3</v>
      </c>
      <c r="AY35" s="59">
        <v>1011</v>
      </c>
      <c r="AZ35" s="59">
        <v>1</v>
      </c>
      <c r="BA35" s="59">
        <v>320</v>
      </c>
      <c r="BB35" s="59">
        <f t="shared" si="17"/>
        <v>320</v>
      </c>
      <c r="BC35" s="82">
        <f t="shared" si="36"/>
        <v>0.31651829871414439</v>
      </c>
      <c r="BD35" s="83">
        <v>4</v>
      </c>
      <c r="BE35" s="59">
        <v>413</v>
      </c>
      <c r="BF35" s="59">
        <v>0</v>
      </c>
      <c r="BG35" s="59">
        <v>0</v>
      </c>
      <c r="BH35" s="59">
        <f t="shared" si="19"/>
        <v>0</v>
      </c>
      <c r="BI35" s="82">
        <f t="shared" si="37"/>
        <v>0</v>
      </c>
    </row>
    <row r="36" spans="1:61" ht="41.5" customHeight="1" x14ac:dyDescent="0.35">
      <c r="A36" s="73">
        <v>26</v>
      </c>
      <c r="B36" s="127" t="s">
        <v>78</v>
      </c>
      <c r="C36" s="58">
        <v>1345</v>
      </c>
      <c r="D36" s="58">
        <v>2</v>
      </c>
      <c r="E36" s="59">
        <v>3</v>
      </c>
      <c r="F36" s="64">
        <f t="shared" si="24"/>
        <v>3</v>
      </c>
      <c r="G36" s="64">
        <v>58</v>
      </c>
      <c r="H36" s="64">
        <f t="shared" si="25"/>
        <v>58</v>
      </c>
      <c r="I36" s="64">
        <v>305</v>
      </c>
      <c r="J36" s="64">
        <f t="shared" si="26"/>
        <v>305</v>
      </c>
      <c r="K36" s="64">
        <v>0</v>
      </c>
      <c r="L36" s="64">
        <f t="shared" si="27"/>
        <v>0</v>
      </c>
      <c r="M36" s="64">
        <v>0</v>
      </c>
      <c r="N36" s="64">
        <f t="shared" si="4"/>
        <v>0</v>
      </c>
      <c r="O36" s="64">
        <v>0</v>
      </c>
      <c r="P36" s="64">
        <f t="shared" si="28"/>
        <v>0</v>
      </c>
      <c r="Q36" s="65">
        <f t="shared" si="29"/>
        <v>366</v>
      </c>
      <c r="R36" s="65">
        <f t="shared" si="30"/>
        <v>366</v>
      </c>
      <c r="S36" s="99">
        <f t="shared" si="31"/>
        <v>0.2721189591078067</v>
      </c>
      <c r="T36" s="59">
        <v>37</v>
      </c>
      <c r="U36" s="59">
        <f t="shared" si="32"/>
        <v>37</v>
      </c>
      <c r="V36" s="59">
        <v>0</v>
      </c>
      <c r="W36" s="59">
        <f t="shared" si="33"/>
        <v>0</v>
      </c>
      <c r="X36" s="59">
        <v>0</v>
      </c>
      <c r="Y36" s="59">
        <f t="shared" si="34"/>
        <v>0</v>
      </c>
      <c r="Z36" s="74"/>
      <c r="AA36" s="106"/>
      <c r="AB36" s="73">
        <v>26</v>
      </c>
      <c r="AC36" s="126" t="str">
        <f t="shared" si="12"/>
        <v>كفر أبشيش</v>
      </c>
      <c r="AD36" s="58">
        <v>119</v>
      </c>
      <c r="AE36" s="62">
        <v>0</v>
      </c>
      <c r="AF36" s="58">
        <f t="shared" si="35"/>
        <v>119</v>
      </c>
      <c r="AG36" s="65">
        <v>37</v>
      </c>
      <c r="AH36" s="76">
        <f t="shared" si="21"/>
        <v>37</v>
      </c>
      <c r="AI36" s="65">
        <f t="shared" si="22"/>
        <v>82</v>
      </c>
      <c r="AJ36" s="77">
        <f t="shared" si="14"/>
        <v>9.8918918918918912</v>
      </c>
      <c r="AK36" s="78">
        <f t="shared" si="15"/>
        <v>9.8918918918918912</v>
      </c>
      <c r="AW36" s="126" t="str">
        <f t="shared" si="16"/>
        <v>كفر أبشيش</v>
      </c>
      <c r="AX36" s="59">
        <v>1</v>
      </c>
      <c r="AY36" s="59">
        <v>860</v>
      </c>
      <c r="AZ36" s="59">
        <v>1</v>
      </c>
      <c r="BA36" s="59">
        <v>300</v>
      </c>
      <c r="BB36" s="59">
        <f t="shared" si="17"/>
        <v>300</v>
      </c>
      <c r="BC36" s="82">
        <f t="shared" si="36"/>
        <v>0.34883720930232559</v>
      </c>
      <c r="BD36" s="83">
        <v>4</v>
      </c>
      <c r="BE36" s="59">
        <v>194</v>
      </c>
      <c r="BF36" s="59">
        <v>0</v>
      </c>
      <c r="BG36" s="59">
        <v>0</v>
      </c>
      <c r="BH36" s="59">
        <f t="shared" si="19"/>
        <v>0</v>
      </c>
      <c r="BI36" s="82">
        <f t="shared" si="37"/>
        <v>0</v>
      </c>
    </row>
    <row r="37" spans="1:61" ht="41.5" customHeight="1" x14ac:dyDescent="0.35">
      <c r="A37" s="73">
        <v>27</v>
      </c>
      <c r="B37" s="127" t="s">
        <v>79</v>
      </c>
      <c r="C37" s="58">
        <v>1180</v>
      </c>
      <c r="D37" s="58">
        <v>2</v>
      </c>
      <c r="E37" s="59">
        <v>0</v>
      </c>
      <c r="F37" s="64">
        <f t="shared" si="24"/>
        <v>0</v>
      </c>
      <c r="G37" s="64">
        <v>14</v>
      </c>
      <c r="H37" s="64">
        <f t="shared" si="25"/>
        <v>14</v>
      </c>
      <c r="I37" s="64">
        <v>349</v>
      </c>
      <c r="J37" s="64">
        <f t="shared" si="26"/>
        <v>349</v>
      </c>
      <c r="K37" s="64">
        <v>0</v>
      </c>
      <c r="L37" s="64">
        <f t="shared" si="27"/>
        <v>0</v>
      </c>
      <c r="M37" s="64">
        <v>0</v>
      </c>
      <c r="N37" s="64">
        <f t="shared" si="4"/>
        <v>0</v>
      </c>
      <c r="O37" s="64">
        <v>0</v>
      </c>
      <c r="P37" s="64">
        <f t="shared" si="28"/>
        <v>0</v>
      </c>
      <c r="Q37" s="65">
        <f t="shared" si="29"/>
        <v>363</v>
      </c>
      <c r="R37" s="65">
        <f t="shared" si="30"/>
        <v>363</v>
      </c>
      <c r="S37" s="99">
        <f t="shared" si="31"/>
        <v>0.30762711864406778</v>
      </c>
      <c r="T37" s="59">
        <v>35</v>
      </c>
      <c r="U37" s="59">
        <f t="shared" si="32"/>
        <v>35</v>
      </c>
      <c r="V37" s="59">
        <v>1</v>
      </c>
      <c r="W37" s="59">
        <f t="shared" si="33"/>
        <v>1</v>
      </c>
      <c r="X37" s="59">
        <v>0</v>
      </c>
      <c r="Y37" s="59">
        <f t="shared" si="34"/>
        <v>0</v>
      </c>
      <c r="Z37" s="74"/>
      <c r="AA37" s="106"/>
      <c r="AB37" s="73">
        <v>27</v>
      </c>
      <c r="AC37" s="126" t="str">
        <f t="shared" si="12"/>
        <v>كفر ميت العبسى</v>
      </c>
      <c r="AD37" s="58">
        <v>104</v>
      </c>
      <c r="AE37" s="62">
        <v>0</v>
      </c>
      <c r="AF37" s="58">
        <f t="shared" si="35"/>
        <v>104</v>
      </c>
      <c r="AG37" s="65">
        <v>37</v>
      </c>
      <c r="AH37" s="76">
        <f t="shared" si="21"/>
        <v>37</v>
      </c>
      <c r="AI37" s="65">
        <f t="shared" si="22"/>
        <v>67</v>
      </c>
      <c r="AJ37" s="77">
        <f t="shared" si="14"/>
        <v>9.8108108108108105</v>
      </c>
      <c r="AK37" s="78">
        <f t="shared" si="15"/>
        <v>9.8108108108108105</v>
      </c>
      <c r="AW37" s="126" t="str">
        <f t="shared" si="16"/>
        <v>كفر ميت العبسى</v>
      </c>
      <c r="AX37" s="59">
        <v>2</v>
      </c>
      <c r="AY37" s="59">
        <v>494</v>
      </c>
      <c r="AZ37" s="59">
        <v>2</v>
      </c>
      <c r="BA37" s="59">
        <v>353</v>
      </c>
      <c r="BB37" s="59">
        <f t="shared" si="17"/>
        <v>353</v>
      </c>
      <c r="BC37" s="82">
        <f t="shared" si="36"/>
        <v>0.71457489878542513</v>
      </c>
      <c r="BD37" s="83">
        <v>4</v>
      </c>
      <c r="BE37" s="59">
        <v>114</v>
      </c>
      <c r="BF37" s="59">
        <v>0</v>
      </c>
      <c r="BG37" s="59">
        <v>0</v>
      </c>
      <c r="BH37" s="59">
        <f t="shared" si="19"/>
        <v>0</v>
      </c>
      <c r="BI37" s="82">
        <f t="shared" si="37"/>
        <v>0</v>
      </c>
    </row>
    <row r="38" spans="1:61" ht="41.5" customHeight="1" x14ac:dyDescent="0.35">
      <c r="A38" s="73">
        <v>28</v>
      </c>
      <c r="B38" s="127" t="s">
        <v>80</v>
      </c>
      <c r="C38" s="58">
        <v>1854.9999999999998</v>
      </c>
      <c r="D38" s="58">
        <v>2</v>
      </c>
      <c r="E38" s="59">
        <v>1</v>
      </c>
      <c r="F38" s="64">
        <f t="shared" si="24"/>
        <v>1</v>
      </c>
      <c r="G38" s="64">
        <v>36</v>
      </c>
      <c r="H38" s="64">
        <f t="shared" si="25"/>
        <v>36</v>
      </c>
      <c r="I38" s="64">
        <v>330</v>
      </c>
      <c r="J38" s="64">
        <f t="shared" si="26"/>
        <v>330</v>
      </c>
      <c r="K38" s="64">
        <v>0</v>
      </c>
      <c r="L38" s="64">
        <f t="shared" si="27"/>
        <v>0</v>
      </c>
      <c r="M38" s="64">
        <v>0</v>
      </c>
      <c r="N38" s="64">
        <f t="shared" si="4"/>
        <v>0</v>
      </c>
      <c r="O38" s="64">
        <v>0</v>
      </c>
      <c r="P38" s="64">
        <f t="shared" si="28"/>
        <v>0</v>
      </c>
      <c r="Q38" s="65">
        <f t="shared" si="29"/>
        <v>367</v>
      </c>
      <c r="R38" s="65">
        <f t="shared" si="30"/>
        <v>367</v>
      </c>
      <c r="S38" s="99">
        <f t="shared" si="31"/>
        <v>0.19784366576819409</v>
      </c>
      <c r="T38" s="59">
        <v>47</v>
      </c>
      <c r="U38" s="59">
        <f t="shared" si="32"/>
        <v>47</v>
      </c>
      <c r="V38" s="59">
        <v>1</v>
      </c>
      <c r="W38" s="59">
        <f t="shared" si="33"/>
        <v>1</v>
      </c>
      <c r="X38" s="59">
        <v>0</v>
      </c>
      <c r="Y38" s="59">
        <f t="shared" si="34"/>
        <v>0</v>
      </c>
      <c r="Z38" s="74"/>
      <c r="AA38" s="106"/>
      <c r="AB38" s="73">
        <v>28</v>
      </c>
      <c r="AC38" s="126" t="str">
        <f t="shared" si="12"/>
        <v>كفر وهــــــــــب</v>
      </c>
      <c r="AD38" s="58">
        <v>163</v>
      </c>
      <c r="AE38" s="62">
        <v>0</v>
      </c>
      <c r="AF38" s="58">
        <f t="shared" si="35"/>
        <v>163</v>
      </c>
      <c r="AG38" s="65">
        <v>37</v>
      </c>
      <c r="AH38" s="76">
        <f t="shared" si="21"/>
        <v>37</v>
      </c>
      <c r="AI38" s="65">
        <f t="shared" si="22"/>
        <v>126</v>
      </c>
      <c r="AJ38" s="77">
        <f t="shared" si="14"/>
        <v>9.9189189189189193</v>
      </c>
      <c r="AK38" s="78">
        <f t="shared" si="15"/>
        <v>9.9189189189189193</v>
      </c>
      <c r="AW38" s="126" t="str">
        <f t="shared" si="16"/>
        <v>كفر وهــــــــــب</v>
      </c>
      <c r="AX38" s="59">
        <v>2</v>
      </c>
      <c r="AY38" s="59">
        <v>793</v>
      </c>
      <c r="AZ38" s="59">
        <v>1</v>
      </c>
      <c r="BA38" s="59">
        <v>340</v>
      </c>
      <c r="BB38" s="59">
        <f t="shared" si="17"/>
        <v>340</v>
      </c>
      <c r="BC38" s="82">
        <f t="shared" si="36"/>
        <v>0.42875157629255989</v>
      </c>
      <c r="BD38" s="83">
        <v>3</v>
      </c>
      <c r="BE38" s="59">
        <v>180</v>
      </c>
      <c r="BF38" s="59">
        <v>0</v>
      </c>
      <c r="BG38" s="59">
        <v>0</v>
      </c>
      <c r="BH38" s="59">
        <f t="shared" si="19"/>
        <v>0</v>
      </c>
      <c r="BI38" s="82">
        <f t="shared" si="37"/>
        <v>0</v>
      </c>
    </row>
    <row r="39" spans="1:61" ht="41.5" customHeight="1" x14ac:dyDescent="0.35">
      <c r="A39" s="73">
        <v>29</v>
      </c>
      <c r="B39" s="127" t="s">
        <v>81</v>
      </c>
      <c r="C39" s="58">
        <v>2738</v>
      </c>
      <c r="D39" s="58">
        <v>3</v>
      </c>
      <c r="E39" s="59">
        <v>1</v>
      </c>
      <c r="F39" s="64">
        <f t="shared" si="24"/>
        <v>1</v>
      </c>
      <c r="G39" s="64">
        <v>45</v>
      </c>
      <c r="H39" s="64">
        <f t="shared" si="25"/>
        <v>45</v>
      </c>
      <c r="I39" s="64">
        <v>524</v>
      </c>
      <c r="J39" s="64">
        <f t="shared" si="26"/>
        <v>524</v>
      </c>
      <c r="K39" s="64">
        <v>0</v>
      </c>
      <c r="L39" s="64">
        <f t="shared" si="27"/>
        <v>0</v>
      </c>
      <c r="M39" s="64">
        <v>0</v>
      </c>
      <c r="N39" s="64">
        <f t="shared" si="4"/>
        <v>0</v>
      </c>
      <c r="O39" s="64">
        <v>0</v>
      </c>
      <c r="P39" s="64">
        <f t="shared" si="28"/>
        <v>0</v>
      </c>
      <c r="Q39" s="65">
        <f t="shared" si="29"/>
        <v>570</v>
      </c>
      <c r="R39" s="65">
        <f t="shared" si="30"/>
        <v>570</v>
      </c>
      <c r="S39" s="99">
        <f t="shared" si="31"/>
        <v>0.20818115412710006</v>
      </c>
      <c r="T39" s="59">
        <v>65</v>
      </c>
      <c r="U39" s="59">
        <f t="shared" si="32"/>
        <v>65</v>
      </c>
      <c r="V39" s="59">
        <v>0</v>
      </c>
      <c r="W39" s="59">
        <f t="shared" si="33"/>
        <v>0</v>
      </c>
      <c r="X39" s="59">
        <v>0</v>
      </c>
      <c r="Y39" s="59">
        <f t="shared" si="34"/>
        <v>0</v>
      </c>
      <c r="Z39" s="74"/>
      <c r="AA39" s="106"/>
      <c r="AB39" s="73">
        <v>29</v>
      </c>
      <c r="AC39" s="126" t="str">
        <f t="shared" si="12"/>
        <v>دمــــــــــــــهوج</v>
      </c>
      <c r="AD39" s="58">
        <v>240</v>
      </c>
      <c r="AE39" s="62">
        <v>0</v>
      </c>
      <c r="AF39" s="58">
        <f t="shared" si="35"/>
        <v>240</v>
      </c>
      <c r="AG39" s="65">
        <v>58</v>
      </c>
      <c r="AH39" s="76">
        <f t="shared" si="21"/>
        <v>58</v>
      </c>
      <c r="AI39" s="65">
        <f t="shared" si="22"/>
        <v>182</v>
      </c>
      <c r="AJ39" s="77">
        <f t="shared" si="14"/>
        <v>9.8275862068965516</v>
      </c>
      <c r="AK39" s="78">
        <f t="shared" si="15"/>
        <v>9.8275862068965516</v>
      </c>
      <c r="AW39" s="126" t="str">
        <f t="shared" si="16"/>
        <v>دمــــــــــــــهوج</v>
      </c>
      <c r="AX39" s="59">
        <v>2</v>
      </c>
      <c r="AY39" s="59">
        <v>1086</v>
      </c>
      <c r="AZ39" s="59">
        <v>1</v>
      </c>
      <c r="BA39" s="59">
        <v>530</v>
      </c>
      <c r="BB39" s="59">
        <f t="shared" si="17"/>
        <v>530</v>
      </c>
      <c r="BC39" s="82">
        <f t="shared" si="36"/>
        <v>0.48802946593001839</v>
      </c>
      <c r="BD39" s="83">
        <v>10</v>
      </c>
      <c r="BE39" s="59">
        <v>455</v>
      </c>
      <c r="BF39" s="59">
        <v>1</v>
      </c>
      <c r="BG39" s="59">
        <v>40</v>
      </c>
      <c r="BH39" s="59">
        <f t="shared" si="19"/>
        <v>40</v>
      </c>
      <c r="BI39" s="82">
        <f t="shared" si="37"/>
        <v>8.7912087912087919E-2</v>
      </c>
    </row>
    <row r="40" spans="1:61" ht="41.5" customHeight="1" x14ac:dyDescent="0.35">
      <c r="A40" s="73">
        <v>30</v>
      </c>
      <c r="B40" s="127" t="s">
        <v>82</v>
      </c>
      <c r="C40" s="58">
        <v>819</v>
      </c>
      <c r="D40" s="58">
        <v>2</v>
      </c>
      <c r="E40" s="59">
        <v>5</v>
      </c>
      <c r="F40" s="64">
        <f t="shared" si="24"/>
        <v>5</v>
      </c>
      <c r="G40" s="64">
        <v>73</v>
      </c>
      <c r="H40" s="64">
        <f t="shared" si="25"/>
        <v>73</v>
      </c>
      <c r="I40" s="64">
        <v>252</v>
      </c>
      <c r="J40" s="64">
        <f t="shared" si="26"/>
        <v>252</v>
      </c>
      <c r="K40" s="64">
        <v>0</v>
      </c>
      <c r="L40" s="64">
        <f t="shared" si="27"/>
        <v>0</v>
      </c>
      <c r="M40" s="64">
        <v>0</v>
      </c>
      <c r="N40" s="64">
        <f t="shared" si="4"/>
        <v>0</v>
      </c>
      <c r="O40" s="64">
        <v>0</v>
      </c>
      <c r="P40" s="64">
        <f t="shared" si="28"/>
        <v>0</v>
      </c>
      <c r="Q40" s="65">
        <f t="shared" si="29"/>
        <v>330</v>
      </c>
      <c r="R40" s="65">
        <f t="shared" si="30"/>
        <v>330</v>
      </c>
      <c r="S40" s="99">
        <f t="shared" si="31"/>
        <v>0.40293040293040294</v>
      </c>
      <c r="T40" s="59">
        <v>38</v>
      </c>
      <c r="U40" s="59">
        <f t="shared" si="32"/>
        <v>38</v>
      </c>
      <c r="V40" s="59">
        <v>7</v>
      </c>
      <c r="W40" s="59">
        <f t="shared" si="33"/>
        <v>7</v>
      </c>
      <c r="X40" s="59">
        <v>0</v>
      </c>
      <c r="Y40" s="59">
        <f t="shared" si="34"/>
        <v>0</v>
      </c>
      <c r="Z40" s="74"/>
      <c r="AA40" s="106"/>
      <c r="AB40" s="73">
        <v>30</v>
      </c>
      <c r="AC40" s="126" t="str">
        <f t="shared" si="12"/>
        <v>كفر زين الدين</v>
      </c>
      <c r="AD40" s="58">
        <v>70</v>
      </c>
      <c r="AE40" s="62">
        <v>0</v>
      </c>
      <c r="AF40" s="58">
        <f t="shared" si="35"/>
        <v>70</v>
      </c>
      <c r="AG40" s="65">
        <v>33</v>
      </c>
      <c r="AH40" s="76">
        <f t="shared" si="21"/>
        <v>33</v>
      </c>
      <c r="AI40" s="65">
        <f t="shared" si="22"/>
        <v>37</v>
      </c>
      <c r="AJ40" s="77">
        <f t="shared" si="14"/>
        <v>10</v>
      </c>
      <c r="AK40" s="78">
        <f t="shared" si="15"/>
        <v>10</v>
      </c>
      <c r="AW40" s="126" t="str">
        <f t="shared" si="16"/>
        <v>كفر زين الدين</v>
      </c>
      <c r="AX40" s="59">
        <v>1</v>
      </c>
      <c r="AY40" s="59">
        <v>563</v>
      </c>
      <c r="AZ40" s="59">
        <v>1</v>
      </c>
      <c r="BA40" s="59">
        <v>200</v>
      </c>
      <c r="BB40" s="59">
        <f t="shared" si="17"/>
        <v>200</v>
      </c>
      <c r="BC40" s="82">
        <f t="shared" si="36"/>
        <v>0.35523978685612789</v>
      </c>
      <c r="BD40" s="83">
        <v>2</v>
      </c>
      <c r="BE40" s="59">
        <v>87</v>
      </c>
      <c r="BF40" s="59">
        <v>1</v>
      </c>
      <c r="BG40" s="59">
        <v>70</v>
      </c>
      <c r="BH40" s="59">
        <f t="shared" si="19"/>
        <v>70</v>
      </c>
      <c r="BI40" s="82">
        <f t="shared" si="37"/>
        <v>0.8045977011494253</v>
      </c>
    </row>
    <row r="41" spans="1:61" ht="41.5" customHeight="1" x14ac:dyDescent="0.35">
      <c r="A41" s="73">
        <v>31</v>
      </c>
      <c r="B41" s="127" t="s">
        <v>83</v>
      </c>
      <c r="C41" s="58">
        <v>410</v>
      </c>
      <c r="D41" s="58">
        <v>2</v>
      </c>
      <c r="E41" s="59">
        <v>8</v>
      </c>
      <c r="F41" s="64">
        <f t="shared" si="24"/>
        <v>8</v>
      </c>
      <c r="G41" s="64">
        <v>166</v>
      </c>
      <c r="H41" s="64">
        <f t="shared" si="25"/>
        <v>166</v>
      </c>
      <c r="I41" s="64">
        <v>108</v>
      </c>
      <c r="J41" s="64">
        <f t="shared" si="26"/>
        <v>108</v>
      </c>
      <c r="K41" s="64">
        <v>0</v>
      </c>
      <c r="L41" s="64">
        <f t="shared" si="27"/>
        <v>0</v>
      </c>
      <c r="M41" s="64">
        <v>0</v>
      </c>
      <c r="N41" s="64">
        <f t="shared" si="4"/>
        <v>0</v>
      </c>
      <c r="O41" s="64">
        <v>0</v>
      </c>
      <c r="P41" s="64">
        <f t="shared" si="28"/>
        <v>0</v>
      </c>
      <c r="Q41" s="65">
        <f t="shared" si="29"/>
        <v>282</v>
      </c>
      <c r="R41" s="65">
        <f t="shared" si="30"/>
        <v>282</v>
      </c>
      <c r="S41" s="99">
        <f t="shared" si="31"/>
        <v>0.68780487804878043</v>
      </c>
      <c r="T41" s="59">
        <v>0</v>
      </c>
      <c r="U41" s="59">
        <f t="shared" si="32"/>
        <v>0</v>
      </c>
      <c r="V41" s="59">
        <v>0</v>
      </c>
      <c r="W41" s="59">
        <f t="shared" si="33"/>
        <v>0</v>
      </c>
      <c r="X41" s="59">
        <v>0</v>
      </c>
      <c r="Y41" s="59">
        <f t="shared" si="34"/>
        <v>0</v>
      </c>
      <c r="Z41" s="74"/>
      <c r="AA41" s="106"/>
      <c r="AB41" s="73">
        <v>31</v>
      </c>
      <c r="AC41" s="126" t="str">
        <f t="shared" si="12"/>
        <v>عزبــة أبوالنصر</v>
      </c>
      <c r="AD41" s="58">
        <v>35</v>
      </c>
      <c r="AE41" s="62">
        <v>0</v>
      </c>
      <c r="AF41" s="58">
        <f t="shared" si="35"/>
        <v>35</v>
      </c>
      <c r="AG41" s="65">
        <v>29</v>
      </c>
      <c r="AH41" s="76">
        <f t="shared" si="21"/>
        <v>29</v>
      </c>
      <c r="AI41" s="65">
        <f t="shared" si="22"/>
        <v>6</v>
      </c>
      <c r="AJ41" s="77">
        <f t="shared" si="14"/>
        <v>9.7241379310344822</v>
      </c>
      <c r="AK41" s="78">
        <f t="shared" si="15"/>
        <v>9.7241379310344822</v>
      </c>
      <c r="AW41" s="126" t="str">
        <f t="shared" si="16"/>
        <v>عزبــة أبوالنصر</v>
      </c>
      <c r="AX41" s="59">
        <v>2</v>
      </c>
      <c r="AY41" s="59">
        <v>70</v>
      </c>
      <c r="AZ41" s="59">
        <v>1</v>
      </c>
      <c r="BA41" s="59">
        <v>65</v>
      </c>
      <c r="BB41" s="59">
        <f t="shared" si="17"/>
        <v>65</v>
      </c>
      <c r="BC41" s="82">
        <f t="shared" si="36"/>
        <v>0.9285714285714286</v>
      </c>
      <c r="BD41" s="83">
        <v>3</v>
      </c>
      <c r="BE41" s="59">
        <v>75</v>
      </c>
      <c r="BF41" s="59">
        <v>1</v>
      </c>
      <c r="BG41" s="59">
        <v>15</v>
      </c>
      <c r="BH41" s="59">
        <f t="shared" si="19"/>
        <v>15</v>
      </c>
      <c r="BI41" s="82">
        <f t="shared" si="37"/>
        <v>0.2</v>
      </c>
    </row>
    <row r="42" spans="1:61" ht="41.5" customHeight="1" x14ac:dyDescent="0.35">
      <c r="A42" s="73">
        <v>32</v>
      </c>
      <c r="B42" s="127" t="s">
        <v>84</v>
      </c>
      <c r="C42" s="58">
        <v>880</v>
      </c>
      <c r="D42" s="58">
        <v>2</v>
      </c>
      <c r="E42" s="59">
        <v>0</v>
      </c>
      <c r="F42" s="64">
        <f t="shared" si="24"/>
        <v>0</v>
      </c>
      <c r="G42" s="64">
        <v>65</v>
      </c>
      <c r="H42" s="64">
        <f t="shared" si="25"/>
        <v>65</v>
      </c>
      <c r="I42" s="64">
        <v>276</v>
      </c>
      <c r="J42" s="64">
        <f t="shared" si="26"/>
        <v>276</v>
      </c>
      <c r="K42" s="64">
        <v>0</v>
      </c>
      <c r="L42" s="64">
        <f t="shared" si="27"/>
        <v>0</v>
      </c>
      <c r="M42" s="64">
        <v>0</v>
      </c>
      <c r="N42" s="64">
        <f t="shared" si="4"/>
        <v>0</v>
      </c>
      <c r="O42" s="64">
        <v>0</v>
      </c>
      <c r="P42" s="64">
        <f t="shared" si="28"/>
        <v>0</v>
      </c>
      <c r="Q42" s="65">
        <f t="shared" si="29"/>
        <v>341</v>
      </c>
      <c r="R42" s="65">
        <f t="shared" si="30"/>
        <v>341</v>
      </c>
      <c r="S42" s="99">
        <f t="shared" si="31"/>
        <v>0.38750000000000001</v>
      </c>
      <c r="T42" s="128">
        <v>41</v>
      </c>
      <c r="U42" s="59">
        <f t="shared" si="32"/>
        <v>41</v>
      </c>
      <c r="V42" s="59">
        <v>0</v>
      </c>
      <c r="W42" s="59">
        <f t="shared" si="33"/>
        <v>0</v>
      </c>
      <c r="X42" s="59">
        <v>0</v>
      </c>
      <c r="Y42" s="59">
        <f t="shared" si="34"/>
        <v>0</v>
      </c>
      <c r="Z42" s="74"/>
      <c r="AA42" s="106"/>
      <c r="AB42" s="73">
        <v>32</v>
      </c>
      <c r="AC42" s="126" t="str">
        <f t="shared" si="12"/>
        <v>شمنديــــــــــــــل</v>
      </c>
      <c r="AD42" s="58">
        <v>78</v>
      </c>
      <c r="AE42" s="62">
        <v>0</v>
      </c>
      <c r="AF42" s="58">
        <f t="shared" si="35"/>
        <v>78</v>
      </c>
      <c r="AG42" s="65">
        <v>35</v>
      </c>
      <c r="AH42" s="76">
        <f t="shared" si="21"/>
        <v>35</v>
      </c>
      <c r="AI42" s="65">
        <f t="shared" si="22"/>
        <v>43</v>
      </c>
      <c r="AJ42" s="77">
        <f t="shared" si="14"/>
        <v>9.742857142857142</v>
      </c>
      <c r="AK42" s="78">
        <f t="shared" si="15"/>
        <v>9.742857142857142</v>
      </c>
      <c r="AW42" s="126" t="str">
        <f t="shared" si="16"/>
        <v>شمنديــــــــــــــل</v>
      </c>
      <c r="AX42" s="59">
        <v>2</v>
      </c>
      <c r="AY42" s="59">
        <v>569</v>
      </c>
      <c r="AZ42" s="59">
        <v>1</v>
      </c>
      <c r="BA42" s="59">
        <v>321</v>
      </c>
      <c r="BB42" s="59">
        <f t="shared" si="17"/>
        <v>321</v>
      </c>
      <c r="BC42" s="82">
        <f t="shared" si="36"/>
        <v>0.56414762741652025</v>
      </c>
      <c r="BD42" s="83">
        <v>1</v>
      </c>
      <c r="BE42" s="59">
        <v>39</v>
      </c>
      <c r="BF42" s="59">
        <v>0</v>
      </c>
      <c r="BG42" s="59">
        <v>0</v>
      </c>
      <c r="BH42" s="59">
        <f t="shared" si="19"/>
        <v>0</v>
      </c>
      <c r="BI42" s="82">
        <f t="shared" si="37"/>
        <v>0</v>
      </c>
    </row>
    <row r="43" spans="1:61" ht="41.5" customHeight="1" x14ac:dyDescent="0.35">
      <c r="A43" s="73">
        <v>33</v>
      </c>
      <c r="B43" s="127" t="s">
        <v>85</v>
      </c>
      <c r="C43" s="58">
        <v>1721</v>
      </c>
      <c r="D43" s="58">
        <v>3</v>
      </c>
      <c r="E43" s="59">
        <v>0</v>
      </c>
      <c r="F43" s="64">
        <f t="shared" si="24"/>
        <v>0</v>
      </c>
      <c r="G43" s="64">
        <v>213</v>
      </c>
      <c r="H43" s="64">
        <f t="shared" si="25"/>
        <v>213</v>
      </c>
      <c r="I43" s="64">
        <v>348</v>
      </c>
      <c r="J43" s="64">
        <f t="shared" si="26"/>
        <v>348</v>
      </c>
      <c r="K43" s="64">
        <v>0</v>
      </c>
      <c r="L43" s="64">
        <f t="shared" si="27"/>
        <v>0</v>
      </c>
      <c r="M43" s="64">
        <v>0</v>
      </c>
      <c r="N43" s="64">
        <f t="shared" si="4"/>
        <v>0</v>
      </c>
      <c r="O43" s="64">
        <v>0</v>
      </c>
      <c r="P43" s="64">
        <f t="shared" si="28"/>
        <v>0</v>
      </c>
      <c r="Q43" s="65">
        <f t="shared" si="29"/>
        <v>561</v>
      </c>
      <c r="R43" s="65">
        <f t="shared" si="30"/>
        <v>561</v>
      </c>
      <c r="S43" s="99">
        <f t="shared" si="31"/>
        <v>0.32597327135386406</v>
      </c>
      <c r="T43" s="59">
        <v>120</v>
      </c>
      <c r="U43" s="59">
        <f t="shared" si="32"/>
        <v>120</v>
      </c>
      <c r="V43" s="59">
        <v>0</v>
      </c>
      <c r="W43" s="59">
        <f t="shared" si="33"/>
        <v>0</v>
      </c>
      <c r="X43" s="59">
        <v>0</v>
      </c>
      <c r="Y43" s="59">
        <f t="shared" si="34"/>
        <v>0</v>
      </c>
      <c r="Z43" s="74"/>
      <c r="AA43" s="106"/>
      <c r="AB43" s="73">
        <v>33</v>
      </c>
      <c r="AC43" s="126" t="str">
        <f t="shared" si="12"/>
        <v>كفور الرمل</v>
      </c>
      <c r="AD43" s="58">
        <v>150</v>
      </c>
      <c r="AE43" s="62">
        <v>0</v>
      </c>
      <c r="AF43" s="58">
        <f t="shared" si="35"/>
        <v>150</v>
      </c>
      <c r="AG43" s="65">
        <v>61</v>
      </c>
      <c r="AH43" s="76">
        <f t="shared" si="21"/>
        <v>61</v>
      </c>
      <c r="AI43" s="65">
        <f t="shared" si="22"/>
        <v>89</v>
      </c>
      <c r="AJ43" s="77">
        <f t="shared" si="14"/>
        <v>9.1967213114754092</v>
      </c>
      <c r="AK43" s="78">
        <f t="shared" si="15"/>
        <v>9.1967213114754092</v>
      </c>
      <c r="AW43" s="126" t="str">
        <f t="shared" si="16"/>
        <v>كفور الرمل</v>
      </c>
      <c r="AX43" s="59">
        <v>4</v>
      </c>
      <c r="AY43" s="59">
        <v>1335</v>
      </c>
      <c r="AZ43" s="59">
        <v>2</v>
      </c>
      <c r="BA43" s="59">
        <v>554</v>
      </c>
      <c r="BB43" s="59">
        <f t="shared" si="17"/>
        <v>554</v>
      </c>
      <c r="BC43" s="82">
        <f t="shared" si="36"/>
        <v>0.4149812734082397</v>
      </c>
      <c r="BD43" s="83">
        <v>7</v>
      </c>
      <c r="BE43" s="59">
        <v>753</v>
      </c>
      <c r="BF43" s="59">
        <v>2</v>
      </c>
      <c r="BG43" s="59">
        <v>213</v>
      </c>
      <c r="BH43" s="59">
        <f t="shared" si="19"/>
        <v>213</v>
      </c>
      <c r="BI43" s="82">
        <f t="shared" si="37"/>
        <v>0.28286852589641437</v>
      </c>
    </row>
    <row r="44" spans="1:61" ht="41.5" customHeight="1" x14ac:dyDescent="0.35">
      <c r="A44" s="73">
        <v>34</v>
      </c>
      <c r="B44" s="127" t="s">
        <v>86</v>
      </c>
      <c r="C44" s="58">
        <v>510</v>
      </c>
      <c r="D44" s="58">
        <v>2</v>
      </c>
      <c r="E44" s="59">
        <v>6</v>
      </c>
      <c r="F44" s="64">
        <f t="shared" si="24"/>
        <v>6</v>
      </c>
      <c r="G44" s="64">
        <v>25</v>
      </c>
      <c r="H44" s="64">
        <f t="shared" si="25"/>
        <v>25</v>
      </c>
      <c r="I44" s="64">
        <v>276</v>
      </c>
      <c r="J44" s="64">
        <f t="shared" si="26"/>
        <v>276</v>
      </c>
      <c r="K44" s="64">
        <v>0</v>
      </c>
      <c r="L44" s="64">
        <f t="shared" si="27"/>
        <v>0</v>
      </c>
      <c r="M44" s="64">
        <v>0</v>
      </c>
      <c r="N44" s="64">
        <f t="shared" si="4"/>
        <v>0</v>
      </c>
      <c r="O44" s="64">
        <v>0</v>
      </c>
      <c r="P44" s="64">
        <f t="shared" si="28"/>
        <v>0</v>
      </c>
      <c r="Q44" s="65">
        <f t="shared" si="29"/>
        <v>307</v>
      </c>
      <c r="R44" s="65">
        <f t="shared" si="30"/>
        <v>307</v>
      </c>
      <c r="S44" s="99">
        <f t="shared" si="31"/>
        <v>0.60196078431372546</v>
      </c>
      <c r="T44" s="59">
        <v>7</v>
      </c>
      <c r="U44" s="59">
        <f t="shared" si="32"/>
        <v>7</v>
      </c>
      <c r="V44" s="59">
        <v>1</v>
      </c>
      <c r="W44" s="59">
        <f t="shared" si="33"/>
        <v>1</v>
      </c>
      <c r="X44" s="59">
        <v>0</v>
      </c>
      <c r="Y44" s="59">
        <f t="shared" si="34"/>
        <v>0</v>
      </c>
      <c r="Z44" s="74"/>
      <c r="AA44" s="106"/>
      <c r="AB44" s="73">
        <v>34</v>
      </c>
      <c r="AC44" s="126" t="str">
        <f t="shared" si="12"/>
        <v>منشأة أم خنان</v>
      </c>
      <c r="AD44" s="58">
        <v>45</v>
      </c>
      <c r="AE44" s="62">
        <v>0</v>
      </c>
      <c r="AF44" s="58">
        <f t="shared" si="35"/>
        <v>45</v>
      </c>
      <c r="AG44" s="65">
        <v>31</v>
      </c>
      <c r="AH44" s="76">
        <f t="shared" si="21"/>
        <v>31</v>
      </c>
      <c r="AI44" s="65">
        <f t="shared" si="22"/>
        <v>14</v>
      </c>
      <c r="AJ44" s="77">
        <f t="shared" si="14"/>
        <v>9.9032258064516121</v>
      </c>
      <c r="AK44" s="78">
        <f t="shared" si="15"/>
        <v>9.9032258064516121</v>
      </c>
      <c r="AW44" s="126" t="str">
        <f t="shared" si="16"/>
        <v>منشأة أم خنان</v>
      </c>
      <c r="AX44" s="59">
        <v>1</v>
      </c>
      <c r="AY44" s="59">
        <v>277</v>
      </c>
      <c r="AZ44" s="59">
        <v>1</v>
      </c>
      <c r="BA44" s="59">
        <v>269</v>
      </c>
      <c r="BB44" s="59">
        <f t="shared" si="17"/>
        <v>269</v>
      </c>
      <c r="BC44" s="82">
        <f t="shared" si="36"/>
        <v>0.97111913357400725</v>
      </c>
      <c r="BD44" s="83">
        <v>3</v>
      </c>
      <c r="BE44" s="59">
        <v>170</v>
      </c>
      <c r="BF44" s="59">
        <v>0</v>
      </c>
      <c r="BG44" s="59">
        <v>0</v>
      </c>
      <c r="BH44" s="59">
        <f t="shared" si="19"/>
        <v>0</v>
      </c>
      <c r="BI44" s="82">
        <f t="shared" si="37"/>
        <v>0</v>
      </c>
    </row>
    <row r="45" spans="1:61" ht="41.5" customHeight="1" x14ac:dyDescent="0.35">
      <c r="A45" s="73">
        <v>35</v>
      </c>
      <c r="B45" s="58"/>
      <c r="C45" s="58"/>
      <c r="D45" s="58"/>
      <c r="E45" s="59"/>
      <c r="F45" s="64">
        <f t="shared" si="24"/>
        <v>0</v>
      </c>
      <c r="G45" s="64"/>
      <c r="H45" s="64">
        <f t="shared" si="25"/>
        <v>0</v>
      </c>
      <c r="I45" s="64"/>
      <c r="J45" s="64">
        <f t="shared" si="26"/>
        <v>0</v>
      </c>
      <c r="K45" s="64"/>
      <c r="L45" s="64">
        <f t="shared" si="27"/>
        <v>0</v>
      </c>
      <c r="M45" s="64"/>
      <c r="N45" s="64">
        <f t="shared" si="4"/>
        <v>0</v>
      </c>
      <c r="O45" s="64"/>
      <c r="P45" s="64">
        <f t="shared" si="28"/>
        <v>0</v>
      </c>
      <c r="Q45" s="65">
        <f t="shared" si="29"/>
        <v>0</v>
      </c>
      <c r="R45" s="65">
        <f t="shared" si="30"/>
        <v>0</v>
      </c>
      <c r="S45" s="99" t="e">
        <f t="shared" si="31"/>
        <v>#DIV/0!</v>
      </c>
      <c r="T45" s="59"/>
      <c r="U45" s="59">
        <f t="shared" si="32"/>
        <v>0</v>
      </c>
      <c r="V45" s="59"/>
      <c r="W45" s="59">
        <f t="shared" si="33"/>
        <v>0</v>
      </c>
      <c r="X45" s="59"/>
      <c r="Y45" s="59">
        <f t="shared" si="34"/>
        <v>0</v>
      </c>
      <c r="Z45" s="74"/>
      <c r="AA45" s="106"/>
      <c r="AB45" s="73">
        <v>35</v>
      </c>
      <c r="AC45" s="75">
        <f t="shared" si="12"/>
        <v>0</v>
      </c>
      <c r="AD45" s="58"/>
      <c r="AE45" s="62"/>
      <c r="AF45" s="58">
        <f t="shared" si="35"/>
        <v>0</v>
      </c>
      <c r="AG45" s="65"/>
      <c r="AH45" s="76">
        <f t="shared" si="21"/>
        <v>0</v>
      </c>
      <c r="AI45" s="65">
        <f t="shared" si="22"/>
        <v>0</v>
      </c>
      <c r="AJ45" s="77" t="e">
        <f t="shared" si="14"/>
        <v>#DIV/0!</v>
      </c>
      <c r="AK45" s="78" t="e">
        <f t="shared" si="15"/>
        <v>#DIV/0!</v>
      </c>
      <c r="AW45" s="75">
        <f t="shared" si="16"/>
        <v>0</v>
      </c>
      <c r="AX45" s="59"/>
      <c r="AY45" s="59"/>
      <c r="AZ45" s="59"/>
      <c r="BA45" s="59"/>
      <c r="BB45" s="59">
        <f t="shared" si="17"/>
        <v>0</v>
      </c>
      <c r="BC45" s="82" t="e">
        <f t="shared" si="36"/>
        <v>#DIV/0!</v>
      </c>
      <c r="BD45" s="83"/>
      <c r="BE45" s="59"/>
      <c r="BF45" s="59"/>
      <c r="BG45" s="59"/>
      <c r="BH45" s="59">
        <f t="shared" si="19"/>
        <v>0</v>
      </c>
      <c r="BI45" s="82" t="e">
        <f t="shared" si="37"/>
        <v>#DIV/0!</v>
      </c>
    </row>
    <row r="46" spans="1:61" ht="41.5" customHeight="1" x14ac:dyDescent="0.35">
      <c r="A46" s="73">
        <v>36</v>
      </c>
      <c r="B46" s="58"/>
      <c r="C46" s="58"/>
      <c r="D46" s="58"/>
      <c r="E46" s="59"/>
      <c r="F46" s="64">
        <f t="shared" si="24"/>
        <v>0</v>
      </c>
      <c r="G46" s="64"/>
      <c r="H46" s="64">
        <f t="shared" si="25"/>
        <v>0</v>
      </c>
      <c r="I46" s="64"/>
      <c r="J46" s="64">
        <f t="shared" si="26"/>
        <v>0</v>
      </c>
      <c r="K46" s="64"/>
      <c r="L46" s="64">
        <f t="shared" si="27"/>
        <v>0</v>
      </c>
      <c r="M46" s="64"/>
      <c r="N46" s="64">
        <f t="shared" si="4"/>
        <v>0</v>
      </c>
      <c r="O46" s="64"/>
      <c r="P46" s="64">
        <f t="shared" si="28"/>
        <v>0</v>
      </c>
      <c r="Q46" s="65">
        <f t="shared" si="29"/>
        <v>0</v>
      </c>
      <c r="R46" s="65">
        <f t="shared" si="30"/>
        <v>0</v>
      </c>
      <c r="S46" s="99" t="e">
        <f t="shared" si="31"/>
        <v>#DIV/0!</v>
      </c>
      <c r="T46" s="59"/>
      <c r="U46" s="59">
        <f t="shared" si="32"/>
        <v>0</v>
      </c>
      <c r="V46" s="59"/>
      <c r="W46" s="59">
        <f t="shared" si="33"/>
        <v>0</v>
      </c>
      <c r="X46" s="59"/>
      <c r="Y46" s="59">
        <f t="shared" si="34"/>
        <v>0</v>
      </c>
      <c r="Z46" s="74"/>
      <c r="AA46" s="106"/>
      <c r="AB46" s="73">
        <v>36</v>
      </c>
      <c r="AC46" s="75">
        <f t="shared" si="12"/>
        <v>0</v>
      </c>
      <c r="AD46" s="58"/>
      <c r="AE46" s="62"/>
      <c r="AF46" s="58">
        <f t="shared" si="35"/>
        <v>0</v>
      </c>
      <c r="AG46" s="65"/>
      <c r="AH46" s="76">
        <f t="shared" si="21"/>
        <v>0</v>
      </c>
      <c r="AI46" s="65">
        <f t="shared" si="22"/>
        <v>0</v>
      </c>
      <c r="AJ46" s="77" t="e">
        <f t="shared" si="14"/>
        <v>#DIV/0!</v>
      </c>
      <c r="AK46" s="78" t="e">
        <f t="shared" si="15"/>
        <v>#DIV/0!</v>
      </c>
      <c r="AW46" s="75">
        <f t="shared" si="16"/>
        <v>0</v>
      </c>
      <c r="AX46" s="59"/>
      <c r="AY46" s="59"/>
      <c r="AZ46" s="59"/>
      <c r="BA46" s="59"/>
      <c r="BB46" s="59">
        <f t="shared" si="17"/>
        <v>0</v>
      </c>
      <c r="BC46" s="82" t="e">
        <f t="shared" si="36"/>
        <v>#DIV/0!</v>
      </c>
      <c r="BD46" s="83"/>
      <c r="BE46" s="59"/>
      <c r="BF46" s="59"/>
      <c r="BG46" s="59"/>
      <c r="BH46" s="59">
        <f t="shared" si="19"/>
        <v>0</v>
      </c>
      <c r="BI46" s="82" t="e">
        <f t="shared" si="37"/>
        <v>#DIV/0!</v>
      </c>
    </row>
    <row r="47" spans="1:61" ht="41.5" customHeight="1" x14ac:dyDescent="0.35">
      <c r="A47" s="73">
        <v>37</v>
      </c>
      <c r="B47" s="58"/>
      <c r="C47" s="58"/>
      <c r="D47" s="58"/>
      <c r="E47" s="59"/>
      <c r="F47" s="64">
        <f t="shared" si="24"/>
        <v>0</v>
      </c>
      <c r="G47" s="64"/>
      <c r="H47" s="64">
        <f t="shared" si="25"/>
        <v>0</v>
      </c>
      <c r="I47" s="64"/>
      <c r="J47" s="64">
        <f t="shared" si="26"/>
        <v>0</v>
      </c>
      <c r="K47" s="64"/>
      <c r="L47" s="64">
        <f t="shared" si="27"/>
        <v>0</v>
      </c>
      <c r="M47" s="64"/>
      <c r="N47" s="64">
        <f t="shared" si="4"/>
        <v>0</v>
      </c>
      <c r="O47" s="64"/>
      <c r="P47" s="64">
        <f t="shared" si="28"/>
        <v>0</v>
      </c>
      <c r="Q47" s="65">
        <f t="shared" si="29"/>
        <v>0</v>
      </c>
      <c r="R47" s="65">
        <f t="shared" si="30"/>
        <v>0</v>
      </c>
      <c r="S47" s="99" t="e">
        <f t="shared" si="31"/>
        <v>#DIV/0!</v>
      </c>
      <c r="T47" s="59"/>
      <c r="U47" s="59">
        <f t="shared" si="32"/>
        <v>0</v>
      </c>
      <c r="V47" s="59"/>
      <c r="W47" s="59">
        <f t="shared" si="33"/>
        <v>0</v>
      </c>
      <c r="X47" s="59"/>
      <c r="Y47" s="59">
        <f t="shared" si="34"/>
        <v>0</v>
      </c>
      <c r="Z47" s="74"/>
      <c r="AA47" s="106"/>
      <c r="AB47" s="73">
        <v>37</v>
      </c>
      <c r="AC47" s="75">
        <f t="shared" si="12"/>
        <v>0</v>
      </c>
      <c r="AD47" s="58"/>
      <c r="AE47" s="62"/>
      <c r="AF47" s="58">
        <f t="shared" si="35"/>
        <v>0</v>
      </c>
      <c r="AG47" s="65"/>
      <c r="AH47" s="76">
        <f t="shared" si="21"/>
        <v>0</v>
      </c>
      <c r="AI47" s="65">
        <f t="shared" si="22"/>
        <v>0</v>
      </c>
      <c r="AJ47" s="77" t="e">
        <f t="shared" si="14"/>
        <v>#DIV/0!</v>
      </c>
      <c r="AK47" s="78" t="e">
        <f t="shared" si="15"/>
        <v>#DIV/0!</v>
      </c>
      <c r="AW47" s="75">
        <f t="shared" si="16"/>
        <v>0</v>
      </c>
      <c r="AX47" s="59"/>
      <c r="AY47" s="59"/>
      <c r="AZ47" s="59"/>
      <c r="BA47" s="59"/>
      <c r="BB47" s="59">
        <f t="shared" si="17"/>
        <v>0</v>
      </c>
      <c r="BC47" s="82" t="e">
        <f t="shared" si="36"/>
        <v>#DIV/0!</v>
      </c>
      <c r="BD47" s="83"/>
      <c r="BE47" s="59"/>
      <c r="BF47" s="59"/>
      <c r="BG47" s="59"/>
      <c r="BH47" s="59">
        <f t="shared" si="19"/>
        <v>0</v>
      </c>
      <c r="BI47" s="82" t="e">
        <f t="shared" si="37"/>
        <v>#DIV/0!</v>
      </c>
    </row>
    <row r="48" spans="1:61" ht="41.5" customHeight="1" x14ac:dyDescent="0.35">
      <c r="A48" s="73">
        <v>38</v>
      </c>
      <c r="B48" s="58"/>
      <c r="C48" s="58"/>
      <c r="D48" s="58"/>
      <c r="E48" s="59"/>
      <c r="F48" s="64">
        <f t="shared" si="24"/>
        <v>0</v>
      </c>
      <c r="G48" s="64"/>
      <c r="H48" s="64">
        <f t="shared" si="25"/>
        <v>0</v>
      </c>
      <c r="I48" s="64"/>
      <c r="J48" s="64">
        <f t="shared" si="26"/>
        <v>0</v>
      </c>
      <c r="K48" s="64"/>
      <c r="L48" s="64">
        <f t="shared" si="27"/>
        <v>0</v>
      </c>
      <c r="M48" s="64"/>
      <c r="N48" s="64">
        <f t="shared" si="4"/>
        <v>0</v>
      </c>
      <c r="O48" s="64"/>
      <c r="P48" s="64">
        <f t="shared" si="28"/>
        <v>0</v>
      </c>
      <c r="Q48" s="65">
        <f t="shared" si="29"/>
        <v>0</v>
      </c>
      <c r="R48" s="65">
        <f t="shared" si="30"/>
        <v>0</v>
      </c>
      <c r="S48" s="99" t="e">
        <f t="shared" si="31"/>
        <v>#DIV/0!</v>
      </c>
      <c r="T48" s="59"/>
      <c r="U48" s="59">
        <f t="shared" si="32"/>
        <v>0</v>
      </c>
      <c r="V48" s="59"/>
      <c r="W48" s="59">
        <f t="shared" si="33"/>
        <v>0</v>
      </c>
      <c r="X48" s="59"/>
      <c r="Y48" s="59">
        <f t="shared" si="34"/>
        <v>0</v>
      </c>
      <c r="Z48" s="74"/>
      <c r="AA48" s="106"/>
      <c r="AB48" s="73">
        <v>38</v>
      </c>
      <c r="AC48" s="75">
        <f t="shared" si="12"/>
        <v>0</v>
      </c>
      <c r="AD48" s="58"/>
      <c r="AE48" s="62"/>
      <c r="AF48" s="58">
        <f t="shared" si="35"/>
        <v>0</v>
      </c>
      <c r="AG48" s="65"/>
      <c r="AH48" s="76">
        <f t="shared" si="21"/>
        <v>0</v>
      </c>
      <c r="AI48" s="65">
        <f t="shared" si="22"/>
        <v>0</v>
      </c>
      <c r="AJ48" s="77" t="e">
        <f t="shared" si="14"/>
        <v>#DIV/0!</v>
      </c>
      <c r="AK48" s="78" t="e">
        <f t="shared" si="15"/>
        <v>#DIV/0!</v>
      </c>
      <c r="AW48" s="75">
        <f t="shared" si="16"/>
        <v>0</v>
      </c>
      <c r="AX48" s="59"/>
      <c r="AY48" s="59"/>
      <c r="AZ48" s="59"/>
      <c r="BA48" s="59"/>
      <c r="BB48" s="59">
        <f t="shared" si="17"/>
        <v>0</v>
      </c>
      <c r="BC48" s="82" t="e">
        <f t="shared" si="36"/>
        <v>#DIV/0!</v>
      </c>
      <c r="BD48" s="83"/>
      <c r="BE48" s="59"/>
      <c r="BF48" s="59"/>
      <c r="BG48" s="59"/>
      <c r="BH48" s="59">
        <f t="shared" si="19"/>
        <v>0</v>
      </c>
      <c r="BI48" s="82" t="e">
        <f t="shared" si="37"/>
        <v>#DIV/0!</v>
      </c>
    </row>
    <row r="49" spans="1:61" ht="41.5" customHeight="1" x14ac:dyDescent="0.35">
      <c r="A49" s="73">
        <v>39</v>
      </c>
      <c r="B49" s="58"/>
      <c r="C49" s="58"/>
      <c r="D49" s="58"/>
      <c r="E49" s="59"/>
      <c r="F49" s="64">
        <f t="shared" si="24"/>
        <v>0</v>
      </c>
      <c r="G49" s="64"/>
      <c r="H49" s="64">
        <f t="shared" si="25"/>
        <v>0</v>
      </c>
      <c r="I49" s="64"/>
      <c r="J49" s="64">
        <f t="shared" si="26"/>
        <v>0</v>
      </c>
      <c r="K49" s="64"/>
      <c r="L49" s="64">
        <f t="shared" si="27"/>
        <v>0</v>
      </c>
      <c r="M49" s="64"/>
      <c r="N49" s="64">
        <f t="shared" si="4"/>
        <v>0</v>
      </c>
      <c r="O49" s="64"/>
      <c r="P49" s="64">
        <f t="shared" si="28"/>
        <v>0</v>
      </c>
      <c r="Q49" s="65">
        <f t="shared" si="29"/>
        <v>0</v>
      </c>
      <c r="R49" s="65">
        <f t="shared" si="30"/>
        <v>0</v>
      </c>
      <c r="S49" s="99" t="e">
        <f t="shared" si="31"/>
        <v>#DIV/0!</v>
      </c>
      <c r="T49" s="59"/>
      <c r="U49" s="59">
        <f t="shared" si="32"/>
        <v>0</v>
      </c>
      <c r="V49" s="59"/>
      <c r="W49" s="59">
        <f t="shared" si="33"/>
        <v>0</v>
      </c>
      <c r="X49" s="59"/>
      <c r="Y49" s="59">
        <f t="shared" si="34"/>
        <v>0</v>
      </c>
      <c r="Z49" s="74"/>
      <c r="AA49" s="106"/>
      <c r="AB49" s="73">
        <v>39</v>
      </c>
      <c r="AC49" s="75">
        <f t="shared" si="12"/>
        <v>0</v>
      </c>
      <c r="AD49" s="58"/>
      <c r="AE49" s="62"/>
      <c r="AF49" s="58">
        <f t="shared" si="35"/>
        <v>0</v>
      </c>
      <c r="AG49" s="65"/>
      <c r="AH49" s="76">
        <f t="shared" si="21"/>
        <v>0</v>
      </c>
      <c r="AI49" s="65">
        <f t="shared" si="22"/>
        <v>0</v>
      </c>
      <c r="AJ49" s="77" t="e">
        <f t="shared" si="14"/>
        <v>#DIV/0!</v>
      </c>
      <c r="AK49" s="78" t="e">
        <f t="shared" si="15"/>
        <v>#DIV/0!</v>
      </c>
      <c r="AW49" s="75">
        <f t="shared" si="16"/>
        <v>0</v>
      </c>
      <c r="AX49" s="59"/>
      <c r="AY49" s="59"/>
      <c r="AZ49" s="59"/>
      <c r="BA49" s="59"/>
      <c r="BB49" s="59">
        <f t="shared" si="17"/>
        <v>0</v>
      </c>
      <c r="BC49" s="82" t="e">
        <f t="shared" si="36"/>
        <v>#DIV/0!</v>
      </c>
      <c r="BD49" s="83"/>
      <c r="BE49" s="59"/>
      <c r="BF49" s="59"/>
      <c r="BG49" s="59"/>
      <c r="BH49" s="59">
        <f t="shared" si="19"/>
        <v>0</v>
      </c>
      <c r="BI49" s="82" t="e">
        <f t="shared" si="37"/>
        <v>#DIV/0!</v>
      </c>
    </row>
    <row r="50" spans="1:61" ht="41.5" customHeight="1" x14ac:dyDescent="0.35">
      <c r="A50" s="73">
        <v>40</v>
      </c>
      <c r="B50" s="58"/>
      <c r="C50" s="58"/>
      <c r="D50" s="58"/>
      <c r="E50" s="59"/>
      <c r="F50" s="64">
        <f t="shared" si="24"/>
        <v>0</v>
      </c>
      <c r="G50" s="64"/>
      <c r="H50" s="64">
        <f t="shared" si="25"/>
        <v>0</v>
      </c>
      <c r="I50" s="64"/>
      <c r="J50" s="64">
        <f t="shared" si="26"/>
        <v>0</v>
      </c>
      <c r="K50" s="64"/>
      <c r="L50" s="64">
        <f t="shared" si="27"/>
        <v>0</v>
      </c>
      <c r="M50" s="64"/>
      <c r="N50" s="64">
        <f t="shared" si="4"/>
        <v>0</v>
      </c>
      <c r="O50" s="64"/>
      <c r="P50" s="64">
        <f t="shared" si="28"/>
        <v>0</v>
      </c>
      <c r="Q50" s="65">
        <f t="shared" si="29"/>
        <v>0</v>
      </c>
      <c r="R50" s="65">
        <f t="shared" si="30"/>
        <v>0</v>
      </c>
      <c r="S50" s="99" t="e">
        <f t="shared" si="31"/>
        <v>#DIV/0!</v>
      </c>
      <c r="T50" s="59"/>
      <c r="U50" s="59">
        <f t="shared" si="32"/>
        <v>0</v>
      </c>
      <c r="V50" s="59"/>
      <c r="W50" s="59">
        <f t="shared" si="33"/>
        <v>0</v>
      </c>
      <c r="X50" s="59"/>
      <c r="Y50" s="59">
        <f t="shared" si="34"/>
        <v>0</v>
      </c>
      <c r="Z50" s="74"/>
      <c r="AA50" s="106"/>
      <c r="AB50" s="73">
        <v>40</v>
      </c>
      <c r="AC50" s="75">
        <f t="shared" si="12"/>
        <v>0</v>
      </c>
      <c r="AD50" s="58"/>
      <c r="AE50" s="62"/>
      <c r="AF50" s="58">
        <f t="shared" si="35"/>
        <v>0</v>
      </c>
      <c r="AG50" s="65"/>
      <c r="AH50" s="76">
        <f t="shared" si="21"/>
        <v>0</v>
      </c>
      <c r="AI50" s="65">
        <f t="shared" si="22"/>
        <v>0</v>
      </c>
      <c r="AJ50" s="77" t="e">
        <f t="shared" si="14"/>
        <v>#DIV/0!</v>
      </c>
      <c r="AK50" s="78" t="e">
        <f t="shared" si="15"/>
        <v>#DIV/0!</v>
      </c>
      <c r="AW50" s="75">
        <f t="shared" si="16"/>
        <v>0</v>
      </c>
      <c r="AX50" s="59"/>
      <c r="AY50" s="59"/>
      <c r="AZ50" s="59"/>
      <c r="BA50" s="59"/>
      <c r="BB50" s="59">
        <f t="shared" si="17"/>
        <v>0</v>
      </c>
      <c r="BC50" s="82" t="e">
        <f t="shared" si="36"/>
        <v>#DIV/0!</v>
      </c>
      <c r="BD50" s="83"/>
      <c r="BE50" s="59"/>
      <c r="BF50" s="59"/>
      <c r="BG50" s="59"/>
      <c r="BH50" s="59">
        <f t="shared" si="19"/>
        <v>0</v>
      </c>
      <c r="BI50" s="82" t="e">
        <f t="shared" si="37"/>
        <v>#DIV/0!</v>
      </c>
    </row>
    <row r="51" spans="1:61" s="115" customFormat="1" ht="41.5" customHeight="1" thickBot="1" x14ac:dyDescent="0.4">
      <c r="A51" s="187" t="s">
        <v>26</v>
      </c>
      <c r="B51" s="187"/>
      <c r="C51" s="88">
        <f>SUM(C11:C50)</f>
        <v>97446</v>
      </c>
      <c r="D51" s="88">
        <f t="shared" ref="D51:R51" si="38">SUM(D11:D50)</f>
        <v>107</v>
      </c>
      <c r="E51" s="89">
        <f t="shared" si="38"/>
        <v>178</v>
      </c>
      <c r="F51" s="89">
        <f t="shared" si="38"/>
        <v>178</v>
      </c>
      <c r="G51" s="89">
        <f t="shared" si="38"/>
        <v>3195</v>
      </c>
      <c r="H51" s="89">
        <f t="shared" si="38"/>
        <v>3195</v>
      </c>
      <c r="I51" s="89">
        <f t="shared" si="38"/>
        <v>17232</v>
      </c>
      <c r="J51" s="89">
        <f t="shared" si="38"/>
        <v>17232</v>
      </c>
      <c r="K51" s="89">
        <f t="shared" si="38"/>
        <v>0</v>
      </c>
      <c r="L51" s="89">
        <f t="shared" si="38"/>
        <v>0</v>
      </c>
      <c r="M51" s="89">
        <f t="shared" si="38"/>
        <v>0</v>
      </c>
      <c r="N51" s="89">
        <f t="shared" si="38"/>
        <v>0</v>
      </c>
      <c r="O51" s="89">
        <f t="shared" si="38"/>
        <v>0</v>
      </c>
      <c r="P51" s="89">
        <f t="shared" si="38"/>
        <v>0</v>
      </c>
      <c r="Q51" s="89">
        <f t="shared" si="38"/>
        <v>20605</v>
      </c>
      <c r="R51" s="89">
        <f t="shared" si="38"/>
        <v>20605</v>
      </c>
      <c r="S51" s="90">
        <f>R51/C51</f>
        <v>0.21145044434866489</v>
      </c>
      <c r="T51" s="112">
        <f t="shared" ref="T51:Y51" si="39">SUM(T11:T50)</f>
        <v>2841</v>
      </c>
      <c r="U51" s="112">
        <f t="shared" si="39"/>
        <v>2841</v>
      </c>
      <c r="V51" s="112">
        <f t="shared" si="39"/>
        <v>34</v>
      </c>
      <c r="W51" s="112">
        <f t="shared" si="39"/>
        <v>34</v>
      </c>
      <c r="X51" s="112">
        <f t="shared" si="39"/>
        <v>1</v>
      </c>
      <c r="Y51" s="112">
        <f t="shared" si="39"/>
        <v>1</v>
      </c>
      <c r="Z51" s="74"/>
      <c r="AA51" s="113"/>
      <c r="AB51" s="185" t="s">
        <v>29</v>
      </c>
      <c r="AC51" s="186"/>
      <c r="AD51" s="91">
        <f t="shared" ref="AD51:AI51" si="40">SUM(AD11:AD50)</f>
        <v>8550</v>
      </c>
      <c r="AE51" s="114">
        <f t="shared" si="40"/>
        <v>0</v>
      </c>
      <c r="AF51" s="92">
        <f t="shared" si="40"/>
        <v>8550</v>
      </c>
      <c r="AG51" s="92">
        <f t="shared" si="40"/>
        <v>2120</v>
      </c>
      <c r="AH51" s="92">
        <f t="shared" si="40"/>
        <v>2120</v>
      </c>
      <c r="AI51" s="92">
        <f t="shared" si="40"/>
        <v>6430</v>
      </c>
      <c r="AJ51" s="93">
        <f t="shared" si="14"/>
        <v>9.7193396226415096</v>
      </c>
      <c r="AK51" s="78">
        <f t="shared" si="15"/>
        <v>9.7193396226415096</v>
      </c>
      <c r="AU51" s="116"/>
      <c r="AW51" s="94" t="s">
        <v>26</v>
      </c>
      <c r="AX51" s="114">
        <f>SUM(AX11:AX50)</f>
        <v>121</v>
      </c>
      <c r="AY51" s="114">
        <f>SUM(AY11:AY50)</f>
        <v>50910</v>
      </c>
      <c r="AZ51" s="114">
        <f>SUM(AZ11:AZ50)</f>
        <v>50</v>
      </c>
      <c r="BA51" s="114">
        <f>SUM(BA11:BA50)</f>
        <v>18396</v>
      </c>
      <c r="BB51" s="114">
        <f>SUM(BB11:BB50)</f>
        <v>18396</v>
      </c>
      <c r="BC51" s="95">
        <f>BB51/AY51</f>
        <v>0.36134354743665292</v>
      </c>
      <c r="BD51" s="117">
        <f>SUM(BD11:BD50)</f>
        <v>241</v>
      </c>
      <c r="BE51" s="117">
        <f>SUM(BE11:BE50)</f>
        <v>14990</v>
      </c>
      <c r="BF51" s="117">
        <f>SUM(BF11:BF50)</f>
        <v>23</v>
      </c>
      <c r="BG51" s="117">
        <f>SUM(BG11:BG50)</f>
        <v>1354</v>
      </c>
      <c r="BH51" s="117">
        <f>SUM(BH11:BH50)</f>
        <v>1354</v>
      </c>
      <c r="BI51" s="95">
        <f>BH51/BE51</f>
        <v>9.0326884589726486E-2</v>
      </c>
    </row>
    <row r="52" spans="1:61" ht="30" customHeight="1" x14ac:dyDescent="0.35">
      <c r="Z52" s="100"/>
      <c r="AA52" s="106"/>
      <c r="AB52" s="96"/>
      <c r="AC52" s="96"/>
      <c r="AD52" s="96"/>
      <c r="AE52" s="96"/>
      <c r="AF52" s="97"/>
      <c r="AG52" s="97"/>
      <c r="AH52" s="97"/>
      <c r="AI52" s="60"/>
      <c r="AJ52" s="98"/>
      <c r="AK52" s="98"/>
    </row>
    <row r="53" spans="1:61" ht="30" customHeight="1" x14ac:dyDescent="0.35"/>
    <row r="54" spans="1:61" ht="54.75" customHeight="1" x14ac:dyDescent="0.35">
      <c r="G54" s="230" t="s">
        <v>87</v>
      </c>
      <c r="H54" s="230"/>
      <c r="I54" s="230"/>
      <c r="J54" s="230"/>
      <c r="K54" s="230"/>
      <c r="L54" s="230"/>
      <c r="M54" s="230"/>
      <c r="N54" s="230"/>
      <c r="O54" s="230"/>
      <c r="P54" s="230"/>
      <c r="Q54" s="230"/>
      <c r="R54" s="230"/>
      <c r="S54" s="230"/>
      <c r="AE54" s="107"/>
      <c r="AF54" s="107"/>
    </row>
    <row r="55" spans="1:61" ht="42.75" customHeight="1" x14ac:dyDescent="0.35">
      <c r="AB55" s="181" t="s">
        <v>44</v>
      </c>
      <c r="AC55" s="181"/>
      <c r="AD55" s="181"/>
      <c r="AE55" s="181"/>
      <c r="AF55" s="181"/>
      <c r="AG55" s="181"/>
      <c r="AH55" s="181"/>
      <c r="AI55" s="181"/>
      <c r="AJ55" s="181"/>
      <c r="AK55" s="181"/>
      <c r="AL55" s="181"/>
      <c r="AM55" s="181"/>
      <c r="AN55" s="181"/>
      <c r="AX55" s="181" t="s">
        <v>44</v>
      </c>
      <c r="AY55" s="181"/>
      <c r="AZ55" s="181"/>
      <c r="BA55" s="181"/>
      <c r="BB55" s="181"/>
      <c r="BC55" s="181"/>
      <c r="BD55" s="181"/>
      <c r="BE55" s="181"/>
      <c r="BF55" s="181"/>
      <c r="BG55" s="181"/>
      <c r="BH55" s="181"/>
      <c r="BI55" s="181"/>
    </row>
    <row r="56" spans="1:61" ht="15.65" customHeight="1" x14ac:dyDescent="0.35">
      <c r="AG56" s="107"/>
      <c r="AH56" s="107"/>
      <c r="AI56" s="107"/>
    </row>
    <row r="57" spans="1:61" ht="14.5" customHeight="1" x14ac:dyDescent="0.35"/>
    <row r="58" spans="1:61" ht="18" customHeight="1" x14ac:dyDescent="0.35"/>
    <row r="59" spans="1:61" ht="18" customHeight="1" x14ac:dyDescent="0.35"/>
    <row r="60" spans="1:61" ht="18" customHeight="1" x14ac:dyDescent="0.35"/>
  </sheetData>
  <mergeCells count="57">
    <mergeCell ref="AO8:AO9"/>
    <mergeCell ref="AM8:AM13"/>
    <mergeCell ref="AF6:AN6"/>
    <mergeCell ref="AY6:BI6"/>
    <mergeCell ref="AM14:AN14"/>
    <mergeCell ref="AO14:AS14"/>
    <mergeCell ref="AY9:AY10"/>
    <mergeCell ref="AZ9:AZ10"/>
    <mergeCell ref="BA9:BA10"/>
    <mergeCell ref="BB9:BB10"/>
    <mergeCell ref="AT8:AT9"/>
    <mergeCell ref="AN8:AN9"/>
    <mergeCell ref="AR8:AS8"/>
    <mergeCell ref="AP8:AQ8"/>
    <mergeCell ref="AX55:BI55"/>
    <mergeCell ref="G54:S54"/>
    <mergeCell ref="AJ8:AJ10"/>
    <mergeCell ref="AC8:AC10"/>
    <mergeCell ref="AB8:AB10"/>
    <mergeCell ref="AI8:AI10"/>
    <mergeCell ref="BD8:BI8"/>
    <mergeCell ref="BC9:BC10"/>
    <mergeCell ref="BD9:BD10"/>
    <mergeCell ref="BE9:BE10"/>
    <mergeCell ref="BF9:BF10"/>
    <mergeCell ref="BG9:BG10"/>
    <mergeCell ref="BH9:BH10"/>
    <mergeCell ref="I9:J9"/>
    <mergeCell ref="K9:L9"/>
    <mergeCell ref="G9:H9"/>
    <mergeCell ref="T8:U9"/>
    <mergeCell ref="BI9:BI10"/>
    <mergeCell ref="AE8:AF9"/>
    <mergeCell ref="AG8:AH9"/>
    <mergeCell ref="AW8:AW10"/>
    <mergeCell ref="AX9:AX10"/>
    <mergeCell ref="AX8:BC8"/>
    <mergeCell ref="A6:Y6"/>
    <mergeCell ref="A7:Y7"/>
    <mergeCell ref="A8:A10"/>
    <mergeCell ref="B8:B10"/>
    <mergeCell ref="D8:D10"/>
    <mergeCell ref="X8:Y9"/>
    <mergeCell ref="V8:W9"/>
    <mergeCell ref="M9:N9"/>
    <mergeCell ref="O9:P9"/>
    <mergeCell ref="E9:F9"/>
    <mergeCell ref="AB55:AN55"/>
    <mergeCell ref="AK8:AK10"/>
    <mergeCell ref="AB51:AC51"/>
    <mergeCell ref="A51:B51"/>
    <mergeCell ref="C8:C10"/>
    <mergeCell ref="Q8:R9"/>
    <mergeCell ref="S8:S10"/>
    <mergeCell ref="AD8:AD10"/>
    <mergeCell ref="E8:J8"/>
    <mergeCell ref="K8:P8"/>
  </mergeCells>
  <pageMargins left="0.7" right="0.7" top="0.75" bottom="0.75" header="0.3" footer="0.3"/>
  <pageSetup paperSize="9" scale="30" fitToWidth="3" fitToHeight="0" orientation="landscape" r:id="rId1"/>
  <rowBreaks count="1" manualBreakCount="1">
    <brk id="30" max="66" man="1"/>
  </rowBreaks>
  <colBreaks count="3" manualBreakCount="3">
    <brk id="26" max="61" man="1"/>
    <brk id="36" max="61" man="1"/>
    <brk id="47" max="61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CE358-3CAE-498A-BFFD-3A00DAFCEF5C}">
  <dimension ref="A1:BJ56"/>
  <sheetViews>
    <sheetView rightToLeft="1" view="pageBreakPreview" topLeftCell="AR12" zoomScale="55" zoomScaleNormal="29" zoomScalePageLayoutView="40" workbookViewId="0">
      <selection activeCell="BI29" sqref="BI29"/>
    </sheetView>
  </sheetViews>
  <sheetFormatPr defaultColWidth="9.1796875" defaultRowHeight="26" x14ac:dyDescent="0.35"/>
  <cols>
    <col min="1" max="1" width="11.26953125" style="116" customWidth="1"/>
    <col min="2" max="2" width="24.453125" style="116" customWidth="1"/>
    <col min="3" max="4" width="18.7265625" style="116" customWidth="1"/>
    <col min="5" max="6" width="15.26953125" style="115" customWidth="1"/>
    <col min="7" max="7" width="18.453125" style="115" customWidth="1"/>
    <col min="8" max="8" width="16.81640625" style="115" customWidth="1"/>
    <col min="9" max="9" width="15.26953125" style="115" customWidth="1"/>
    <col min="10" max="10" width="15.54296875" style="115" customWidth="1"/>
    <col min="11" max="23" width="15.26953125" style="115" customWidth="1"/>
    <col min="24" max="24" width="12.54296875" style="115" customWidth="1"/>
    <col min="25" max="25" width="15.1796875" style="115" customWidth="1"/>
    <col min="26" max="26" width="9.1796875" style="115"/>
    <col min="27" max="27" width="14.1796875" style="115" customWidth="1"/>
    <col min="28" max="28" width="11.26953125" style="115" customWidth="1"/>
    <col min="29" max="29" width="27.453125" style="115" customWidth="1"/>
    <col min="30" max="30" width="15.26953125" style="115" customWidth="1"/>
    <col min="31" max="32" width="13.7265625" style="115" customWidth="1"/>
    <col min="33" max="33" width="14.1796875" style="115" customWidth="1"/>
    <col min="34" max="34" width="13" style="115" customWidth="1"/>
    <col min="35" max="35" width="18.26953125" style="115" customWidth="1"/>
    <col min="36" max="39" width="15" style="115" customWidth="1"/>
    <col min="40" max="40" width="42.54296875" style="115" customWidth="1"/>
    <col min="41" max="41" width="24.54296875" style="115" bestFit="1" customWidth="1"/>
    <col min="42" max="42" width="18" style="115" customWidth="1"/>
    <col min="43" max="44" width="15" style="115" customWidth="1"/>
    <col min="45" max="45" width="19.453125" style="115" customWidth="1"/>
    <col min="46" max="46" width="15" style="115" customWidth="1"/>
    <col min="47" max="48" width="9.1796875" style="115"/>
    <col min="49" max="49" width="30" style="115" customWidth="1"/>
    <col min="50" max="50" width="22.26953125" style="115" customWidth="1"/>
    <col min="51" max="51" width="16.26953125" style="115" customWidth="1"/>
    <col min="52" max="52" width="13.453125" style="115" customWidth="1"/>
    <col min="53" max="53" width="14" style="115" customWidth="1"/>
    <col min="54" max="54" width="11.7265625" style="115" customWidth="1"/>
    <col min="55" max="55" width="14.26953125" style="115" customWidth="1"/>
    <col min="56" max="56" width="17.7265625" style="115" customWidth="1"/>
    <col min="57" max="57" width="22.453125" style="115" customWidth="1"/>
    <col min="58" max="58" width="20.81640625" style="115" customWidth="1"/>
    <col min="59" max="59" width="13.26953125" style="115" customWidth="1"/>
    <col min="60" max="60" width="16.81640625" style="115" customWidth="1"/>
    <col min="61" max="61" width="12.81640625" style="115" customWidth="1"/>
    <col min="62" max="62" width="15.26953125" style="115" customWidth="1"/>
    <col min="63" max="16384" width="9.1796875" style="115"/>
  </cols>
  <sheetData>
    <row r="1" spans="1:62" x14ac:dyDescent="0.35">
      <c r="A1" s="129" t="s">
        <v>0</v>
      </c>
      <c r="B1" s="129"/>
      <c r="C1" s="129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AA1" s="101"/>
      <c r="AB1" s="129" t="s">
        <v>0</v>
      </c>
      <c r="AC1" s="129"/>
      <c r="AD1" s="101"/>
      <c r="AE1" s="101"/>
      <c r="AF1" s="101"/>
      <c r="AW1" s="129" t="s">
        <v>0</v>
      </c>
      <c r="AX1" s="129"/>
      <c r="AY1" s="129"/>
      <c r="AZ1" s="101"/>
      <c r="BA1" s="101"/>
      <c r="BB1" s="101"/>
      <c r="BC1" s="101"/>
      <c r="BD1" s="101"/>
      <c r="BE1" s="130"/>
      <c r="BF1" s="101"/>
      <c r="BI1" s="101"/>
      <c r="BJ1" s="101"/>
    </row>
    <row r="2" spans="1:62" x14ac:dyDescent="0.35">
      <c r="A2" s="129" t="s">
        <v>21</v>
      </c>
      <c r="B2" s="129"/>
      <c r="C2" s="129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AA2" s="101"/>
      <c r="AB2" s="129" t="s">
        <v>21</v>
      </c>
      <c r="AC2" s="129"/>
      <c r="AD2" s="101"/>
      <c r="AE2" s="101"/>
      <c r="AF2" s="101"/>
      <c r="AW2" s="129" t="s">
        <v>21</v>
      </c>
      <c r="AX2" s="129"/>
      <c r="AY2" s="129"/>
      <c r="AZ2" s="101"/>
      <c r="BA2" s="101"/>
      <c r="BB2" s="101"/>
      <c r="BC2" s="101"/>
      <c r="BD2" s="101"/>
      <c r="BE2" s="130"/>
      <c r="BF2" s="101"/>
      <c r="BI2" s="101"/>
      <c r="BJ2" s="101"/>
    </row>
    <row r="3" spans="1:62" x14ac:dyDescent="0.35">
      <c r="A3" s="129" t="s">
        <v>22</v>
      </c>
      <c r="B3" s="129"/>
      <c r="C3" s="129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AA3" s="101"/>
      <c r="AB3" s="129" t="s">
        <v>22</v>
      </c>
      <c r="AC3" s="129"/>
      <c r="AD3" s="101"/>
      <c r="AE3" s="101"/>
      <c r="AF3" s="101"/>
      <c r="AW3" s="129" t="s">
        <v>22</v>
      </c>
      <c r="AX3" s="129"/>
      <c r="AY3" s="129"/>
      <c r="AZ3" s="101"/>
      <c r="BA3" s="101"/>
      <c r="BB3" s="101"/>
      <c r="BC3" s="101"/>
      <c r="BD3" s="101"/>
      <c r="BE3" s="130"/>
      <c r="BF3" s="101"/>
      <c r="BI3" s="101"/>
      <c r="BJ3" s="101"/>
    </row>
    <row r="4" spans="1:62" x14ac:dyDescent="0.35">
      <c r="A4" s="129" t="s">
        <v>23</v>
      </c>
      <c r="B4" s="129"/>
      <c r="C4" s="129"/>
      <c r="D4" s="101"/>
      <c r="E4" s="130"/>
      <c r="F4" s="130"/>
      <c r="G4" s="130"/>
      <c r="H4" s="130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AB4" s="129" t="s">
        <v>23</v>
      </c>
      <c r="AC4" s="129"/>
      <c r="AW4" s="129" t="s">
        <v>23</v>
      </c>
      <c r="AX4" s="129"/>
      <c r="AY4" s="129"/>
      <c r="AZ4" s="101"/>
      <c r="BA4" s="101"/>
      <c r="BB4" s="101"/>
      <c r="BC4" s="101"/>
      <c r="BD4" s="101"/>
      <c r="BE4" s="130"/>
      <c r="BF4" s="101"/>
    </row>
    <row r="5" spans="1:62" x14ac:dyDescent="0.35">
      <c r="A5" s="129" t="s">
        <v>1</v>
      </c>
      <c r="B5" s="129"/>
      <c r="C5" s="129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  <c r="AB5" s="129" t="s">
        <v>1</v>
      </c>
      <c r="AC5" s="129"/>
      <c r="AW5" s="129" t="s">
        <v>1</v>
      </c>
      <c r="AX5" s="129"/>
      <c r="AY5" s="129"/>
      <c r="AZ5" s="101"/>
      <c r="BA5" s="101"/>
      <c r="BB5" s="101"/>
      <c r="BC5" s="101"/>
      <c r="BD5" s="101"/>
      <c r="BE5" s="130"/>
      <c r="BF5" s="101"/>
    </row>
    <row r="6" spans="1:62" x14ac:dyDescent="0.35">
      <c r="A6" s="200" t="s">
        <v>18</v>
      </c>
      <c r="B6" s="200"/>
      <c r="C6" s="200"/>
      <c r="D6" s="200"/>
      <c r="E6" s="200"/>
      <c r="F6" s="200"/>
      <c r="G6" s="200"/>
      <c r="H6" s="200"/>
      <c r="I6" s="200"/>
      <c r="J6" s="200"/>
      <c r="K6" s="200"/>
      <c r="L6" s="200"/>
      <c r="M6" s="200"/>
      <c r="N6" s="200"/>
      <c r="O6" s="200"/>
      <c r="P6" s="200"/>
      <c r="Q6" s="200"/>
      <c r="R6" s="200"/>
      <c r="S6" s="200"/>
      <c r="T6" s="200"/>
      <c r="U6" s="200"/>
      <c r="V6" s="200"/>
      <c r="W6" s="200"/>
      <c r="X6" s="200"/>
      <c r="Y6" s="200"/>
      <c r="AF6" s="200" t="s">
        <v>16</v>
      </c>
      <c r="AG6" s="200"/>
      <c r="AH6" s="200"/>
      <c r="AI6" s="200"/>
      <c r="AJ6" s="200"/>
      <c r="AK6" s="200"/>
      <c r="AL6" s="200"/>
      <c r="AM6" s="200"/>
      <c r="AN6" s="200"/>
      <c r="AO6" s="101"/>
      <c r="AP6" s="101"/>
      <c r="AQ6" s="101"/>
      <c r="AR6" s="101"/>
      <c r="AS6" s="101"/>
      <c r="AT6" s="101"/>
      <c r="AY6" s="200" t="s">
        <v>30</v>
      </c>
      <c r="AZ6" s="200"/>
      <c r="BA6" s="200"/>
      <c r="BB6" s="200"/>
      <c r="BC6" s="200"/>
      <c r="BD6" s="200"/>
      <c r="BE6" s="200"/>
      <c r="BF6" s="200"/>
      <c r="BG6" s="200"/>
      <c r="BH6" s="200"/>
      <c r="BI6" s="200"/>
    </row>
    <row r="7" spans="1:62" ht="26.5" thickBot="1" x14ac:dyDescent="0.4">
      <c r="A7" s="201" t="s">
        <v>90</v>
      </c>
      <c r="B7" s="202"/>
      <c r="C7" s="202"/>
      <c r="D7" s="202"/>
      <c r="E7" s="201"/>
      <c r="F7" s="201"/>
      <c r="G7" s="201"/>
      <c r="H7" s="201"/>
      <c r="I7" s="201"/>
      <c r="J7" s="201"/>
      <c r="K7" s="201"/>
      <c r="L7" s="201"/>
      <c r="M7" s="201"/>
      <c r="N7" s="201"/>
      <c r="O7" s="201"/>
      <c r="P7" s="201"/>
      <c r="Q7" s="201"/>
      <c r="R7" s="201"/>
      <c r="S7" s="201"/>
      <c r="T7" s="202"/>
      <c r="U7" s="202"/>
      <c r="V7" s="202"/>
      <c r="W7" s="202"/>
      <c r="X7" s="202"/>
      <c r="Y7" s="202"/>
      <c r="AJ7" s="105" t="s">
        <v>31</v>
      </c>
      <c r="AK7" s="105"/>
      <c r="AL7" s="105"/>
      <c r="AN7" s="105"/>
      <c r="AO7" s="105"/>
      <c r="AP7" s="105"/>
      <c r="AQ7" s="105"/>
      <c r="AS7" s="105"/>
      <c r="AT7" s="105"/>
      <c r="BC7" s="105" t="s">
        <v>31</v>
      </c>
      <c r="BD7" s="105"/>
      <c r="BF7" s="105"/>
      <c r="BG7" s="105"/>
      <c r="BH7" s="105"/>
      <c r="BI7" s="105"/>
      <c r="BJ7" s="105"/>
    </row>
    <row r="8" spans="1:62" ht="41.5" customHeight="1" x14ac:dyDescent="0.35">
      <c r="A8" s="203" t="s">
        <v>24</v>
      </c>
      <c r="B8" s="206" t="s">
        <v>25</v>
      </c>
      <c r="C8" s="188" t="s">
        <v>11</v>
      </c>
      <c r="D8" s="188" t="s">
        <v>15</v>
      </c>
      <c r="E8" s="254" t="s">
        <v>5</v>
      </c>
      <c r="F8" s="254"/>
      <c r="G8" s="254"/>
      <c r="H8" s="254"/>
      <c r="I8" s="254"/>
      <c r="J8" s="254"/>
      <c r="K8" s="254" t="s">
        <v>7</v>
      </c>
      <c r="L8" s="254"/>
      <c r="M8" s="254"/>
      <c r="N8" s="254"/>
      <c r="O8" s="254"/>
      <c r="P8" s="254"/>
      <c r="Q8" s="189" t="s">
        <v>2</v>
      </c>
      <c r="R8" s="190"/>
      <c r="S8" s="193" t="s">
        <v>12</v>
      </c>
      <c r="T8" s="228" t="s">
        <v>8</v>
      </c>
      <c r="U8" s="228"/>
      <c r="V8" s="228" t="s">
        <v>9</v>
      </c>
      <c r="W8" s="228"/>
      <c r="X8" s="228" t="s">
        <v>20</v>
      </c>
      <c r="Y8" s="228"/>
      <c r="AB8" s="203" t="s">
        <v>24</v>
      </c>
      <c r="AC8" s="196" t="s">
        <v>28</v>
      </c>
      <c r="AD8" s="196" t="s">
        <v>14</v>
      </c>
      <c r="AE8" s="214" t="s">
        <v>45</v>
      </c>
      <c r="AF8" s="215"/>
      <c r="AG8" s="257" t="s">
        <v>10</v>
      </c>
      <c r="AH8" s="215"/>
      <c r="AI8" s="231" t="s">
        <v>46</v>
      </c>
      <c r="AJ8" s="182" t="s">
        <v>51</v>
      </c>
      <c r="AK8" s="182" t="s">
        <v>47</v>
      </c>
      <c r="AM8" s="235" t="s">
        <v>41</v>
      </c>
      <c r="AN8" s="227" t="s">
        <v>38</v>
      </c>
      <c r="AO8" s="227" t="s">
        <v>14</v>
      </c>
      <c r="AP8" s="227" t="s">
        <v>39</v>
      </c>
      <c r="AQ8" s="227"/>
      <c r="AR8" s="227" t="s">
        <v>50</v>
      </c>
      <c r="AS8" s="227"/>
      <c r="AT8" s="251" t="s">
        <v>40</v>
      </c>
      <c r="AW8" s="203" t="s">
        <v>28</v>
      </c>
      <c r="AX8" s="253" t="s">
        <v>48</v>
      </c>
      <c r="AY8" s="254"/>
      <c r="AZ8" s="254"/>
      <c r="BA8" s="254"/>
      <c r="BB8" s="254"/>
      <c r="BC8" s="255"/>
      <c r="BD8" s="256" t="s">
        <v>49</v>
      </c>
      <c r="BE8" s="254"/>
      <c r="BF8" s="254"/>
      <c r="BG8" s="254"/>
      <c r="BH8" s="254"/>
      <c r="BI8" s="255"/>
    </row>
    <row r="9" spans="1:62" s="135" customFormat="1" ht="54" customHeight="1" x14ac:dyDescent="0.35">
      <c r="A9" s="204"/>
      <c r="B9" s="206"/>
      <c r="C9" s="188"/>
      <c r="D9" s="188"/>
      <c r="E9" s="259" t="s">
        <v>6</v>
      </c>
      <c r="F9" s="260"/>
      <c r="G9" s="261" t="s">
        <v>13</v>
      </c>
      <c r="H9" s="260"/>
      <c r="I9" s="207" t="s">
        <v>19</v>
      </c>
      <c r="J9" s="207"/>
      <c r="K9" s="259" t="s">
        <v>6</v>
      </c>
      <c r="L9" s="260"/>
      <c r="M9" s="261" t="s">
        <v>13</v>
      </c>
      <c r="N9" s="260"/>
      <c r="O9" s="207" t="s">
        <v>19</v>
      </c>
      <c r="P9" s="207"/>
      <c r="Q9" s="191"/>
      <c r="R9" s="192"/>
      <c r="S9" s="194"/>
      <c r="T9" s="228"/>
      <c r="U9" s="228"/>
      <c r="V9" s="228"/>
      <c r="W9" s="228"/>
      <c r="X9" s="228"/>
      <c r="Y9" s="228"/>
      <c r="AB9" s="204"/>
      <c r="AC9" s="197"/>
      <c r="AD9" s="197"/>
      <c r="AE9" s="216"/>
      <c r="AF9" s="217"/>
      <c r="AG9" s="258"/>
      <c r="AH9" s="217"/>
      <c r="AI9" s="232"/>
      <c r="AJ9" s="183"/>
      <c r="AK9" s="183"/>
      <c r="AM9" s="236"/>
      <c r="AN9" s="228"/>
      <c r="AO9" s="228"/>
      <c r="AP9" s="124" t="s">
        <v>3</v>
      </c>
      <c r="AQ9" s="124" t="s">
        <v>4</v>
      </c>
      <c r="AR9" s="124" t="s">
        <v>3</v>
      </c>
      <c r="AS9" s="124" t="s">
        <v>4</v>
      </c>
      <c r="AT9" s="252"/>
      <c r="AW9" s="204"/>
      <c r="AX9" s="219" t="s">
        <v>17</v>
      </c>
      <c r="AY9" s="219" t="s">
        <v>11</v>
      </c>
      <c r="AZ9" s="244" t="s">
        <v>32</v>
      </c>
      <c r="BA9" s="219" t="s">
        <v>37</v>
      </c>
      <c r="BB9" s="219" t="s">
        <v>34</v>
      </c>
      <c r="BC9" s="219" t="s">
        <v>12</v>
      </c>
      <c r="BD9" s="219" t="s">
        <v>33</v>
      </c>
      <c r="BE9" s="219" t="s">
        <v>11</v>
      </c>
      <c r="BF9" s="244" t="s">
        <v>35</v>
      </c>
      <c r="BG9" s="219" t="s">
        <v>37</v>
      </c>
      <c r="BH9" s="219" t="s">
        <v>34</v>
      </c>
      <c r="BI9" s="219" t="s">
        <v>12</v>
      </c>
    </row>
    <row r="10" spans="1:62" ht="78" customHeight="1" thickBot="1" x14ac:dyDescent="0.4">
      <c r="A10" s="205"/>
      <c r="B10" s="206"/>
      <c r="C10" s="188"/>
      <c r="D10" s="188"/>
      <c r="E10" s="64" t="s">
        <v>3</v>
      </c>
      <c r="F10" s="59" t="s">
        <v>4</v>
      </c>
      <c r="G10" s="64" t="s">
        <v>3</v>
      </c>
      <c r="H10" s="59" t="s">
        <v>4</v>
      </c>
      <c r="I10" s="59" t="s">
        <v>3</v>
      </c>
      <c r="J10" s="59" t="s">
        <v>4</v>
      </c>
      <c r="K10" s="64" t="s">
        <v>3</v>
      </c>
      <c r="L10" s="59" t="s">
        <v>4</v>
      </c>
      <c r="M10" s="64" t="s">
        <v>3</v>
      </c>
      <c r="N10" s="59" t="s">
        <v>4</v>
      </c>
      <c r="O10" s="59" t="s">
        <v>3</v>
      </c>
      <c r="P10" s="59" t="s">
        <v>4</v>
      </c>
      <c r="Q10" s="65" t="s">
        <v>3</v>
      </c>
      <c r="R10" s="65" t="s">
        <v>4</v>
      </c>
      <c r="S10" s="195"/>
      <c r="T10" s="59" t="s">
        <v>3</v>
      </c>
      <c r="U10" s="59" t="s">
        <v>4</v>
      </c>
      <c r="V10" s="59" t="s">
        <v>3</v>
      </c>
      <c r="W10" s="59" t="s">
        <v>4</v>
      </c>
      <c r="X10" s="59" t="s">
        <v>3</v>
      </c>
      <c r="Y10" s="59" t="s">
        <v>4</v>
      </c>
      <c r="AB10" s="218"/>
      <c r="AC10" s="198"/>
      <c r="AD10" s="198"/>
      <c r="AE10" s="66" t="s">
        <v>3</v>
      </c>
      <c r="AF10" s="67" t="s">
        <v>4</v>
      </c>
      <c r="AG10" s="68" t="s">
        <v>3</v>
      </c>
      <c r="AH10" s="69" t="s">
        <v>4</v>
      </c>
      <c r="AI10" s="213"/>
      <c r="AJ10" s="184"/>
      <c r="AK10" s="184"/>
      <c r="AM10" s="236"/>
      <c r="AN10" s="70" t="str">
        <f>'1'!AN10</f>
        <v>0124W120</v>
      </c>
      <c r="AO10" s="70">
        <f>'1'!AT10</f>
        <v>73</v>
      </c>
      <c r="AP10" s="70">
        <v>0</v>
      </c>
      <c r="AQ10" s="71">
        <f>AP10+'1'!AQ10</f>
        <v>73</v>
      </c>
      <c r="AR10" s="71"/>
      <c r="AS10" s="71">
        <f>AR10+'1'!AS10</f>
        <v>0</v>
      </c>
      <c r="AT10" s="72">
        <f>AO10+AP10-AR10</f>
        <v>73</v>
      </c>
      <c r="AW10" s="205"/>
      <c r="AX10" s="245"/>
      <c r="AY10" s="245"/>
      <c r="AZ10" s="234"/>
      <c r="BA10" s="245"/>
      <c r="BB10" s="245"/>
      <c r="BC10" s="245"/>
      <c r="BD10" s="245"/>
      <c r="BE10" s="245"/>
      <c r="BF10" s="234"/>
      <c r="BG10" s="245"/>
      <c r="BH10" s="245"/>
      <c r="BI10" s="245"/>
    </row>
    <row r="11" spans="1:62" ht="33" customHeight="1" x14ac:dyDescent="0.35">
      <c r="A11" s="73">
        <v>1</v>
      </c>
      <c r="B11" s="127" t="str">
        <f>'1'!B11</f>
        <v>مكتب الصحة</v>
      </c>
      <c r="C11" s="58">
        <f>'1'!C11</f>
        <v>12251</v>
      </c>
      <c r="D11" s="58">
        <v>13</v>
      </c>
      <c r="E11" s="59">
        <v>12</v>
      </c>
      <c r="F11" s="64">
        <f>E11+'1'!F11</f>
        <v>23</v>
      </c>
      <c r="G11" s="64">
        <v>657</v>
      </c>
      <c r="H11" s="64">
        <f>G11+'1'!H11</f>
        <v>1074</v>
      </c>
      <c r="I11" s="64">
        <v>1722</v>
      </c>
      <c r="J11" s="64">
        <f>I11+'1'!J11</f>
        <v>3735</v>
      </c>
      <c r="K11" s="64">
        <v>0</v>
      </c>
      <c r="L11" s="64">
        <f>K11+'1'!L11</f>
        <v>0</v>
      </c>
      <c r="M11" s="64">
        <v>0</v>
      </c>
      <c r="N11" s="64">
        <f>M11+'1'!N11</f>
        <v>0</v>
      </c>
      <c r="O11" s="64">
        <v>0</v>
      </c>
      <c r="P11" s="64">
        <f>O11+'1'!P11</f>
        <v>0</v>
      </c>
      <c r="Q11" s="65">
        <f>O11+M11+K11+I11+G11+E11</f>
        <v>2391</v>
      </c>
      <c r="R11" s="65">
        <f>Q11+'1'!R11</f>
        <v>4832</v>
      </c>
      <c r="S11" s="99">
        <f>R11/C11</f>
        <v>0.39441678230348542</v>
      </c>
      <c r="T11" s="59">
        <v>532</v>
      </c>
      <c r="U11" s="64">
        <f>T11+'1'!U11</f>
        <v>934</v>
      </c>
      <c r="V11" s="59">
        <v>0</v>
      </c>
      <c r="W11" s="64">
        <f>V11+'1'!W11</f>
        <v>0</v>
      </c>
      <c r="X11" s="59">
        <v>0</v>
      </c>
      <c r="Y11" s="64">
        <f>X11+'1'!Y11</f>
        <v>0</v>
      </c>
      <c r="AB11" s="63">
        <v>1</v>
      </c>
      <c r="AC11" s="127" t="str">
        <f t="shared" ref="AC11:AC50" si="0">AW11</f>
        <v>مكتب الصحة</v>
      </c>
      <c r="AD11" s="76">
        <f>'1'!AI11</f>
        <v>827</v>
      </c>
      <c r="AE11" s="62">
        <v>0</v>
      </c>
      <c r="AF11" s="76">
        <f>AE11+'1'!AF11</f>
        <v>1076</v>
      </c>
      <c r="AG11" s="65">
        <v>243</v>
      </c>
      <c r="AH11" s="76">
        <f>AG11+'1'!AH11</f>
        <v>492</v>
      </c>
      <c r="AI11" s="65">
        <f>AD11+AE11-AG11</f>
        <v>584</v>
      </c>
      <c r="AJ11" s="77">
        <f t="shared" ref="AJ11:AJ51" si="1">Q11/AG11</f>
        <v>9.8395061728395063</v>
      </c>
      <c r="AK11" s="78">
        <f t="shared" ref="AK11:AK51" si="2">R11/AH11</f>
        <v>9.8211382113821131</v>
      </c>
      <c r="AM11" s="236"/>
      <c r="AN11" s="70" t="str">
        <f>'1'!AN11</f>
        <v>420604325A</v>
      </c>
      <c r="AO11" s="70">
        <f>'1'!AT11</f>
        <v>6430</v>
      </c>
      <c r="AP11" s="112"/>
      <c r="AQ11" s="71">
        <f>AP11+'1'!AQ11</f>
        <v>8550</v>
      </c>
      <c r="AR11" s="112">
        <v>1931</v>
      </c>
      <c r="AS11" s="71">
        <f>AR11+'1'!AS11</f>
        <v>4051</v>
      </c>
      <c r="AT11" s="72">
        <f>AO11+AP11-AR11</f>
        <v>4499</v>
      </c>
      <c r="AW11" s="127" t="str">
        <f t="shared" ref="AW11:AW50" si="3">B11</f>
        <v>مكتب الصحة</v>
      </c>
      <c r="AX11" s="59">
        <f>'1'!AX11</f>
        <v>11</v>
      </c>
      <c r="AY11" s="59">
        <f>'1'!AY11</f>
        <v>8411</v>
      </c>
      <c r="AZ11" s="59">
        <v>8</v>
      </c>
      <c r="BA11" s="59">
        <v>1925</v>
      </c>
      <c r="BB11" s="59">
        <f>BA11+'1'!BB11</f>
        <v>4176</v>
      </c>
      <c r="BC11" s="82">
        <f>BB11/AY11</f>
        <v>0.49649268814647485</v>
      </c>
      <c r="BD11" s="59">
        <f>'1'!BD11</f>
        <v>27</v>
      </c>
      <c r="BE11" s="59">
        <f>'1'!BE11</f>
        <v>1746</v>
      </c>
      <c r="BF11" s="59">
        <v>4</v>
      </c>
      <c r="BG11" s="59">
        <v>131</v>
      </c>
      <c r="BH11" s="59">
        <f>BG11+'1'!BH11</f>
        <v>131</v>
      </c>
      <c r="BI11" s="82">
        <f t="shared" ref="BI11:BI51" si="4">BH11/BE11</f>
        <v>7.5028636884306985E-2</v>
      </c>
    </row>
    <row r="12" spans="1:62" ht="33" customHeight="1" x14ac:dyDescent="0.35">
      <c r="A12" s="73">
        <v>2</v>
      </c>
      <c r="B12" s="127" t="str">
        <f>'1'!B12</f>
        <v>شبرابخـــــــــــوم</v>
      </c>
      <c r="C12" s="58">
        <f>'1'!C12</f>
        <v>4445</v>
      </c>
      <c r="D12" s="58">
        <v>4</v>
      </c>
      <c r="E12" s="59">
        <v>3</v>
      </c>
      <c r="F12" s="64">
        <f>E12+'1'!F12</f>
        <v>4</v>
      </c>
      <c r="G12" s="64">
        <v>102</v>
      </c>
      <c r="H12" s="64">
        <f>G12+'1'!H12</f>
        <v>127</v>
      </c>
      <c r="I12" s="64">
        <v>668</v>
      </c>
      <c r="J12" s="64">
        <f>I12+'1'!J12</f>
        <v>1320</v>
      </c>
      <c r="K12" s="64">
        <v>0</v>
      </c>
      <c r="L12" s="64">
        <f>K12+'1'!L12</f>
        <v>0</v>
      </c>
      <c r="M12" s="64">
        <v>0</v>
      </c>
      <c r="N12" s="64">
        <f>M12+'1'!N12</f>
        <v>0</v>
      </c>
      <c r="O12" s="64">
        <v>0</v>
      </c>
      <c r="P12" s="64">
        <f>O12+'1'!P12</f>
        <v>0</v>
      </c>
      <c r="Q12" s="65">
        <f t="shared" ref="Q12:Q50" si="5">O12+M12+K12+I12+G12+E12</f>
        <v>773</v>
      </c>
      <c r="R12" s="65">
        <f>Q12+'1'!R12</f>
        <v>1451</v>
      </c>
      <c r="S12" s="99">
        <f t="shared" ref="S12:S50" si="6">R12/C12</f>
        <v>0.32643419572553428</v>
      </c>
      <c r="T12" s="59">
        <v>140</v>
      </c>
      <c r="U12" s="64">
        <f>T12+'1'!U12</f>
        <v>242</v>
      </c>
      <c r="V12" s="59">
        <v>3</v>
      </c>
      <c r="W12" s="64">
        <f>V12+'1'!W12</f>
        <v>4</v>
      </c>
      <c r="X12" s="59">
        <v>0</v>
      </c>
      <c r="Y12" s="64">
        <f>X12+'1'!Y12</f>
        <v>0</v>
      </c>
      <c r="AB12" s="73">
        <v>2</v>
      </c>
      <c r="AC12" s="127" t="str">
        <f t="shared" si="0"/>
        <v>شبرابخـــــــــــوم</v>
      </c>
      <c r="AD12" s="76">
        <f>'1'!AI12</f>
        <v>320</v>
      </c>
      <c r="AE12" s="62">
        <v>0</v>
      </c>
      <c r="AF12" s="76">
        <f>AE12+'1'!AF12</f>
        <v>390</v>
      </c>
      <c r="AG12" s="65">
        <v>78</v>
      </c>
      <c r="AH12" s="76">
        <f>AG12+'1'!AH12</f>
        <v>148</v>
      </c>
      <c r="AI12" s="65">
        <f>AD12+AE12-AG12</f>
        <v>242</v>
      </c>
      <c r="AJ12" s="77">
        <f t="shared" si="1"/>
        <v>9.9102564102564106</v>
      </c>
      <c r="AK12" s="78">
        <f t="shared" si="2"/>
        <v>9.8040540540540544</v>
      </c>
      <c r="AM12" s="236"/>
      <c r="AN12" s="70" t="s">
        <v>91</v>
      </c>
      <c r="AO12" s="70">
        <f>'1'!AT12</f>
        <v>0</v>
      </c>
      <c r="AP12" s="112">
        <v>100</v>
      </c>
      <c r="AQ12" s="71">
        <f>AP12+'1'!AQ12</f>
        <v>100</v>
      </c>
      <c r="AR12" s="112"/>
      <c r="AS12" s="71">
        <f>AR12+'1'!AS12</f>
        <v>0</v>
      </c>
      <c r="AT12" s="72">
        <f>AO12+AP12-AR12</f>
        <v>100</v>
      </c>
      <c r="AW12" s="127" t="str">
        <f t="shared" si="3"/>
        <v>شبرابخـــــــــــوم</v>
      </c>
      <c r="AX12" s="59">
        <f>'1'!AX12</f>
        <v>6</v>
      </c>
      <c r="AY12" s="59">
        <f>'1'!AY12</f>
        <v>2215</v>
      </c>
      <c r="AZ12" s="59">
        <v>2</v>
      </c>
      <c r="BA12" s="59">
        <v>773</v>
      </c>
      <c r="BB12" s="59">
        <f>BA12+'1'!BB12</f>
        <v>1451</v>
      </c>
      <c r="BC12" s="82">
        <f t="shared" ref="BC12:BC51" si="7">BB12/AY12</f>
        <v>0.65507900677200903</v>
      </c>
      <c r="BD12" s="59">
        <f>'1'!BD12</f>
        <v>16</v>
      </c>
      <c r="BE12" s="59">
        <f>'1'!BE12</f>
        <v>729</v>
      </c>
      <c r="BF12" s="59">
        <v>0</v>
      </c>
      <c r="BG12" s="59">
        <v>0</v>
      </c>
      <c r="BH12" s="59">
        <f>BG12+'1'!BH12</f>
        <v>0</v>
      </c>
      <c r="BI12" s="82">
        <f t="shared" si="4"/>
        <v>0</v>
      </c>
    </row>
    <row r="13" spans="1:62" ht="33" customHeight="1" x14ac:dyDescent="0.35">
      <c r="A13" s="73">
        <v>3</v>
      </c>
      <c r="B13" s="127" t="str">
        <f>'1'!B13</f>
        <v>ميت بره</v>
      </c>
      <c r="C13" s="58">
        <f>'1'!C13</f>
        <v>11614</v>
      </c>
      <c r="D13" s="58">
        <v>8</v>
      </c>
      <c r="E13" s="59">
        <v>5</v>
      </c>
      <c r="F13" s="64">
        <f>E13+'1'!F13</f>
        <v>18</v>
      </c>
      <c r="G13" s="64">
        <v>114</v>
      </c>
      <c r="H13" s="64">
        <f>G13+'1'!H13</f>
        <v>159</v>
      </c>
      <c r="I13" s="64">
        <v>1426</v>
      </c>
      <c r="J13" s="64">
        <f>I13+'1'!J13</f>
        <v>2971</v>
      </c>
      <c r="K13" s="64">
        <v>0</v>
      </c>
      <c r="L13" s="64">
        <f>K13+'1'!L13</f>
        <v>0</v>
      </c>
      <c r="M13" s="64">
        <v>0</v>
      </c>
      <c r="N13" s="64">
        <f>M13+'1'!N13</f>
        <v>0</v>
      </c>
      <c r="O13" s="64">
        <v>0</v>
      </c>
      <c r="P13" s="64">
        <f>O13+'1'!P13</f>
        <v>0</v>
      </c>
      <c r="Q13" s="65">
        <f t="shared" si="5"/>
        <v>1545</v>
      </c>
      <c r="R13" s="65">
        <f>Q13+'1'!R13</f>
        <v>3148</v>
      </c>
      <c r="S13" s="99">
        <f t="shared" si="6"/>
        <v>0.27105217840537282</v>
      </c>
      <c r="T13" s="59">
        <v>221</v>
      </c>
      <c r="U13" s="64">
        <f>T13+'1'!U13</f>
        <v>420</v>
      </c>
      <c r="V13" s="59">
        <v>0</v>
      </c>
      <c r="W13" s="64">
        <f>V13+'1'!W13</f>
        <v>0</v>
      </c>
      <c r="X13" s="59">
        <v>0</v>
      </c>
      <c r="Y13" s="64">
        <f>X13+'1'!Y13</f>
        <v>0</v>
      </c>
      <c r="AB13" s="73">
        <v>3</v>
      </c>
      <c r="AC13" s="127" t="str">
        <f t="shared" si="0"/>
        <v>ميت بره</v>
      </c>
      <c r="AD13" s="76">
        <f>'1'!AI13</f>
        <v>857</v>
      </c>
      <c r="AE13" s="62">
        <v>0</v>
      </c>
      <c r="AF13" s="76">
        <f>AE13+'1'!AF13</f>
        <v>1020</v>
      </c>
      <c r="AG13" s="65">
        <v>156</v>
      </c>
      <c r="AH13" s="76">
        <f>AG13+'1'!AH13</f>
        <v>319</v>
      </c>
      <c r="AI13" s="65">
        <f t="shared" ref="AI13:AI50" si="8">AD13+AE13-AG13</f>
        <v>701</v>
      </c>
      <c r="AJ13" s="77">
        <f t="shared" si="1"/>
        <v>9.9038461538461533</v>
      </c>
      <c r="AK13" s="78">
        <f t="shared" si="2"/>
        <v>9.8683385579937308</v>
      </c>
      <c r="AM13" s="236"/>
      <c r="AN13" s="84" t="s">
        <v>43</v>
      </c>
      <c r="AO13" s="131">
        <f t="shared" ref="AO13:AT13" si="9">SUM(AO10:AO12)</f>
        <v>6503</v>
      </c>
      <c r="AP13" s="131">
        <f t="shared" si="9"/>
        <v>100</v>
      </c>
      <c r="AQ13" s="131">
        <f t="shared" si="9"/>
        <v>8723</v>
      </c>
      <c r="AR13" s="131">
        <f t="shared" si="9"/>
        <v>1931</v>
      </c>
      <c r="AS13" s="131">
        <f t="shared" si="9"/>
        <v>4051</v>
      </c>
      <c r="AT13" s="132">
        <f t="shared" si="9"/>
        <v>4672</v>
      </c>
      <c r="AW13" s="127" t="str">
        <f t="shared" si="3"/>
        <v>ميت بره</v>
      </c>
      <c r="AX13" s="59">
        <f>'1'!AX13</f>
        <v>8</v>
      </c>
      <c r="AY13" s="59">
        <f>'1'!AY13</f>
        <v>4849</v>
      </c>
      <c r="AZ13" s="59">
        <v>3</v>
      </c>
      <c r="BA13" s="59">
        <v>1395</v>
      </c>
      <c r="BB13" s="59">
        <f>BA13+'1'!BB13</f>
        <v>2928</v>
      </c>
      <c r="BC13" s="82">
        <f t="shared" si="7"/>
        <v>0.6038358424417406</v>
      </c>
      <c r="BD13" s="59">
        <f>'1'!BD13</f>
        <v>21</v>
      </c>
      <c r="BE13" s="59">
        <f>'1'!BE13</f>
        <v>1129</v>
      </c>
      <c r="BF13" s="59">
        <v>0</v>
      </c>
      <c r="BG13" s="59">
        <v>0</v>
      </c>
      <c r="BH13" s="59">
        <f>BG13+'1'!BH13</f>
        <v>0</v>
      </c>
      <c r="BI13" s="82">
        <f t="shared" si="4"/>
        <v>0</v>
      </c>
    </row>
    <row r="14" spans="1:62" ht="33" customHeight="1" thickBot="1" x14ac:dyDescent="0.4">
      <c r="A14" s="73">
        <v>4</v>
      </c>
      <c r="B14" s="127" t="str">
        <f>'1'!B14</f>
        <v>أبنــــــــــــــــهس</v>
      </c>
      <c r="C14" s="58">
        <f>'1'!C14</f>
        <v>5029</v>
      </c>
      <c r="D14" s="58">
        <v>4</v>
      </c>
      <c r="E14" s="59">
        <v>2</v>
      </c>
      <c r="F14" s="64">
        <f>E14+'1'!F14</f>
        <v>6</v>
      </c>
      <c r="G14" s="64">
        <v>10</v>
      </c>
      <c r="H14" s="64">
        <f>G14+'1'!H14</f>
        <v>39</v>
      </c>
      <c r="I14" s="64">
        <v>771</v>
      </c>
      <c r="J14" s="64">
        <f>I14+'1'!J14</f>
        <v>1657</v>
      </c>
      <c r="K14" s="64">
        <v>0</v>
      </c>
      <c r="L14" s="64">
        <f>K14+'1'!L14</f>
        <v>0</v>
      </c>
      <c r="M14" s="64">
        <v>0</v>
      </c>
      <c r="N14" s="64">
        <f>M14+'1'!N14</f>
        <v>0</v>
      </c>
      <c r="O14" s="64">
        <v>0</v>
      </c>
      <c r="P14" s="64">
        <f>O14+'1'!P14</f>
        <v>0</v>
      </c>
      <c r="Q14" s="65">
        <f t="shared" si="5"/>
        <v>783</v>
      </c>
      <c r="R14" s="65">
        <f>Q14+'1'!R14</f>
        <v>1702</v>
      </c>
      <c r="S14" s="99">
        <f t="shared" si="6"/>
        <v>0.33843706502286736</v>
      </c>
      <c r="T14" s="59">
        <v>111</v>
      </c>
      <c r="U14" s="64">
        <f>T14+'1'!U14</f>
        <v>188</v>
      </c>
      <c r="V14" s="59">
        <v>19</v>
      </c>
      <c r="W14" s="64">
        <f>V14+'1'!W14</f>
        <v>19</v>
      </c>
      <c r="X14" s="59">
        <v>0</v>
      </c>
      <c r="Y14" s="64">
        <f>X14+'1'!Y14</f>
        <v>0</v>
      </c>
      <c r="AB14" s="73">
        <v>4</v>
      </c>
      <c r="AC14" s="127" t="str">
        <f t="shared" si="0"/>
        <v>أبنــــــــــــــــهس</v>
      </c>
      <c r="AD14" s="76">
        <f>'1'!AI14</f>
        <v>346</v>
      </c>
      <c r="AE14" s="62">
        <v>0</v>
      </c>
      <c r="AF14" s="76">
        <f>AE14+'1'!AF14</f>
        <v>440</v>
      </c>
      <c r="AG14" s="65">
        <v>80</v>
      </c>
      <c r="AH14" s="76">
        <f>AG14+'1'!AH14</f>
        <v>174</v>
      </c>
      <c r="AI14" s="65">
        <f t="shared" si="8"/>
        <v>266</v>
      </c>
      <c r="AJ14" s="77">
        <f t="shared" si="1"/>
        <v>9.7874999999999996</v>
      </c>
      <c r="AK14" s="78">
        <f t="shared" si="2"/>
        <v>9.7816091954022983</v>
      </c>
      <c r="AM14" s="246" t="s">
        <v>42</v>
      </c>
      <c r="AN14" s="247"/>
      <c r="AO14" s="248"/>
      <c r="AP14" s="249"/>
      <c r="AQ14" s="249"/>
      <c r="AR14" s="249"/>
      <c r="AS14" s="250"/>
      <c r="AT14" s="133">
        <f>AT13+AI51</f>
        <v>9181</v>
      </c>
      <c r="AW14" s="127" t="str">
        <f t="shared" si="3"/>
        <v>أبنــــــــــــــــهس</v>
      </c>
      <c r="AX14" s="59">
        <f>'1'!AX14</f>
        <v>7</v>
      </c>
      <c r="AY14" s="59">
        <f>'1'!AY14</f>
        <v>2531</v>
      </c>
      <c r="AZ14" s="59">
        <v>5</v>
      </c>
      <c r="BA14" s="59">
        <v>783</v>
      </c>
      <c r="BB14" s="59">
        <f>BA14+'1'!BB14</f>
        <v>1702</v>
      </c>
      <c r="BC14" s="82">
        <f t="shared" si="7"/>
        <v>0.67246147767680764</v>
      </c>
      <c r="BD14" s="59">
        <f>'1'!BD14</f>
        <v>23</v>
      </c>
      <c r="BE14" s="59">
        <f>'1'!BE14</f>
        <v>921</v>
      </c>
      <c r="BF14" s="59">
        <v>0</v>
      </c>
      <c r="BG14" s="59">
        <v>0</v>
      </c>
      <c r="BH14" s="59">
        <f>BG14+'1'!BH14</f>
        <v>0</v>
      </c>
      <c r="BI14" s="82">
        <f t="shared" si="4"/>
        <v>0</v>
      </c>
    </row>
    <row r="15" spans="1:62" ht="33" customHeight="1" x14ac:dyDescent="0.35">
      <c r="A15" s="73">
        <v>5</v>
      </c>
      <c r="B15" s="127" t="str">
        <f>'1'!B15</f>
        <v>ميت ســـــــــراج</v>
      </c>
      <c r="C15" s="58">
        <f>'1'!C15</f>
        <v>2369</v>
      </c>
      <c r="D15" s="58">
        <v>3</v>
      </c>
      <c r="E15" s="59">
        <v>2</v>
      </c>
      <c r="F15" s="64">
        <f>E15+'1'!F15</f>
        <v>3</v>
      </c>
      <c r="G15" s="64">
        <v>26</v>
      </c>
      <c r="H15" s="64">
        <f>G15+'1'!H15</f>
        <v>208</v>
      </c>
      <c r="I15" s="64">
        <v>551</v>
      </c>
      <c r="J15" s="64">
        <f>I15+'1'!J15</f>
        <v>816</v>
      </c>
      <c r="K15" s="64">
        <v>0</v>
      </c>
      <c r="L15" s="64">
        <f>K15+'1'!L15</f>
        <v>0</v>
      </c>
      <c r="M15" s="64">
        <v>0</v>
      </c>
      <c r="N15" s="64">
        <f>M15+'1'!N15</f>
        <v>0</v>
      </c>
      <c r="O15" s="64">
        <v>0</v>
      </c>
      <c r="P15" s="64">
        <f>O15+'1'!P15</f>
        <v>0</v>
      </c>
      <c r="Q15" s="65">
        <f t="shared" si="5"/>
        <v>579</v>
      </c>
      <c r="R15" s="65">
        <f>Q15+'1'!R15</f>
        <v>1027</v>
      </c>
      <c r="S15" s="99">
        <f t="shared" si="6"/>
        <v>0.43351625158294638</v>
      </c>
      <c r="T15" s="59">
        <v>44</v>
      </c>
      <c r="U15" s="64">
        <f>T15+'1'!U15</f>
        <v>93</v>
      </c>
      <c r="V15" s="59">
        <v>18</v>
      </c>
      <c r="W15" s="64">
        <f>V15+'1'!W15</f>
        <v>18</v>
      </c>
      <c r="X15" s="59">
        <v>0</v>
      </c>
      <c r="Y15" s="64">
        <f>X15+'1'!Y15</f>
        <v>0</v>
      </c>
      <c r="AB15" s="73">
        <v>5</v>
      </c>
      <c r="AC15" s="127" t="str">
        <f t="shared" si="0"/>
        <v>ميت ســـــــــراج</v>
      </c>
      <c r="AD15" s="76">
        <f>'1'!AI15</f>
        <v>163</v>
      </c>
      <c r="AE15" s="62">
        <v>0</v>
      </c>
      <c r="AF15" s="76">
        <f>AE15+'1'!AF15</f>
        <v>209</v>
      </c>
      <c r="AG15" s="65">
        <v>59</v>
      </c>
      <c r="AH15" s="76">
        <f>AG15+'1'!AH15</f>
        <v>105</v>
      </c>
      <c r="AI15" s="65">
        <f t="shared" si="8"/>
        <v>104</v>
      </c>
      <c r="AJ15" s="77">
        <f t="shared" si="1"/>
        <v>9.8135593220338979</v>
      </c>
      <c r="AK15" s="78">
        <f t="shared" si="2"/>
        <v>9.7809523809523817</v>
      </c>
      <c r="AW15" s="127" t="str">
        <f t="shared" si="3"/>
        <v>ميت ســـــــــراج</v>
      </c>
      <c r="AX15" s="59">
        <f>'1'!AX15</f>
        <v>2</v>
      </c>
      <c r="AY15" s="59">
        <f>'1'!AY15</f>
        <v>1041</v>
      </c>
      <c r="AZ15" s="59">
        <v>2</v>
      </c>
      <c r="BA15" s="59">
        <v>549</v>
      </c>
      <c r="BB15" s="59">
        <f>BA15+'1'!BB15</f>
        <v>856</v>
      </c>
      <c r="BC15" s="82">
        <f t="shared" si="7"/>
        <v>0.82228626320845344</v>
      </c>
      <c r="BD15" s="59">
        <f>'1'!BD15</f>
        <v>5</v>
      </c>
      <c r="BE15" s="59">
        <f>'1'!BE15</f>
        <v>310</v>
      </c>
      <c r="BF15" s="59">
        <v>0</v>
      </c>
      <c r="BG15" s="59">
        <v>0</v>
      </c>
      <c r="BH15" s="59">
        <f>BG15+'1'!BH15</f>
        <v>141</v>
      </c>
      <c r="BI15" s="82">
        <f t="shared" si="4"/>
        <v>0.45483870967741935</v>
      </c>
    </row>
    <row r="16" spans="1:62" ht="33" customHeight="1" x14ac:dyDescent="0.35">
      <c r="A16" s="73">
        <v>6</v>
      </c>
      <c r="B16" s="127" t="str">
        <f>'1'!B16</f>
        <v>أم خــــــــــــــنان</v>
      </c>
      <c r="C16" s="58">
        <f>'1'!C16</f>
        <v>4900</v>
      </c>
      <c r="D16" s="58">
        <v>4</v>
      </c>
      <c r="E16" s="59">
        <v>5</v>
      </c>
      <c r="F16" s="64">
        <f>E16+'1'!F16</f>
        <v>8</v>
      </c>
      <c r="G16" s="64">
        <v>92</v>
      </c>
      <c r="H16" s="64">
        <f>G16+'1'!H16</f>
        <v>213</v>
      </c>
      <c r="I16" s="136">
        <v>649</v>
      </c>
      <c r="J16" s="136">
        <f>I16+'1'!J16</f>
        <v>1318</v>
      </c>
      <c r="K16" s="64">
        <v>0</v>
      </c>
      <c r="L16" s="64">
        <f>K16+'1'!L16</f>
        <v>0</v>
      </c>
      <c r="M16" s="64">
        <v>0</v>
      </c>
      <c r="N16" s="64">
        <f>M16+'1'!N16</f>
        <v>0</v>
      </c>
      <c r="O16" s="64">
        <v>0</v>
      </c>
      <c r="P16" s="64">
        <f>O16+'1'!P16</f>
        <v>0</v>
      </c>
      <c r="Q16" s="65">
        <f t="shared" si="5"/>
        <v>746</v>
      </c>
      <c r="R16" s="65">
        <f>Q16+'1'!R16</f>
        <v>1539</v>
      </c>
      <c r="S16" s="99">
        <f t="shared" si="6"/>
        <v>0.31408163265306122</v>
      </c>
      <c r="T16" s="59">
        <v>144</v>
      </c>
      <c r="U16" s="64">
        <f>T16+'1'!U16</f>
        <v>258</v>
      </c>
      <c r="V16" s="59">
        <v>0</v>
      </c>
      <c r="W16" s="64">
        <f>V16+'1'!W16</f>
        <v>0</v>
      </c>
      <c r="X16" s="59">
        <v>0</v>
      </c>
      <c r="Y16" s="64">
        <f>X16+'1'!Y16</f>
        <v>0</v>
      </c>
      <c r="AB16" s="73">
        <v>6</v>
      </c>
      <c r="AC16" s="127" t="str">
        <f t="shared" si="0"/>
        <v>أم خــــــــــــــنان</v>
      </c>
      <c r="AD16" s="76">
        <f>'1'!AI16</f>
        <v>350</v>
      </c>
      <c r="AE16" s="62">
        <v>0</v>
      </c>
      <c r="AF16" s="76">
        <f>AE16+'1'!AF16</f>
        <v>430</v>
      </c>
      <c r="AG16" s="65">
        <v>76</v>
      </c>
      <c r="AH16" s="76">
        <f>AG16+'1'!AH16</f>
        <v>156</v>
      </c>
      <c r="AI16" s="65">
        <f t="shared" si="8"/>
        <v>274</v>
      </c>
      <c r="AJ16" s="77">
        <f t="shared" si="1"/>
        <v>9.8157894736842106</v>
      </c>
      <c r="AK16" s="78">
        <f t="shared" si="2"/>
        <v>9.865384615384615</v>
      </c>
      <c r="AW16" s="127" t="str">
        <f t="shared" si="3"/>
        <v>أم خــــــــــــــنان</v>
      </c>
      <c r="AX16" s="59">
        <f>'1'!AX16</f>
        <v>8</v>
      </c>
      <c r="AY16" s="59">
        <f>'1'!AY16</f>
        <v>2981</v>
      </c>
      <c r="AZ16" s="59">
        <v>2</v>
      </c>
      <c r="BA16" s="59">
        <v>704</v>
      </c>
      <c r="BB16" s="59">
        <f>BA16+'1'!BB16</f>
        <v>1468</v>
      </c>
      <c r="BC16" s="82">
        <f t="shared" si="7"/>
        <v>0.49245219724924522</v>
      </c>
      <c r="BD16" s="59">
        <f>'1'!BD16</f>
        <v>12</v>
      </c>
      <c r="BE16" s="59">
        <f>'1'!BE16</f>
        <v>1313</v>
      </c>
      <c r="BF16" s="59">
        <v>0</v>
      </c>
      <c r="BG16" s="59">
        <v>0</v>
      </c>
      <c r="BH16" s="59">
        <f>BG16+'1'!BH16</f>
        <v>0</v>
      </c>
      <c r="BI16" s="82">
        <f t="shared" si="4"/>
        <v>0</v>
      </c>
    </row>
    <row r="17" spans="1:61" ht="33" customHeight="1" x14ac:dyDescent="0.35">
      <c r="A17" s="73">
        <v>7</v>
      </c>
      <c r="B17" s="127" t="str">
        <f>'1'!B17</f>
        <v>أجهور الرمل</v>
      </c>
      <c r="C17" s="58">
        <f>'1'!C17</f>
        <v>3590</v>
      </c>
      <c r="D17" s="58">
        <v>3</v>
      </c>
      <c r="E17" s="59">
        <v>8</v>
      </c>
      <c r="F17" s="64">
        <f>E17+'1'!F17</f>
        <v>9</v>
      </c>
      <c r="G17" s="64">
        <v>304</v>
      </c>
      <c r="H17" s="64">
        <f>G17+'1'!H17</f>
        <v>514</v>
      </c>
      <c r="I17" s="64">
        <v>372</v>
      </c>
      <c r="J17" s="64">
        <f>I17+'1'!J17</f>
        <v>1001</v>
      </c>
      <c r="K17" s="64">
        <v>0</v>
      </c>
      <c r="L17" s="64">
        <f>K17+'1'!L17</f>
        <v>0</v>
      </c>
      <c r="M17" s="64">
        <v>0</v>
      </c>
      <c r="N17" s="64">
        <f>M17+'1'!N17</f>
        <v>0</v>
      </c>
      <c r="O17" s="64">
        <v>0</v>
      </c>
      <c r="P17" s="64">
        <f>O17+'1'!P17</f>
        <v>0</v>
      </c>
      <c r="Q17" s="65">
        <f t="shared" si="5"/>
        <v>684</v>
      </c>
      <c r="R17" s="65">
        <f>Q17+'1'!R17</f>
        <v>1524</v>
      </c>
      <c r="S17" s="99">
        <f t="shared" si="6"/>
        <v>0.42451253481894152</v>
      </c>
      <c r="T17" s="59">
        <v>199</v>
      </c>
      <c r="U17" s="64">
        <f>T17+'1'!U17</f>
        <v>360</v>
      </c>
      <c r="V17" s="59">
        <v>51</v>
      </c>
      <c r="W17" s="64">
        <f>V17+'1'!W17</f>
        <v>51</v>
      </c>
      <c r="X17" s="59">
        <v>0</v>
      </c>
      <c r="Y17" s="64">
        <f>X17+'1'!Y17</f>
        <v>0</v>
      </c>
      <c r="AB17" s="73">
        <v>7</v>
      </c>
      <c r="AC17" s="127" t="str">
        <f t="shared" si="0"/>
        <v>أجهور الرمل</v>
      </c>
      <c r="AD17" s="76">
        <f>'1'!AI17</f>
        <v>230</v>
      </c>
      <c r="AE17" s="62">
        <v>0</v>
      </c>
      <c r="AF17" s="76">
        <f>AE17+'1'!AF17</f>
        <v>316</v>
      </c>
      <c r="AG17" s="65">
        <v>70</v>
      </c>
      <c r="AH17" s="76">
        <f>AG17+'1'!AH17</f>
        <v>156</v>
      </c>
      <c r="AI17" s="65">
        <f t="shared" si="8"/>
        <v>160</v>
      </c>
      <c r="AJ17" s="77">
        <f t="shared" si="1"/>
        <v>9.7714285714285722</v>
      </c>
      <c r="AK17" s="78">
        <f t="shared" si="2"/>
        <v>9.7692307692307701</v>
      </c>
      <c r="AW17" s="127" t="str">
        <f t="shared" si="3"/>
        <v>أجهور الرمل</v>
      </c>
      <c r="AX17" s="59">
        <f>'1'!AX17</f>
        <v>4</v>
      </c>
      <c r="AY17" s="59">
        <f>'1'!AY17</f>
        <v>1796</v>
      </c>
      <c r="AZ17" s="59">
        <v>1</v>
      </c>
      <c r="BA17" s="59">
        <v>365</v>
      </c>
      <c r="BB17" s="59">
        <f>BA17+'1'!BB17</f>
        <v>963</v>
      </c>
      <c r="BC17" s="82">
        <f t="shared" si="7"/>
        <v>0.53619153674832964</v>
      </c>
      <c r="BD17" s="59">
        <f>'1'!BD17</f>
        <v>3</v>
      </c>
      <c r="BE17" s="59">
        <f>'1'!BE17</f>
        <v>100</v>
      </c>
      <c r="BF17" s="59">
        <v>3</v>
      </c>
      <c r="BG17" s="59">
        <v>199</v>
      </c>
      <c r="BH17" s="59">
        <f>BG17+'1'!BH17</f>
        <v>441</v>
      </c>
      <c r="BI17" s="82">
        <f t="shared" si="4"/>
        <v>4.41</v>
      </c>
    </row>
    <row r="18" spans="1:61" ht="33" customHeight="1" x14ac:dyDescent="0.35">
      <c r="A18" s="73">
        <v>8</v>
      </c>
      <c r="B18" s="127" t="str">
        <f>'1'!B18</f>
        <v>منشأة دمــــــــــلو</v>
      </c>
      <c r="C18" s="58">
        <f>'1'!C18</f>
        <v>1320</v>
      </c>
      <c r="D18" s="58">
        <v>2</v>
      </c>
      <c r="E18" s="59">
        <v>2</v>
      </c>
      <c r="F18" s="64">
        <f>E18+'1'!F18</f>
        <v>13</v>
      </c>
      <c r="G18" s="64">
        <v>243</v>
      </c>
      <c r="H18" s="64">
        <f>G18+'1'!H18</f>
        <v>341</v>
      </c>
      <c r="I18" s="64">
        <v>180</v>
      </c>
      <c r="J18" s="64">
        <f>I18+'1'!J18</f>
        <v>682</v>
      </c>
      <c r="K18" s="64">
        <v>0</v>
      </c>
      <c r="L18" s="64">
        <f>K18+'1'!L18</f>
        <v>0</v>
      </c>
      <c r="M18" s="64">
        <v>0</v>
      </c>
      <c r="N18" s="64">
        <f>M18+'1'!N18</f>
        <v>0</v>
      </c>
      <c r="O18" s="64">
        <v>0</v>
      </c>
      <c r="P18" s="64">
        <f>O18+'1'!P18</f>
        <v>0</v>
      </c>
      <c r="Q18" s="65">
        <f t="shared" si="5"/>
        <v>425</v>
      </c>
      <c r="R18" s="65">
        <f>Q18+'1'!R18</f>
        <v>1036</v>
      </c>
      <c r="S18" s="99">
        <f t="shared" si="6"/>
        <v>0.7848484848484848</v>
      </c>
      <c r="T18" s="59">
        <v>60</v>
      </c>
      <c r="U18" s="64">
        <f>T18+'1'!U18</f>
        <v>151</v>
      </c>
      <c r="V18" s="59">
        <v>7</v>
      </c>
      <c r="W18" s="64">
        <f>V18+'1'!W18</f>
        <v>15</v>
      </c>
      <c r="X18" s="59">
        <v>0</v>
      </c>
      <c r="Y18" s="64">
        <f>X18+'1'!Y18</f>
        <v>0</v>
      </c>
      <c r="AB18" s="73">
        <v>8</v>
      </c>
      <c r="AC18" s="127" t="str">
        <f t="shared" si="0"/>
        <v>منشأة دمــــــــــلو</v>
      </c>
      <c r="AD18" s="76">
        <f>'1'!AI18</f>
        <v>52</v>
      </c>
      <c r="AE18" s="62">
        <v>0</v>
      </c>
      <c r="AF18" s="76">
        <f>AE18+'1'!AF18</f>
        <v>115</v>
      </c>
      <c r="AG18" s="65">
        <v>46</v>
      </c>
      <c r="AH18" s="76">
        <f>AG18+'1'!AH18</f>
        <v>109</v>
      </c>
      <c r="AI18" s="65">
        <f t="shared" si="8"/>
        <v>6</v>
      </c>
      <c r="AJ18" s="77">
        <f t="shared" si="1"/>
        <v>9.2391304347826093</v>
      </c>
      <c r="AK18" s="78">
        <f t="shared" si="2"/>
        <v>9.5045871559633035</v>
      </c>
      <c r="AW18" s="127" t="str">
        <f t="shared" si="3"/>
        <v>منشأة دمــــــــــلو</v>
      </c>
      <c r="AX18" s="59">
        <f>'1'!AX18</f>
        <v>2</v>
      </c>
      <c r="AY18" s="59">
        <f>'1'!AY18</f>
        <v>896</v>
      </c>
      <c r="AZ18" s="59">
        <v>2</v>
      </c>
      <c r="BA18" s="59">
        <v>187</v>
      </c>
      <c r="BB18" s="59">
        <f>BA18+'1'!BB18</f>
        <v>748</v>
      </c>
      <c r="BC18" s="82">
        <f t="shared" si="7"/>
        <v>0.8348214285714286</v>
      </c>
      <c r="BD18" s="59">
        <f>'1'!BD18</f>
        <v>8</v>
      </c>
      <c r="BE18" s="59">
        <f>'1'!BE18</f>
        <v>340</v>
      </c>
      <c r="BF18" s="59">
        <v>3</v>
      </c>
      <c r="BG18" s="59">
        <v>188</v>
      </c>
      <c r="BH18" s="59">
        <f>BG18+'1'!BH18</f>
        <v>188</v>
      </c>
      <c r="BI18" s="82">
        <f t="shared" si="4"/>
        <v>0.55294117647058827</v>
      </c>
    </row>
    <row r="19" spans="1:61" ht="33" customHeight="1" x14ac:dyDescent="0.35">
      <c r="A19" s="73">
        <v>9</v>
      </c>
      <c r="B19" s="127" t="str">
        <f>'1'!B19</f>
        <v>شـــــــــــــرانيس</v>
      </c>
      <c r="C19" s="58">
        <f>'1'!C19</f>
        <v>1414</v>
      </c>
      <c r="D19" s="58">
        <v>2</v>
      </c>
      <c r="E19" s="59">
        <v>4</v>
      </c>
      <c r="F19" s="64">
        <f>E19+'1'!F19</f>
        <v>11</v>
      </c>
      <c r="G19" s="64">
        <v>98</v>
      </c>
      <c r="H19" s="64">
        <f>G19+'1'!H19</f>
        <v>112</v>
      </c>
      <c r="I19" s="64">
        <v>133</v>
      </c>
      <c r="J19" s="64">
        <f>I19+'1'!J19</f>
        <v>557</v>
      </c>
      <c r="K19" s="64">
        <v>0</v>
      </c>
      <c r="L19" s="64">
        <f>K19+'1'!L19</f>
        <v>0</v>
      </c>
      <c r="M19" s="64">
        <v>0</v>
      </c>
      <c r="N19" s="64">
        <f>M19+'1'!N19</f>
        <v>0</v>
      </c>
      <c r="O19" s="64">
        <v>0</v>
      </c>
      <c r="P19" s="64">
        <f>O19+'1'!P19</f>
        <v>0</v>
      </c>
      <c r="Q19" s="65">
        <f t="shared" si="5"/>
        <v>235</v>
      </c>
      <c r="R19" s="65">
        <f>Q19+'1'!R19</f>
        <v>680</v>
      </c>
      <c r="S19" s="99">
        <f t="shared" si="6"/>
        <v>0.48090523338048091</v>
      </c>
      <c r="T19" s="59">
        <v>55</v>
      </c>
      <c r="U19" s="64">
        <f>T19+'1'!U19</f>
        <v>101</v>
      </c>
      <c r="V19" s="59">
        <v>0</v>
      </c>
      <c r="W19" s="64">
        <f>V19+'1'!W19</f>
        <v>0</v>
      </c>
      <c r="X19" s="59">
        <v>0</v>
      </c>
      <c r="Y19" s="64">
        <f>X19+'1'!Y19</f>
        <v>0</v>
      </c>
      <c r="AB19" s="73">
        <v>9</v>
      </c>
      <c r="AC19" s="127" t="str">
        <f t="shared" si="0"/>
        <v>شـــــــــــــرانيس</v>
      </c>
      <c r="AD19" s="76">
        <f>'1'!AI19</f>
        <v>79</v>
      </c>
      <c r="AE19" s="62">
        <v>0</v>
      </c>
      <c r="AF19" s="76">
        <f>AE19+'1'!AF19</f>
        <v>125</v>
      </c>
      <c r="AG19" s="65">
        <v>25</v>
      </c>
      <c r="AH19" s="76">
        <f>AG19+'1'!AH19</f>
        <v>71</v>
      </c>
      <c r="AI19" s="65">
        <f t="shared" si="8"/>
        <v>54</v>
      </c>
      <c r="AJ19" s="77">
        <f t="shared" si="1"/>
        <v>9.4</v>
      </c>
      <c r="AK19" s="78">
        <f t="shared" si="2"/>
        <v>9.577464788732394</v>
      </c>
      <c r="AW19" s="127" t="str">
        <f t="shared" si="3"/>
        <v>شـــــــــــــرانيس</v>
      </c>
      <c r="AX19" s="59">
        <f>'1'!AX19</f>
        <v>2</v>
      </c>
      <c r="AY19" s="59">
        <f>'1'!AY19</f>
        <v>675</v>
      </c>
      <c r="AZ19" s="59">
        <v>1</v>
      </c>
      <c r="BA19" s="59">
        <v>142</v>
      </c>
      <c r="BB19" s="59">
        <f>BA19+'1'!BB19</f>
        <v>569</v>
      </c>
      <c r="BC19" s="82">
        <f t="shared" si="7"/>
        <v>0.84296296296296291</v>
      </c>
      <c r="BD19" s="59">
        <f>'1'!BD19</f>
        <v>2</v>
      </c>
      <c r="BE19" s="59">
        <f>'1'!BE19</f>
        <v>397</v>
      </c>
      <c r="BF19" s="59">
        <v>1</v>
      </c>
      <c r="BG19" s="59">
        <v>63</v>
      </c>
      <c r="BH19" s="59">
        <f>BG19+'1'!BH19</f>
        <v>63</v>
      </c>
      <c r="BI19" s="82">
        <f t="shared" si="4"/>
        <v>0.15869017632241814</v>
      </c>
    </row>
    <row r="20" spans="1:61" ht="33" customHeight="1" x14ac:dyDescent="0.35">
      <c r="A20" s="73">
        <v>10</v>
      </c>
      <c r="B20" s="127" t="str">
        <f>'1'!B20</f>
        <v>قويســـــــــنا البلد</v>
      </c>
      <c r="C20" s="58">
        <f>'1'!C20</f>
        <v>4115</v>
      </c>
      <c r="D20" s="58">
        <v>3</v>
      </c>
      <c r="E20" s="59">
        <v>7</v>
      </c>
      <c r="F20" s="64">
        <f>E20+'1'!F20</f>
        <v>21</v>
      </c>
      <c r="G20" s="64">
        <v>143</v>
      </c>
      <c r="H20" s="64">
        <f>G20+'1'!H20</f>
        <v>175</v>
      </c>
      <c r="I20" s="64">
        <v>520</v>
      </c>
      <c r="J20" s="64">
        <f>I20+'1'!J20</f>
        <v>1047</v>
      </c>
      <c r="K20" s="64">
        <v>0</v>
      </c>
      <c r="L20" s="64">
        <f>K20+'1'!L20</f>
        <v>0</v>
      </c>
      <c r="M20" s="64">
        <v>0</v>
      </c>
      <c r="N20" s="64">
        <f>M20+'1'!N20</f>
        <v>0</v>
      </c>
      <c r="O20" s="64">
        <v>0</v>
      </c>
      <c r="P20" s="64">
        <f>O20+'1'!P20</f>
        <v>0</v>
      </c>
      <c r="Q20" s="65">
        <f t="shared" si="5"/>
        <v>670</v>
      </c>
      <c r="R20" s="65">
        <f>Q20+'1'!R20</f>
        <v>1243</v>
      </c>
      <c r="S20" s="99">
        <f t="shared" si="6"/>
        <v>0.30206561360874851</v>
      </c>
      <c r="T20" s="59">
        <v>165</v>
      </c>
      <c r="U20" s="64">
        <f>T20+'1'!U20</f>
        <v>319</v>
      </c>
      <c r="V20" s="59">
        <v>71</v>
      </c>
      <c r="W20" s="64">
        <f>V20+'1'!W20</f>
        <v>71</v>
      </c>
      <c r="X20" s="59">
        <v>0</v>
      </c>
      <c r="Y20" s="64">
        <f>X20+'1'!Y20</f>
        <v>0</v>
      </c>
      <c r="AB20" s="73">
        <v>10</v>
      </c>
      <c r="AC20" s="127" t="str">
        <f t="shared" si="0"/>
        <v>قويســـــــــنا البلد</v>
      </c>
      <c r="AD20" s="76">
        <f>'1'!AI20</f>
        <v>302</v>
      </c>
      <c r="AE20" s="62">
        <v>0</v>
      </c>
      <c r="AF20" s="76">
        <f>AE20+'1'!AF20</f>
        <v>360</v>
      </c>
      <c r="AG20" s="65">
        <v>67</v>
      </c>
      <c r="AH20" s="76">
        <f>AG20+'1'!AH20</f>
        <v>125</v>
      </c>
      <c r="AI20" s="65">
        <f t="shared" si="8"/>
        <v>235</v>
      </c>
      <c r="AJ20" s="77">
        <f t="shared" si="1"/>
        <v>10</v>
      </c>
      <c r="AK20" s="78">
        <f t="shared" si="2"/>
        <v>9.9440000000000008</v>
      </c>
      <c r="AW20" s="127" t="str">
        <f t="shared" si="3"/>
        <v>قويســـــــــنا البلد</v>
      </c>
      <c r="AX20" s="59">
        <f>'1'!AX20</f>
        <v>2</v>
      </c>
      <c r="AY20" s="59">
        <f>'1'!AY20</f>
        <v>1539</v>
      </c>
      <c r="AZ20" s="59">
        <v>1</v>
      </c>
      <c r="BA20" s="59">
        <v>610</v>
      </c>
      <c r="BB20" s="59">
        <f>BA20+'1'!BB20</f>
        <v>1133</v>
      </c>
      <c r="BC20" s="82">
        <f t="shared" si="7"/>
        <v>0.73619233268356077</v>
      </c>
      <c r="BD20" s="59">
        <f>'1'!BD20</f>
        <v>7</v>
      </c>
      <c r="BE20" s="59">
        <f>'1'!BE20</f>
        <v>580</v>
      </c>
      <c r="BF20" s="59">
        <v>0</v>
      </c>
      <c r="BG20" s="59">
        <v>0</v>
      </c>
      <c r="BH20" s="59">
        <f>BG20+'1'!BH20</f>
        <v>0</v>
      </c>
      <c r="BI20" s="82">
        <f t="shared" si="4"/>
        <v>0</v>
      </c>
    </row>
    <row r="21" spans="1:61" ht="33" customHeight="1" x14ac:dyDescent="0.35">
      <c r="A21" s="73">
        <v>11</v>
      </c>
      <c r="B21" s="127" t="str">
        <f>'1'!B21</f>
        <v>بجيرم</v>
      </c>
      <c r="C21" s="58">
        <f>'1'!C21</f>
        <v>1782</v>
      </c>
      <c r="D21" s="58">
        <v>3</v>
      </c>
      <c r="E21" s="59">
        <v>3</v>
      </c>
      <c r="F21" s="64">
        <f>E21+'1'!F21</f>
        <v>8</v>
      </c>
      <c r="G21" s="64">
        <v>209</v>
      </c>
      <c r="H21" s="64">
        <f>G21+'1'!H21</f>
        <v>310</v>
      </c>
      <c r="I21" s="64">
        <v>281</v>
      </c>
      <c r="J21" s="64">
        <f>I21+'1'!J21</f>
        <v>686</v>
      </c>
      <c r="K21" s="64">
        <v>0</v>
      </c>
      <c r="L21" s="64">
        <f>K21+'1'!L21</f>
        <v>0</v>
      </c>
      <c r="M21" s="64">
        <v>0</v>
      </c>
      <c r="N21" s="64">
        <f>M21+'1'!N21</f>
        <v>0</v>
      </c>
      <c r="O21" s="64">
        <v>0</v>
      </c>
      <c r="P21" s="64">
        <f>O21+'1'!P21</f>
        <v>0</v>
      </c>
      <c r="Q21" s="65">
        <f t="shared" si="5"/>
        <v>493</v>
      </c>
      <c r="R21" s="65">
        <f>Q21+'1'!R21</f>
        <v>1004</v>
      </c>
      <c r="S21" s="99">
        <f t="shared" si="6"/>
        <v>0.56341189674523007</v>
      </c>
      <c r="T21" s="59">
        <v>70</v>
      </c>
      <c r="U21" s="64">
        <f>T21+'1'!U21</f>
        <v>126</v>
      </c>
      <c r="V21" s="59">
        <v>19</v>
      </c>
      <c r="W21" s="64">
        <f>V21+'1'!W21</f>
        <v>19</v>
      </c>
      <c r="X21" s="59">
        <v>0</v>
      </c>
      <c r="Y21" s="64">
        <f>X21+'1'!Y21</f>
        <v>0</v>
      </c>
      <c r="AB21" s="73">
        <v>11</v>
      </c>
      <c r="AC21" s="127" t="str">
        <f t="shared" si="0"/>
        <v>بجيرم</v>
      </c>
      <c r="AD21" s="76">
        <f>'1'!AI21</f>
        <v>105</v>
      </c>
      <c r="AE21" s="62">
        <v>0</v>
      </c>
      <c r="AF21" s="76">
        <f>AE21+'1'!AF21</f>
        <v>157</v>
      </c>
      <c r="AG21" s="65">
        <v>51</v>
      </c>
      <c r="AH21" s="76">
        <f>AG21+'1'!AH21</f>
        <v>103</v>
      </c>
      <c r="AI21" s="65">
        <f t="shared" si="8"/>
        <v>54</v>
      </c>
      <c r="AJ21" s="77">
        <f t="shared" si="1"/>
        <v>9.6666666666666661</v>
      </c>
      <c r="AK21" s="78">
        <f t="shared" si="2"/>
        <v>9.7475728155339798</v>
      </c>
      <c r="AW21" s="127" t="str">
        <f t="shared" si="3"/>
        <v>بجيرم</v>
      </c>
      <c r="AX21" s="59">
        <f>'1'!AX21</f>
        <v>4</v>
      </c>
      <c r="AY21" s="59">
        <f>'1'!AY21</f>
        <v>946</v>
      </c>
      <c r="AZ21" s="59">
        <v>4</v>
      </c>
      <c r="BA21" s="59">
        <v>174</v>
      </c>
      <c r="BB21" s="59">
        <f>BA21+'1'!BB21</f>
        <v>634</v>
      </c>
      <c r="BC21" s="82">
        <f t="shared" si="7"/>
        <v>0.67019027484143767</v>
      </c>
      <c r="BD21" s="59">
        <f>'1'!BD21</f>
        <v>4</v>
      </c>
      <c r="BE21" s="59">
        <f>'1'!BE21</f>
        <v>99</v>
      </c>
      <c r="BF21" s="59">
        <v>2</v>
      </c>
      <c r="BG21" s="59">
        <v>69</v>
      </c>
      <c r="BH21" s="59">
        <f>BG21+'1'!BH21</f>
        <v>69</v>
      </c>
      <c r="BI21" s="82">
        <f t="shared" si="4"/>
        <v>0.69696969696969702</v>
      </c>
    </row>
    <row r="22" spans="1:61" ht="39.5" customHeight="1" x14ac:dyDescent="0.35">
      <c r="A22" s="73">
        <v>12</v>
      </c>
      <c r="B22" s="127" t="str">
        <f>'1'!B22</f>
        <v>كفر بنى غريـــان</v>
      </c>
      <c r="C22" s="58">
        <f>'1'!C22</f>
        <v>2184</v>
      </c>
      <c r="D22" s="58">
        <v>3</v>
      </c>
      <c r="E22" s="59">
        <v>6</v>
      </c>
      <c r="F22" s="64">
        <f>E22+'1'!F22</f>
        <v>9</v>
      </c>
      <c r="G22" s="64">
        <v>120</v>
      </c>
      <c r="H22" s="64">
        <f>G22+'1'!H22</f>
        <v>301</v>
      </c>
      <c r="I22" s="64">
        <v>377</v>
      </c>
      <c r="J22" s="64">
        <f>I22+'1'!J22</f>
        <v>819</v>
      </c>
      <c r="K22" s="64"/>
      <c r="L22" s="64">
        <f>K22+'1'!L22</f>
        <v>0</v>
      </c>
      <c r="M22" s="64"/>
      <c r="N22" s="64">
        <f>M22+'1'!N22</f>
        <v>0</v>
      </c>
      <c r="O22" s="64"/>
      <c r="P22" s="64">
        <f>O22+'1'!P22</f>
        <v>0</v>
      </c>
      <c r="Q22" s="65">
        <f t="shared" si="5"/>
        <v>503</v>
      </c>
      <c r="R22" s="65">
        <f>Q22+'1'!R22</f>
        <v>1129</v>
      </c>
      <c r="S22" s="99">
        <f t="shared" si="6"/>
        <v>0.51694139194139199</v>
      </c>
      <c r="T22" s="59">
        <v>40</v>
      </c>
      <c r="U22" s="64">
        <f>T22+'1'!U22</f>
        <v>108</v>
      </c>
      <c r="V22" s="59">
        <v>0</v>
      </c>
      <c r="W22" s="64">
        <f>V22+'1'!W22</f>
        <v>0</v>
      </c>
      <c r="X22" s="59">
        <v>0</v>
      </c>
      <c r="Y22" s="64">
        <f>X22+'1'!Y22</f>
        <v>0</v>
      </c>
      <c r="AB22" s="73">
        <v>12</v>
      </c>
      <c r="AC22" s="127" t="str">
        <f t="shared" si="0"/>
        <v>كفر بنى غريـــان</v>
      </c>
      <c r="AD22" s="76">
        <f>'1'!AI22</f>
        <v>129</v>
      </c>
      <c r="AE22" s="62">
        <v>0</v>
      </c>
      <c r="AF22" s="76">
        <f>AE22+'1'!AF22</f>
        <v>192</v>
      </c>
      <c r="AG22" s="65">
        <v>54</v>
      </c>
      <c r="AH22" s="76">
        <f>AG22+'1'!AH22</f>
        <v>117</v>
      </c>
      <c r="AI22" s="65">
        <f t="shared" si="8"/>
        <v>75</v>
      </c>
      <c r="AJ22" s="77">
        <f t="shared" si="1"/>
        <v>9.3148148148148149</v>
      </c>
      <c r="AK22" s="78">
        <f t="shared" si="2"/>
        <v>9.649572649572649</v>
      </c>
      <c r="AW22" s="127" t="str">
        <f t="shared" si="3"/>
        <v>كفر بنى غريـــان</v>
      </c>
      <c r="AX22" s="59">
        <f>'1'!AX22</f>
        <v>3</v>
      </c>
      <c r="AY22" s="59">
        <f>'1'!AY22</f>
        <v>1327</v>
      </c>
      <c r="AZ22" s="59">
        <v>2</v>
      </c>
      <c r="BA22" s="59">
        <v>363</v>
      </c>
      <c r="BB22" s="59">
        <f>BA22+'1'!BB22</f>
        <v>929</v>
      </c>
      <c r="BC22" s="82">
        <f t="shared" si="7"/>
        <v>0.70007535795026377</v>
      </c>
      <c r="BD22" s="59">
        <f>'1'!BD22</f>
        <v>9</v>
      </c>
      <c r="BE22" s="59">
        <f>'1'!BE22</f>
        <v>381</v>
      </c>
      <c r="BF22" s="59">
        <v>2</v>
      </c>
      <c r="BG22" s="59">
        <v>95</v>
      </c>
      <c r="BH22" s="59">
        <f>BG22+'1'!BH22</f>
        <v>229</v>
      </c>
      <c r="BI22" s="82">
        <f t="shared" si="4"/>
        <v>0.60104986876640421</v>
      </c>
    </row>
    <row r="23" spans="1:61" ht="33" customHeight="1" x14ac:dyDescent="0.35">
      <c r="A23" s="73">
        <v>13</v>
      </c>
      <c r="B23" s="127" t="str">
        <f>'1'!B23</f>
        <v>بــقســـــــــــــــــا</v>
      </c>
      <c r="C23" s="58">
        <f>'1'!C23</f>
        <v>862</v>
      </c>
      <c r="D23" s="58">
        <v>2</v>
      </c>
      <c r="E23" s="59">
        <v>3</v>
      </c>
      <c r="F23" s="64">
        <f>E23+'1'!F23</f>
        <v>7</v>
      </c>
      <c r="G23" s="136">
        <v>78</v>
      </c>
      <c r="H23" s="136">
        <f>G23+'1'!H23</f>
        <v>116</v>
      </c>
      <c r="I23" s="136">
        <v>18</v>
      </c>
      <c r="J23" s="136">
        <f>I23+'1'!J23</f>
        <v>344</v>
      </c>
      <c r="K23" s="64">
        <v>0</v>
      </c>
      <c r="L23" s="64">
        <f>K23+'1'!L23</f>
        <v>0</v>
      </c>
      <c r="M23" s="64">
        <v>0</v>
      </c>
      <c r="N23" s="64">
        <f>M23+'1'!N23</f>
        <v>0</v>
      </c>
      <c r="O23" s="64">
        <v>0</v>
      </c>
      <c r="P23" s="64">
        <f>O23+'1'!P23</f>
        <v>0</v>
      </c>
      <c r="Q23" s="65">
        <f t="shared" si="5"/>
        <v>99</v>
      </c>
      <c r="R23" s="65">
        <f>Q23+'1'!R23</f>
        <v>467</v>
      </c>
      <c r="S23" s="99">
        <f t="shared" si="6"/>
        <v>0.54176334106728541</v>
      </c>
      <c r="T23" s="59">
        <v>9</v>
      </c>
      <c r="U23" s="64">
        <f>T23+'1'!U23</f>
        <v>36</v>
      </c>
      <c r="V23" s="59">
        <v>9</v>
      </c>
      <c r="W23" s="64">
        <f>V23+'1'!W23</f>
        <v>14</v>
      </c>
      <c r="X23" s="59">
        <v>0</v>
      </c>
      <c r="Y23" s="64">
        <f>X23+'1'!Y23</f>
        <v>0</v>
      </c>
      <c r="AB23" s="73">
        <v>13</v>
      </c>
      <c r="AC23" s="127" t="str">
        <f t="shared" si="0"/>
        <v>بــقســـــــــــــــــا</v>
      </c>
      <c r="AD23" s="76">
        <f>'1'!AI23</f>
        <v>38</v>
      </c>
      <c r="AE23" s="62">
        <v>0</v>
      </c>
      <c r="AF23" s="76">
        <f>AE23+'1'!AF23</f>
        <v>75</v>
      </c>
      <c r="AG23" s="65">
        <v>10</v>
      </c>
      <c r="AH23" s="76">
        <f>AG23+'1'!AH23</f>
        <v>47</v>
      </c>
      <c r="AI23" s="65">
        <f t="shared" si="8"/>
        <v>28</v>
      </c>
      <c r="AJ23" s="77">
        <f t="shared" si="1"/>
        <v>9.9</v>
      </c>
      <c r="AK23" s="78">
        <f t="shared" si="2"/>
        <v>9.9361702127659566</v>
      </c>
      <c r="AW23" s="127" t="str">
        <f t="shared" si="3"/>
        <v>بــقســـــــــــــــــا</v>
      </c>
      <c r="AX23" s="59">
        <f>'1'!AX23</f>
        <v>1</v>
      </c>
      <c r="AY23" s="59">
        <f>'1'!AY23</f>
        <v>311</v>
      </c>
      <c r="AZ23" s="59">
        <v>1</v>
      </c>
      <c r="BA23" s="59">
        <v>9</v>
      </c>
      <c r="BB23" s="59">
        <f>BA23+'1'!BB23</f>
        <v>297</v>
      </c>
      <c r="BC23" s="82">
        <f t="shared" si="7"/>
        <v>0.954983922829582</v>
      </c>
      <c r="BD23" s="59">
        <f>'1'!BD23</f>
        <v>1</v>
      </c>
      <c r="BE23" s="59">
        <f>'1'!BE23</f>
        <v>40</v>
      </c>
      <c r="BF23" s="59">
        <v>1</v>
      </c>
      <c r="BG23" s="59">
        <v>30</v>
      </c>
      <c r="BH23" s="59">
        <f>BG23+'1'!BH23</f>
        <v>30</v>
      </c>
      <c r="BI23" s="82">
        <f t="shared" si="4"/>
        <v>0.75</v>
      </c>
    </row>
    <row r="24" spans="1:61" x14ac:dyDescent="0.35">
      <c r="A24" s="73">
        <v>14</v>
      </c>
      <c r="B24" s="127" t="str">
        <f>'1'!B24</f>
        <v>كفــــــــر الأكرم</v>
      </c>
      <c r="C24" s="58">
        <f>'1'!C24</f>
        <v>918</v>
      </c>
      <c r="D24" s="58">
        <v>2</v>
      </c>
      <c r="E24" s="59">
        <v>2</v>
      </c>
      <c r="F24" s="64">
        <f>E24+'1'!F24</f>
        <v>2</v>
      </c>
      <c r="G24" s="64">
        <v>57</v>
      </c>
      <c r="H24" s="64">
        <f>G24+'1'!H24</f>
        <v>119</v>
      </c>
      <c r="I24" s="64">
        <v>195</v>
      </c>
      <c r="J24" s="64">
        <f>I24+'1'!J24</f>
        <v>380</v>
      </c>
      <c r="K24" s="64">
        <v>0</v>
      </c>
      <c r="L24" s="64">
        <f>K24+'1'!L24</f>
        <v>0</v>
      </c>
      <c r="M24" s="64">
        <v>0</v>
      </c>
      <c r="N24" s="64">
        <f>M24+'1'!N24</f>
        <v>0</v>
      </c>
      <c r="O24" s="64">
        <v>0</v>
      </c>
      <c r="P24" s="64">
        <f>O24+'1'!P24</f>
        <v>0</v>
      </c>
      <c r="Q24" s="65">
        <f t="shared" si="5"/>
        <v>254</v>
      </c>
      <c r="R24" s="65">
        <f>Q24+'1'!R24</f>
        <v>501</v>
      </c>
      <c r="S24" s="99">
        <f t="shared" si="6"/>
        <v>0.54575163398692805</v>
      </c>
      <c r="T24" s="59">
        <v>30</v>
      </c>
      <c r="U24" s="64">
        <f>T24+'1'!U24</f>
        <v>66</v>
      </c>
      <c r="V24" s="59">
        <v>7</v>
      </c>
      <c r="W24" s="64">
        <f>V24+'1'!W24</f>
        <v>7</v>
      </c>
      <c r="X24" s="59">
        <v>0</v>
      </c>
      <c r="Y24" s="64">
        <f>X24+'1'!Y24</f>
        <v>0</v>
      </c>
      <c r="AB24" s="73">
        <v>14</v>
      </c>
      <c r="AC24" s="127" t="str">
        <f t="shared" si="0"/>
        <v>كفــــــــر الأكرم</v>
      </c>
      <c r="AD24" s="76">
        <f>'1'!AI24</f>
        <v>55</v>
      </c>
      <c r="AE24" s="62">
        <v>0</v>
      </c>
      <c r="AF24" s="76">
        <f>AE24+'1'!AF24</f>
        <v>80</v>
      </c>
      <c r="AG24" s="65">
        <v>26</v>
      </c>
      <c r="AH24" s="76">
        <f>AG24+'1'!AH24</f>
        <v>51</v>
      </c>
      <c r="AI24" s="65">
        <f t="shared" si="8"/>
        <v>29</v>
      </c>
      <c r="AJ24" s="77">
        <f t="shared" si="1"/>
        <v>9.7692307692307701</v>
      </c>
      <c r="AK24" s="78">
        <f t="shared" si="2"/>
        <v>9.8235294117647065</v>
      </c>
      <c r="AW24" s="127" t="str">
        <f t="shared" si="3"/>
        <v>كفــــــــر الأكرم</v>
      </c>
      <c r="AX24" s="59">
        <f>'1'!AX24</f>
        <v>2</v>
      </c>
      <c r="AY24" s="59">
        <f>'1'!AY24</f>
        <v>540</v>
      </c>
      <c r="AZ24" s="59">
        <v>2</v>
      </c>
      <c r="BA24" s="59">
        <v>193</v>
      </c>
      <c r="BB24" s="59">
        <f>BA24+'1'!BB24</f>
        <v>378</v>
      </c>
      <c r="BC24" s="82">
        <f t="shared" si="7"/>
        <v>0.7</v>
      </c>
      <c r="BD24" s="59">
        <f>'1'!BD24</f>
        <v>2</v>
      </c>
      <c r="BE24" s="59">
        <f>'1'!BE24</f>
        <v>115</v>
      </c>
      <c r="BF24" s="59">
        <v>2</v>
      </c>
      <c r="BG24" s="59">
        <v>31</v>
      </c>
      <c r="BH24" s="59">
        <f>BG24+'1'!BH24</f>
        <v>63</v>
      </c>
      <c r="BI24" s="82">
        <f t="shared" si="4"/>
        <v>0.54782608695652169</v>
      </c>
    </row>
    <row r="25" spans="1:61" ht="33" customHeight="1" x14ac:dyDescent="0.35">
      <c r="A25" s="73">
        <v>15</v>
      </c>
      <c r="B25" s="127" t="str">
        <f>'1'!B25</f>
        <v>كفـــــــــر إبنهس</v>
      </c>
      <c r="C25" s="58">
        <f>'1'!C25</f>
        <v>2072</v>
      </c>
      <c r="D25" s="58">
        <v>3</v>
      </c>
      <c r="E25" s="59">
        <v>5</v>
      </c>
      <c r="F25" s="64">
        <f>E25+'1'!F25</f>
        <v>5</v>
      </c>
      <c r="G25" s="64">
        <v>148</v>
      </c>
      <c r="H25" s="64">
        <f>G25+'1'!H25</f>
        <v>152</v>
      </c>
      <c r="I25" s="64">
        <v>240</v>
      </c>
      <c r="J25" s="64">
        <f>I25+'1'!J25</f>
        <v>845</v>
      </c>
      <c r="K25" s="64">
        <v>0</v>
      </c>
      <c r="L25" s="64">
        <f>K25+'1'!L25</f>
        <v>0</v>
      </c>
      <c r="M25" s="64">
        <v>0</v>
      </c>
      <c r="N25" s="64">
        <f>M25+'1'!N25</f>
        <v>0</v>
      </c>
      <c r="O25" s="64">
        <v>0</v>
      </c>
      <c r="P25" s="64">
        <f>O25+'1'!P25</f>
        <v>0</v>
      </c>
      <c r="Q25" s="65">
        <f t="shared" si="5"/>
        <v>393</v>
      </c>
      <c r="R25" s="65">
        <f>Q25+'1'!R25</f>
        <v>1002</v>
      </c>
      <c r="S25" s="99">
        <f t="shared" si="6"/>
        <v>0.48359073359073357</v>
      </c>
      <c r="T25" s="59">
        <v>60</v>
      </c>
      <c r="U25" s="64">
        <f>T25+'1'!U25</f>
        <v>168</v>
      </c>
      <c r="V25" s="59">
        <v>42</v>
      </c>
      <c r="W25" s="64">
        <f>V25+'1'!W25</f>
        <v>42</v>
      </c>
      <c r="X25" s="59">
        <v>0</v>
      </c>
      <c r="Y25" s="64">
        <f>X25+'1'!Y25</f>
        <v>0</v>
      </c>
      <c r="AB25" s="73">
        <v>15</v>
      </c>
      <c r="AC25" s="127" t="str">
        <f t="shared" si="0"/>
        <v>كفـــــــــر إبنهس</v>
      </c>
      <c r="AD25" s="76">
        <f>'1'!AI25</f>
        <v>104</v>
      </c>
      <c r="AE25" s="62">
        <v>0</v>
      </c>
      <c r="AF25" s="76">
        <f>AE25+'1'!AF25</f>
        <v>180</v>
      </c>
      <c r="AG25" s="65">
        <v>40</v>
      </c>
      <c r="AH25" s="76">
        <f>AG25+'1'!AH25</f>
        <v>116</v>
      </c>
      <c r="AI25" s="65">
        <f t="shared" si="8"/>
        <v>64</v>
      </c>
      <c r="AJ25" s="77">
        <f t="shared" si="1"/>
        <v>9.8249999999999993</v>
      </c>
      <c r="AK25" s="78">
        <f t="shared" si="2"/>
        <v>8.637931034482758</v>
      </c>
      <c r="AW25" s="127" t="str">
        <f t="shared" si="3"/>
        <v>كفـــــــــر إبنهس</v>
      </c>
      <c r="AX25" s="59">
        <f>'1'!AX25</f>
        <v>3</v>
      </c>
      <c r="AY25" s="59">
        <f>'1'!AY25</f>
        <v>1013</v>
      </c>
      <c r="AZ25" s="59">
        <v>3</v>
      </c>
      <c r="BA25" s="59">
        <v>228</v>
      </c>
      <c r="BB25" s="59">
        <f>BA25+'1'!BB25</f>
        <v>830</v>
      </c>
      <c r="BC25" s="82">
        <f t="shared" si="7"/>
        <v>0.81934846989141163</v>
      </c>
      <c r="BD25" s="59">
        <f>'1'!BD25</f>
        <v>4</v>
      </c>
      <c r="BE25" s="59">
        <f>'1'!BE25</f>
        <v>620</v>
      </c>
      <c r="BF25" s="59">
        <v>1</v>
      </c>
      <c r="BG25" s="59">
        <v>107</v>
      </c>
      <c r="BH25" s="59">
        <f>BG25+'1'!BH25</f>
        <v>107</v>
      </c>
      <c r="BI25" s="82">
        <f t="shared" si="4"/>
        <v>0.17258064516129032</v>
      </c>
    </row>
    <row r="26" spans="1:61" ht="33" customHeight="1" x14ac:dyDescent="0.35">
      <c r="A26" s="73">
        <v>16</v>
      </c>
      <c r="B26" s="127" t="str">
        <f>'1'!B26</f>
        <v>الرمــــــــــــــالى</v>
      </c>
      <c r="C26" s="58">
        <f>'1'!C26</f>
        <v>2699</v>
      </c>
      <c r="D26" s="58">
        <v>3</v>
      </c>
      <c r="E26" s="59">
        <v>10</v>
      </c>
      <c r="F26" s="64">
        <f>E26+'1'!F26</f>
        <v>15</v>
      </c>
      <c r="G26" s="64">
        <v>94</v>
      </c>
      <c r="H26" s="64">
        <f>G26+'1'!H26</f>
        <v>227</v>
      </c>
      <c r="I26" s="64">
        <v>389</v>
      </c>
      <c r="J26" s="64">
        <f>I26+'1'!J26</f>
        <v>730</v>
      </c>
      <c r="K26" s="64">
        <v>0</v>
      </c>
      <c r="L26" s="64">
        <f>K26+'1'!L26</f>
        <v>0</v>
      </c>
      <c r="M26" s="64">
        <v>0</v>
      </c>
      <c r="N26" s="64">
        <f>M26+'1'!N26</f>
        <v>0</v>
      </c>
      <c r="O26" s="64">
        <v>0</v>
      </c>
      <c r="P26" s="64">
        <f>O26+'1'!P26</f>
        <v>0</v>
      </c>
      <c r="Q26" s="65">
        <f t="shared" si="5"/>
        <v>493</v>
      </c>
      <c r="R26" s="65">
        <f>Q26+'1'!R26</f>
        <v>972</v>
      </c>
      <c r="S26" s="99">
        <f t="shared" si="6"/>
        <v>0.36013338273434603</v>
      </c>
      <c r="T26" s="59">
        <v>59</v>
      </c>
      <c r="U26" s="64">
        <f>T26+'1'!U26</f>
        <v>95</v>
      </c>
      <c r="V26" s="59">
        <v>42</v>
      </c>
      <c r="W26" s="64">
        <f>V26+'1'!W26</f>
        <v>42</v>
      </c>
      <c r="X26" s="59">
        <v>0</v>
      </c>
      <c r="Y26" s="64">
        <f>X26+'1'!Y26</f>
        <v>1</v>
      </c>
      <c r="Z26" s="123"/>
      <c r="AB26" s="73">
        <v>16</v>
      </c>
      <c r="AC26" s="127" t="str">
        <f t="shared" si="0"/>
        <v>الرمــــــــــــــالى</v>
      </c>
      <c r="AD26" s="76">
        <f>'1'!AI26</f>
        <v>186</v>
      </c>
      <c r="AE26" s="62">
        <v>0</v>
      </c>
      <c r="AF26" s="76">
        <f>AE26+'1'!AF26</f>
        <v>235</v>
      </c>
      <c r="AG26" s="65">
        <v>54</v>
      </c>
      <c r="AH26" s="76">
        <f>AG26+'1'!AH26</f>
        <v>103</v>
      </c>
      <c r="AI26" s="65">
        <f t="shared" si="8"/>
        <v>132</v>
      </c>
      <c r="AJ26" s="77">
        <f t="shared" si="1"/>
        <v>9.1296296296296298</v>
      </c>
      <c r="AK26" s="78">
        <f t="shared" si="2"/>
        <v>9.4368932038834945</v>
      </c>
      <c r="AW26" s="127" t="str">
        <f t="shared" si="3"/>
        <v>الرمــــــــــــــالى</v>
      </c>
      <c r="AX26" s="59">
        <f>'1'!AX26</f>
        <v>3</v>
      </c>
      <c r="AY26" s="59">
        <f>'1'!AY26</f>
        <v>1486</v>
      </c>
      <c r="AZ26" s="59">
        <v>1</v>
      </c>
      <c r="BA26" s="59">
        <v>474</v>
      </c>
      <c r="BB26" s="59">
        <f>BA26+'1'!BB26</f>
        <v>899</v>
      </c>
      <c r="BC26" s="82">
        <f t="shared" si="7"/>
        <v>0.60497981157469716</v>
      </c>
      <c r="BD26" s="59">
        <f>'1'!BD26</f>
        <v>3</v>
      </c>
      <c r="BE26" s="59">
        <f>'1'!BE26</f>
        <v>98</v>
      </c>
      <c r="BF26" s="59">
        <v>0</v>
      </c>
      <c r="BG26" s="59">
        <v>0</v>
      </c>
      <c r="BH26" s="59">
        <f>BG26+'1'!BH26</f>
        <v>0</v>
      </c>
      <c r="BI26" s="82">
        <f t="shared" si="4"/>
        <v>0</v>
      </c>
    </row>
    <row r="27" spans="1:61" ht="33" customHeight="1" x14ac:dyDescent="0.35">
      <c r="A27" s="73">
        <v>17</v>
      </c>
      <c r="B27" s="127" t="str">
        <f>'1'!B27</f>
        <v>مصطــــــــــــاى</v>
      </c>
      <c r="C27" s="58">
        <f>'1'!C27</f>
        <v>2666</v>
      </c>
      <c r="D27" s="58">
        <v>3</v>
      </c>
      <c r="E27" s="59">
        <v>6</v>
      </c>
      <c r="F27" s="64">
        <f>E27+'1'!F27</f>
        <v>42</v>
      </c>
      <c r="G27" s="64">
        <v>91</v>
      </c>
      <c r="H27" s="64">
        <f>G27+'1'!H27</f>
        <v>183</v>
      </c>
      <c r="I27" s="64">
        <v>413</v>
      </c>
      <c r="J27" s="64">
        <f>I27+'1'!J27</f>
        <v>925</v>
      </c>
      <c r="K27" s="64">
        <v>0</v>
      </c>
      <c r="L27" s="64">
        <f>K27+'1'!L27</f>
        <v>0</v>
      </c>
      <c r="M27" s="64">
        <v>0</v>
      </c>
      <c r="N27" s="64">
        <f>M27+'1'!N27</f>
        <v>0</v>
      </c>
      <c r="O27" s="64">
        <v>0</v>
      </c>
      <c r="P27" s="64">
        <f>O27+'1'!P27</f>
        <v>0</v>
      </c>
      <c r="Q27" s="65">
        <f t="shared" si="5"/>
        <v>510</v>
      </c>
      <c r="R27" s="65">
        <f>Q27+'1'!R27</f>
        <v>1150</v>
      </c>
      <c r="S27" s="99">
        <f t="shared" si="6"/>
        <v>0.43135783945986494</v>
      </c>
      <c r="T27" s="59">
        <v>0</v>
      </c>
      <c r="U27" s="64">
        <f>T27+'1'!U27</f>
        <v>45</v>
      </c>
      <c r="V27" s="59">
        <v>15</v>
      </c>
      <c r="W27" s="64">
        <f>V27+'1'!W27</f>
        <v>15</v>
      </c>
      <c r="X27" s="59">
        <v>0</v>
      </c>
      <c r="Y27" s="64">
        <f>X27+'1'!Y27</f>
        <v>0</v>
      </c>
      <c r="AB27" s="73">
        <v>17</v>
      </c>
      <c r="AC27" s="127" t="str">
        <f t="shared" si="0"/>
        <v>مصطــــــــــــاى</v>
      </c>
      <c r="AD27" s="76">
        <f>'1'!AI27</f>
        <v>168</v>
      </c>
      <c r="AE27" s="62">
        <v>0</v>
      </c>
      <c r="AF27" s="76">
        <f>AE27+'1'!AF27</f>
        <v>234</v>
      </c>
      <c r="AG27" s="65">
        <v>51</v>
      </c>
      <c r="AH27" s="76">
        <f>AG27+'1'!AH27</f>
        <v>117</v>
      </c>
      <c r="AI27" s="65">
        <f t="shared" si="8"/>
        <v>117</v>
      </c>
      <c r="AJ27" s="77">
        <f t="shared" si="1"/>
        <v>10</v>
      </c>
      <c r="AK27" s="78">
        <f t="shared" si="2"/>
        <v>9.8290598290598297</v>
      </c>
      <c r="AW27" s="127" t="str">
        <f t="shared" si="3"/>
        <v>مصطــــــــــــاى</v>
      </c>
      <c r="AX27" s="59">
        <f>'1'!AX27</f>
        <v>3</v>
      </c>
      <c r="AY27" s="59">
        <f>'1'!AY27</f>
        <v>1709</v>
      </c>
      <c r="AZ27" s="59">
        <v>2</v>
      </c>
      <c r="BA27" s="59">
        <v>450</v>
      </c>
      <c r="BB27" s="59">
        <f>BA27+'1'!BB27</f>
        <v>1030</v>
      </c>
      <c r="BC27" s="82">
        <f t="shared" si="7"/>
        <v>0.60269163253364544</v>
      </c>
      <c r="BD27" s="59">
        <f>'1'!BD27</f>
        <v>6</v>
      </c>
      <c r="BE27" s="59">
        <f>'1'!BE27</f>
        <v>696</v>
      </c>
      <c r="BF27" s="59">
        <v>0</v>
      </c>
      <c r="BG27" s="59">
        <v>0</v>
      </c>
      <c r="BH27" s="59">
        <f>BG27+'1'!BH27</f>
        <v>0</v>
      </c>
      <c r="BI27" s="82">
        <f t="shared" si="4"/>
        <v>0</v>
      </c>
    </row>
    <row r="28" spans="1:61" ht="33" customHeight="1" x14ac:dyDescent="0.35">
      <c r="A28" s="73">
        <v>18</v>
      </c>
      <c r="B28" s="127" t="str">
        <f>'1'!B28</f>
        <v>كفر طـــــــه شبرا</v>
      </c>
      <c r="C28" s="58">
        <f>'1'!C28</f>
        <v>1795</v>
      </c>
      <c r="D28" s="58">
        <v>3</v>
      </c>
      <c r="E28" s="59">
        <v>4</v>
      </c>
      <c r="F28" s="64">
        <f>E28+'1'!F28</f>
        <v>6</v>
      </c>
      <c r="G28" s="64">
        <v>36</v>
      </c>
      <c r="H28" s="64">
        <f>G28+'1'!H28</f>
        <v>78</v>
      </c>
      <c r="I28" s="64">
        <v>373</v>
      </c>
      <c r="J28" s="64">
        <f>I28+'1'!J28</f>
        <v>883</v>
      </c>
      <c r="K28" s="64">
        <v>0</v>
      </c>
      <c r="L28" s="64">
        <f>K28+'1'!L28</f>
        <v>0</v>
      </c>
      <c r="M28" s="64">
        <v>0</v>
      </c>
      <c r="N28" s="64">
        <f>M28+'1'!N28</f>
        <v>0</v>
      </c>
      <c r="O28" s="64">
        <v>0</v>
      </c>
      <c r="P28" s="64">
        <f>O28+'1'!P28</f>
        <v>0</v>
      </c>
      <c r="Q28" s="65">
        <f t="shared" si="5"/>
        <v>413</v>
      </c>
      <c r="R28" s="65">
        <f>Q28+'1'!R28</f>
        <v>967</v>
      </c>
      <c r="S28" s="99">
        <f t="shared" si="6"/>
        <v>0.53871866295264625</v>
      </c>
      <c r="T28" s="59">
        <v>44</v>
      </c>
      <c r="U28" s="64">
        <f>T28+'1'!U28</f>
        <v>97</v>
      </c>
      <c r="V28" s="59">
        <v>27</v>
      </c>
      <c r="W28" s="64">
        <f>V28+'1'!W28</f>
        <v>27</v>
      </c>
      <c r="X28" s="59">
        <v>0</v>
      </c>
      <c r="Y28" s="64">
        <f>X28+'1'!Y28</f>
        <v>0</v>
      </c>
      <c r="AB28" s="73">
        <v>18</v>
      </c>
      <c r="AC28" s="127" t="str">
        <f t="shared" si="0"/>
        <v>كفر طـــــــه شبرا</v>
      </c>
      <c r="AD28" s="76">
        <f>'1'!AI28</f>
        <v>99</v>
      </c>
      <c r="AE28" s="62">
        <v>0</v>
      </c>
      <c r="AF28" s="76">
        <f>AE28+'1'!AF28</f>
        <v>158</v>
      </c>
      <c r="AG28" s="65">
        <v>42</v>
      </c>
      <c r="AH28" s="76">
        <f>AG28+'1'!AH28</f>
        <v>101</v>
      </c>
      <c r="AI28" s="65">
        <f t="shared" si="8"/>
        <v>57</v>
      </c>
      <c r="AJ28" s="77">
        <f t="shared" si="1"/>
        <v>9.8333333333333339</v>
      </c>
      <c r="AK28" s="78">
        <f t="shared" si="2"/>
        <v>9.5742574257425748</v>
      </c>
      <c r="AW28" s="127" t="str">
        <f t="shared" si="3"/>
        <v>كفر طـــــــه شبرا</v>
      </c>
      <c r="AX28" s="59">
        <f>'1'!AX28</f>
        <v>4</v>
      </c>
      <c r="AY28" s="59">
        <f>'1'!AY28</f>
        <v>948</v>
      </c>
      <c r="AZ28" s="59">
        <v>2</v>
      </c>
      <c r="BA28" s="59">
        <v>315</v>
      </c>
      <c r="BB28" s="59">
        <f>BA28+'1'!BB28</f>
        <v>823</v>
      </c>
      <c r="BC28" s="82">
        <f t="shared" si="7"/>
        <v>0.86814345991561181</v>
      </c>
      <c r="BD28" s="59">
        <f>'1'!BD28</f>
        <v>7</v>
      </c>
      <c r="BE28" s="59">
        <f>'1'!BE28</f>
        <v>300</v>
      </c>
      <c r="BF28" s="59">
        <v>4</v>
      </c>
      <c r="BG28" s="59">
        <v>95</v>
      </c>
      <c r="BH28" s="59">
        <f>BG28+'1'!BH28</f>
        <v>132</v>
      </c>
      <c r="BI28" s="82">
        <f t="shared" si="4"/>
        <v>0.44</v>
      </c>
    </row>
    <row r="29" spans="1:61" ht="33" customHeight="1" x14ac:dyDescent="0.35">
      <c r="A29" s="73">
        <v>19</v>
      </c>
      <c r="B29" s="127" t="str">
        <f>'1'!B29</f>
        <v>كفر أبـــو الحسن</v>
      </c>
      <c r="C29" s="58">
        <f>'1'!C29</f>
        <v>1397</v>
      </c>
      <c r="D29" s="58">
        <v>2</v>
      </c>
      <c r="E29" s="59">
        <v>2</v>
      </c>
      <c r="F29" s="64">
        <f>E29+'1'!F29</f>
        <v>2</v>
      </c>
      <c r="G29" s="64">
        <v>23</v>
      </c>
      <c r="H29" s="64">
        <f>G29+'1'!H29</f>
        <v>46</v>
      </c>
      <c r="I29" s="64">
        <v>392</v>
      </c>
      <c r="J29" s="64">
        <f>I29+'1'!J29</f>
        <v>749</v>
      </c>
      <c r="K29" s="64">
        <v>0</v>
      </c>
      <c r="L29" s="64">
        <f>K29+'1'!L29</f>
        <v>0</v>
      </c>
      <c r="M29" s="64">
        <v>0</v>
      </c>
      <c r="N29" s="64">
        <f>M29+'1'!N29</f>
        <v>0</v>
      </c>
      <c r="O29" s="64">
        <v>0</v>
      </c>
      <c r="P29" s="64">
        <f>O29+'1'!P29</f>
        <v>0</v>
      </c>
      <c r="Q29" s="65">
        <f t="shared" si="5"/>
        <v>417</v>
      </c>
      <c r="R29" s="65">
        <f>Q29+'1'!R29</f>
        <v>797</v>
      </c>
      <c r="S29" s="99">
        <f t="shared" si="6"/>
        <v>0.57050823192555478</v>
      </c>
      <c r="T29" s="59">
        <v>134</v>
      </c>
      <c r="U29" s="64">
        <f>T29+'1'!U29</f>
        <v>183</v>
      </c>
      <c r="V29" s="59">
        <v>4</v>
      </c>
      <c r="W29" s="64">
        <f>V29+'1'!W29</f>
        <v>5</v>
      </c>
      <c r="X29" s="59">
        <v>0</v>
      </c>
      <c r="Y29" s="64">
        <f>X29+'1'!Y29</f>
        <v>0</v>
      </c>
      <c r="AB29" s="73">
        <v>19</v>
      </c>
      <c r="AC29" s="127" t="str">
        <f t="shared" si="0"/>
        <v>كفر أبـــو الحسن</v>
      </c>
      <c r="AD29" s="76">
        <f>'1'!AI29</f>
        <v>84</v>
      </c>
      <c r="AE29" s="62">
        <v>0</v>
      </c>
      <c r="AF29" s="76">
        <f>AE29+'1'!AF29</f>
        <v>123</v>
      </c>
      <c r="AG29" s="65">
        <v>43</v>
      </c>
      <c r="AH29" s="76">
        <f>AG29+'1'!AH29</f>
        <v>82</v>
      </c>
      <c r="AI29" s="65">
        <f t="shared" si="8"/>
        <v>41</v>
      </c>
      <c r="AJ29" s="77">
        <f t="shared" si="1"/>
        <v>9.6976744186046506</v>
      </c>
      <c r="AK29" s="78">
        <f t="shared" si="2"/>
        <v>9.7195121951219505</v>
      </c>
      <c r="AW29" s="127" t="str">
        <f t="shared" si="3"/>
        <v>كفر أبـــو الحسن</v>
      </c>
      <c r="AX29" s="59">
        <f>'1'!AX29</f>
        <v>3</v>
      </c>
      <c r="AY29" s="59">
        <f>'1'!AY29</f>
        <v>912</v>
      </c>
      <c r="AZ29" s="59">
        <v>2</v>
      </c>
      <c r="BA29" s="59">
        <v>384</v>
      </c>
      <c r="BB29" s="59">
        <f>BA29+'1'!BB29</f>
        <v>760</v>
      </c>
      <c r="BC29" s="82">
        <f t="shared" si="7"/>
        <v>0.83333333333333337</v>
      </c>
      <c r="BD29" s="59">
        <f>'1'!BD29</f>
        <v>9</v>
      </c>
      <c r="BE29" s="59">
        <f>'1'!BE29</f>
        <v>258</v>
      </c>
      <c r="BF29" s="59">
        <v>2</v>
      </c>
      <c r="BG29" s="59">
        <v>52</v>
      </c>
      <c r="BH29" s="59">
        <f>BG29+'1'!BH29</f>
        <v>101</v>
      </c>
      <c r="BI29" s="82">
        <f t="shared" si="4"/>
        <v>0.39147286821705424</v>
      </c>
    </row>
    <row r="30" spans="1:61" ht="33" customHeight="1" x14ac:dyDescent="0.35">
      <c r="A30" s="73">
        <v>20</v>
      </c>
      <c r="B30" s="127" t="str">
        <f>'1'!B30</f>
        <v>ميت أبـــــوشيخه</v>
      </c>
      <c r="C30" s="58">
        <f>'1'!C30</f>
        <v>1134</v>
      </c>
      <c r="D30" s="58">
        <v>2</v>
      </c>
      <c r="E30" s="59">
        <v>1</v>
      </c>
      <c r="F30" s="64">
        <f>E30+'1'!F30</f>
        <v>8</v>
      </c>
      <c r="G30" s="64">
        <v>10</v>
      </c>
      <c r="H30" s="64">
        <f>G30+'1'!H30</f>
        <v>60</v>
      </c>
      <c r="I30" s="64">
        <v>147</v>
      </c>
      <c r="J30" s="64">
        <f>I30+'1'!J30</f>
        <v>359</v>
      </c>
      <c r="K30" s="64">
        <v>0</v>
      </c>
      <c r="L30" s="64">
        <f>K30+'1'!L30</f>
        <v>0</v>
      </c>
      <c r="M30" s="64">
        <v>0</v>
      </c>
      <c r="N30" s="64">
        <f>M30+'1'!N30</f>
        <v>0</v>
      </c>
      <c r="O30" s="64">
        <v>0</v>
      </c>
      <c r="P30" s="64">
        <f>O30+'1'!P30</f>
        <v>0</v>
      </c>
      <c r="Q30" s="65">
        <f t="shared" si="5"/>
        <v>158</v>
      </c>
      <c r="R30" s="65">
        <f>Q30+'1'!R30</f>
        <v>427</v>
      </c>
      <c r="S30" s="99">
        <f t="shared" si="6"/>
        <v>0.37654320987654322</v>
      </c>
      <c r="T30" s="59">
        <v>16</v>
      </c>
      <c r="U30" s="64">
        <f>T30+'1'!U30</f>
        <v>43</v>
      </c>
      <c r="V30" s="59">
        <v>10</v>
      </c>
      <c r="W30" s="64">
        <f>V30+'1'!W30</f>
        <v>10</v>
      </c>
      <c r="X30" s="59">
        <v>0</v>
      </c>
      <c r="Y30" s="64">
        <f>X30+'1'!Y30</f>
        <v>0</v>
      </c>
      <c r="AB30" s="73">
        <v>20</v>
      </c>
      <c r="AC30" s="127" t="str">
        <f t="shared" si="0"/>
        <v>ميت أبـــــوشيخه</v>
      </c>
      <c r="AD30" s="76">
        <f>'1'!AI30</f>
        <v>73</v>
      </c>
      <c r="AE30" s="62">
        <v>0</v>
      </c>
      <c r="AF30" s="76">
        <f>AE30+'1'!AF30</f>
        <v>100</v>
      </c>
      <c r="AG30" s="65">
        <v>16</v>
      </c>
      <c r="AH30" s="76">
        <f>AG30+'1'!AH30</f>
        <v>43</v>
      </c>
      <c r="AI30" s="65">
        <f t="shared" si="8"/>
        <v>57</v>
      </c>
      <c r="AJ30" s="77">
        <f t="shared" si="1"/>
        <v>9.875</v>
      </c>
      <c r="AK30" s="78">
        <f t="shared" si="2"/>
        <v>9.9302325581395348</v>
      </c>
      <c r="AW30" s="127" t="str">
        <f t="shared" si="3"/>
        <v>ميت أبـــــوشيخه</v>
      </c>
      <c r="AX30" s="59">
        <f>'1'!AX30</f>
        <v>2</v>
      </c>
      <c r="AY30" s="59">
        <f>'1'!AY30</f>
        <v>560</v>
      </c>
      <c r="AZ30" s="59">
        <v>1</v>
      </c>
      <c r="BA30" s="59">
        <v>149</v>
      </c>
      <c r="BB30" s="59">
        <f>BA30+'1'!BB30</f>
        <v>399</v>
      </c>
      <c r="BC30" s="82">
        <f t="shared" si="7"/>
        <v>0.71250000000000002</v>
      </c>
      <c r="BD30" s="59">
        <f>'1'!BD30</f>
        <v>2</v>
      </c>
      <c r="BE30" s="59">
        <f>'1'!BE30</f>
        <v>107</v>
      </c>
      <c r="BF30" s="59">
        <v>0</v>
      </c>
      <c r="BG30" s="59">
        <v>0</v>
      </c>
      <c r="BH30" s="59">
        <f>BG30+'1'!BH30</f>
        <v>0</v>
      </c>
      <c r="BI30" s="82">
        <f t="shared" si="4"/>
        <v>0</v>
      </c>
    </row>
    <row r="31" spans="1:61" ht="33" customHeight="1" x14ac:dyDescent="0.35">
      <c r="A31" s="73">
        <v>21</v>
      </c>
      <c r="B31" s="127" t="str">
        <f>'1'!B31</f>
        <v>طــــــــــــه شبرا</v>
      </c>
      <c r="C31" s="58">
        <f>'1'!C31</f>
        <v>5149</v>
      </c>
      <c r="D31" s="58">
        <v>4</v>
      </c>
      <c r="E31" s="59">
        <v>9</v>
      </c>
      <c r="F31" s="64">
        <f>E31+'1'!F31</f>
        <v>18</v>
      </c>
      <c r="G31" s="64">
        <v>464</v>
      </c>
      <c r="H31" s="64">
        <f>G31+'1'!H31</f>
        <v>725</v>
      </c>
      <c r="I31" s="64">
        <v>380</v>
      </c>
      <c r="J31" s="64">
        <f>I31+'1'!J31</f>
        <v>827</v>
      </c>
      <c r="K31" s="64">
        <v>0</v>
      </c>
      <c r="L31" s="64">
        <f>K31+'1'!L31</f>
        <v>0</v>
      </c>
      <c r="M31" s="64">
        <v>0</v>
      </c>
      <c r="N31" s="64">
        <f>M31+'1'!N31</f>
        <v>0</v>
      </c>
      <c r="O31" s="64">
        <v>0</v>
      </c>
      <c r="P31" s="64">
        <f>O31+'1'!P31</f>
        <v>0</v>
      </c>
      <c r="Q31" s="65">
        <f t="shared" si="5"/>
        <v>853</v>
      </c>
      <c r="R31" s="65">
        <f>Q31+'1'!R31</f>
        <v>1570</v>
      </c>
      <c r="S31" s="99">
        <f t="shared" si="6"/>
        <v>0.30491357545154402</v>
      </c>
      <c r="T31" s="59">
        <v>119</v>
      </c>
      <c r="U31" s="64">
        <f>T31+'1'!U31</f>
        <v>194</v>
      </c>
      <c r="V31" s="59">
        <v>1</v>
      </c>
      <c r="W31" s="64">
        <f>V31+'1'!W31</f>
        <v>3</v>
      </c>
      <c r="X31" s="59">
        <v>0</v>
      </c>
      <c r="Y31" s="64">
        <f>X31+'1'!Y31</f>
        <v>0</v>
      </c>
      <c r="AB31" s="73">
        <v>21</v>
      </c>
      <c r="AC31" s="127" t="str">
        <f t="shared" si="0"/>
        <v>طــــــــــــه شبرا</v>
      </c>
      <c r="AD31" s="76">
        <f>'1'!AI31</f>
        <v>378</v>
      </c>
      <c r="AE31" s="62">
        <v>0</v>
      </c>
      <c r="AF31" s="76">
        <f>AE31+'1'!AF31</f>
        <v>452</v>
      </c>
      <c r="AG31" s="65">
        <v>88</v>
      </c>
      <c r="AH31" s="76">
        <f>AG31+'1'!AH31</f>
        <v>162</v>
      </c>
      <c r="AI31" s="65">
        <f t="shared" si="8"/>
        <v>290</v>
      </c>
      <c r="AJ31" s="77">
        <f t="shared" si="1"/>
        <v>9.6931818181818183</v>
      </c>
      <c r="AK31" s="78">
        <f t="shared" si="2"/>
        <v>9.6913580246913575</v>
      </c>
      <c r="AW31" s="127" t="str">
        <f t="shared" si="3"/>
        <v>طــــــــــــه شبرا</v>
      </c>
      <c r="AX31" s="59">
        <f>'1'!AX31</f>
        <v>6</v>
      </c>
      <c r="AY31" s="59">
        <f>'1'!AY31</f>
        <v>2219</v>
      </c>
      <c r="AZ31" s="59">
        <v>3</v>
      </c>
      <c r="BA31" s="59">
        <v>379</v>
      </c>
      <c r="BB31" s="59">
        <f>BA31+'1'!BB31</f>
        <v>933</v>
      </c>
      <c r="BC31" s="82">
        <f t="shared" si="7"/>
        <v>0.42045966651644884</v>
      </c>
      <c r="BD31" s="59">
        <f>'1'!BD31</f>
        <v>8</v>
      </c>
      <c r="BE31" s="59">
        <f>'1'!BE31</f>
        <v>748</v>
      </c>
      <c r="BF31" s="59">
        <v>6</v>
      </c>
      <c r="BG31" s="59">
        <v>309</v>
      </c>
      <c r="BH31" s="59">
        <f>BG31+'1'!BH31</f>
        <v>502</v>
      </c>
      <c r="BI31" s="82">
        <f t="shared" si="4"/>
        <v>0.67112299465240643</v>
      </c>
    </row>
    <row r="32" spans="1:61" ht="33" customHeight="1" x14ac:dyDescent="0.35">
      <c r="A32" s="73">
        <v>22</v>
      </c>
      <c r="B32" s="127" t="str">
        <f>'1'!B32</f>
        <v>أشـــــــــــــــــليم</v>
      </c>
      <c r="C32" s="58">
        <f>'1'!C32</f>
        <v>2638</v>
      </c>
      <c r="D32" s="58">
        <v>3</v>
      </c>
      <c r="E32" s="59">
        <v>7</v>
      </c>
      <c r="F32" s="64">
        <f>E32+'1'!F32</f>
        <v>14</v>
      </c>
      <c r="G32" s="64">
        <v>182</v>
      </c>
      <c r="H32" s="64">
        <f>G32+'1'!H32</f>
        <v>276</v>
      </c>
      <c r="I32" s="64">
        <v>1030</v>
      </c>
      <c r="J32" s="64">
        <f>I32+'1'!J32</f>
        <v>1428</v>
      </c>
      <c r="K32" s="64">
        <v>0</v>
      </c>
      <c r="L32" s="64">
        <f>K32+'1'!L32</f>
        <v>0</v>
      </c>
      <c r="M32" s="64">
        <v>0</v>
      </c>
      <c r="N32" s="64">
        <f>M32+'1'!N32</f>
        <v>0</v>
      </c>
      <c r="O32" s="64">
        <v>0</v>
      </c>
      <c r="P32" s="64">
        <f>O32+'1'!P32</f>
        <v>0</v>
      </c>
      <c r="Q32" s="65">
        <f t="shared" si="5"/>
        <v>1219</v>
      </c>
      <c r="R32" s="65">
        <f>Q32+'1'!R32</f>
        <v>1718</v>
      </c>
      <c r="S32" s="99">
        <f t="shared" si="6"/>
        <v>0.65125094768764213</v>
      </c>
      <c r="T32" s="59">
        <v>97</v>
      </c>
      <c r="U32" s="64">
        <f>T32+'1'!U32</f>
        <v>142</v>
      </c>
      <c r="V32" s="59">
        <v>117</v>
      </c>
      <c r="W32" s="64">
        <f>V32+'1'!W32</f>
        <v>117</v>
      </c>
      <c r="X32" s="59">
        <v>0</v>
      </c>
      <c r="Y32" s="64">
        <f>X32+'1'!Y32</f>
        <v>0</v>
      </c>
      <c r="AB32" s="73">
        <v>22</v>
      </c>
      <c r="AC32" s="127" t="str">
        <f t="shared" si="0"/>
        <v>أشـــــــــــــــــليم</v>
      </c>
      <c r="AD32" s="76">
        <f>'1'!AI32</f>
        <v>180</v>
      </c>
      <c r="AE32" s="62">
        <v>0</v>
      </c>
      <c r="AF32" s="76">
        <f>AE32+'1'!AF32</f>
        <v>232</v>
      </c>
      <c r="AG32" s="65">
        <v>125</v>
      </c>
      <c r="AH32" s="76">
        <f>AG32+'1'!AH32</f>
        <v>177</v>
      </c>
      <c r="AI32" s="65">
        <f t="shared" si="8"/>
        <v>55</v>
      </c>
      <c r="AJ32" s="77">
        <f t="shared" si="1"/>
        <v>9.7520000000000007</v>
      </c>
      <c r="AK32" s="78">
        <f t="shared" si="2"/>
        <v>9.7062146892655363</v>
      </c>
      <c r="AW32" s="127" t="str">
        <f t="shared" si="3"/>
        <v>أشـــــــــــــــــليم</v>
      </c>
      <c r="AX32" s="59">
        <f>'1'!AX32</f>
        <v>8</v>
      </c>
      <c r="AY32" s="59">
        <f>'1'!AY32</f>
        <v>1819</v>
      </c>
      <c r="AZ32" s="59">
        <v>4</v>
      </c>
      <c r="BA32" s="59">
        <v>1037</v>
      </c>
      <c r="BB32" s="59">
        <f>BA32+'1'!BB32</f>
        <v>1469</v>
      </c>
      <c r="BC32" s="82">
        <f t="shared" si="7"/>
        <v>0.80758658603628364</v>
      </c>
      <c r="BD32" s="59">
        <f>'1'!BD32</f>
        <v>7</v>
      </c>
      <c r="BE32" s="59">
        <f>'1'!BE32</f>
        <v>176</v>
      </c>
      <c r="BF32" s="59">
        <v>6</v>
      </c>
      <c r="BG32" s="59">
        <v>182</v>
      </c>
      <c r="BH32" s="59">
        <f>BG32+'1'!BH32</f>
        <v>239</v>
      </c>
      <c r="BI32" s="82">
        <f t="shared" si="4"/>
        <v>1.3579545454545454</v>
      </c>
    </row>
    <row r="33" spans="1:61" ht="33" customHeight="1" x14ac:dyDescent="0.35">
      <c r="A33" s="73">
        <v>23</v>
      </c>
      <c r="B33" s="127" t="str">
        <f>'1'!B33</f>
        <v>شبرا قبالــــــــــه</v>
      </c>
      <c r="C33" s="58">
        <f>'1'!C33</f>
        <v>2050</v>
      </c>
      <c r="D33" s="58">
        <v>2</v>
      </c>
      <c r="E33" s="59">
        <v>2</v>
      </c>
      <c r="F33" s="64">
        <f>E33+'1'!F33</f>
        <v>3</v>
      </c>
      <c r="G33" s="64">
        <v>463</v>
      </c>
      <c r="H33" s="64">
        <f>G33+'1'!H33</f>
        <v>509</v>
      </c>
      <c r="I33" s="64">
        <v>65</v>
      </c>
      <c r="J33" s="64">
        <f>I33+'1'!J33</f>
        <v>758</v>
      </c>
      <c r="K33" s="64">
        <v>0</v>
      </c>
      <c r="L33" s="64">
        <f>K33+'1'!L33</f>
        <v>0</v>
      </c>
      <c r="M33" s="64">
        <v>0</v>
      </c>
      <c r="N33" s="64">
        <f>M33+'1'!N33</f>
        <v>0</v>
      </c>
      <c r="O33" s="64">
        <v>0</v>
      </c>
      <c r="P33" s="64">
        <f>O33+'1'!P33</f>
        <v>0</v>
      </c>
      <c r="Q33" s="65">
        <f t="shared" si="5"/>
        <v>530</v>
      </c>
      <c r="R33" s="65">
        <f>Q33+'1'!R33</f>
        <v>1270</v>
      </c>
      <c r="S33" s="99">
        <f t="shared" si="6"/>
        <v>0.61951219512195121</v>
      </c>
      <c r="T33" s="59">
        <v>0</v>
      </c>
      <c r="U33" s="64">
        <f>T33+'1'!U33</f>
        <v>96</v>
      </c>
      <c r="V33" s="59">
        <v>60</v>
      </c>
      <c r="W33" s="64">
        <f>V33+'1'!W33</f>
        <v>64</v>
      </c>
      <c r="X33" s="59">
        <v>0</v>
      </c>
      <c r="Y33" s="64">
        <f>X33+'1'!Y33</f>
        <v>0</v>
      </c>
      <c r="AB33" s="73">
        <v>23</v>
      </c>
      <c r="AC33" s="127" t="str">
        <f t="shared" si="0"/>
        <v>شبرا قبالــــــــــه</v>
      </c>
      <c r="AD33" s="76">
        <f>'1'!AI33</f>
        <v>106</v>
      </c>
      <c r="AE33" s="62">
        <v>0</v>
      </c>
      <c r="AF33" s="76">
        <f>AE33+'1'!AF33</f>
        <v>180</v>
      </c>
      <c r="AG33" s="65">
        <v>53</v>
      </c>
      <c r="AH33" s="76">
        <f>AG33+'1'!AH33</f>
        <v>127</v>
      </c>
      <c r="AI33" s="65">
        <f t="shared" si="8"/>
        <v>53</v>
      </c>
      <c r="AJ33" s="77">
        <f t="shared" si="1"/>
        <v>10</v>
      </c>
      <c r="AK33" s="78">
        <f t="shared" si="2"/>
        <v>10</v>
      </c>
      <c r="AW33" s="127" t="str">
        <f t="shared" si="3"/>
        <v>شبرا قبالــــــــــه</v>
      </c>
      <c r="AX33" s="59">
        <f>'1'!AX33</f>
        <v>1</v>
      </c>
      <c r="AY33" s="59">
        <f>'1'!AY33</f>
        <v>918</v>
      </c>
      <c r="AZ33" s="59">
        <v>1</v>
      </c>
      <c r="BA33" s="59">
        <v>60</v>
      </c>
      <c r="BB33" s="59">
        <f>BA33+'1'!BB33</f>
        <v>780</v>
      </c>
      <c r="BC33" s="82">
        <f t="shared" si="7"/>
        <v>0.84967320261437906</v>
      </c>
      <c r="BD33" s="59">
        <f>'1'!BD33</f>
        <v>5</v>
      </c>
      <c r="BE33" s="59">
        <f>'1'!BE33</f>
        <v>375</v>
      </c>
      <c r="BF33" s="59">
        <v>6</v>
      </c>
      <c r="BG33" s="59">
        <v>430</v>
      </c>
      <c r="BH33" s="59">
        <f>BG33+'1'!BH33</f>
        <v>430</v>
      </c>
      <c r="BI33" s="82">
        <f t="shared" si="4"/>
        <v>1.1466666666666667</v>
      </c>
    </row>
    <row r="34" spans="1:61" ht="33" customHeight="1" x14ac:dyDescent="0.35">
      <c r="A34" s="73">
        <v>24</v>
      </c>
      <c r="B34" s="127" t="str">
        <f>'1'!B34</f>
        <v>عرب الرمـــــــل</v>
      </c>
      <c r="C34" s="58">
        <f>'1'!C34</f>
        <v>5755</v>
      </c>
      <c r="D34" s="58">
        <v>4</v>
      </c>
      <c r="E34" s="59">
        <v>9</v>
      </c>
      <c r="F34" s="64">
        <f>E34+'1'!F34</f>
        <v>16</v>
      </c>
      <c r="G34" s="64">
        <v>373</v>
      </c>
      <c r="H34" s="64">
        <f>G34+'1'!H34</f>
        <v>514</v>
      </c>
      <c r="I34" s="64">
        <v>437</v>
      </c>
      <c r="J34" s="64">
        <f>I34+'1'!J34</f>
        <v>1057</v>
      </c>
      <c r="K34" s="64">
        <v>0</v>
      </c>
      <c r="L34" s="64">
        <f>K34+'1'!L34</f>
        <v>0</v>
      </c>
      <c r="M34" s="64">
        <v>0</v>
      </c>
      <c r="N34" s="64">
        <f>M34+'1'!N34</f>
        <v>0</v>
      </c>
      <c r="O34" s="64">
        <v>0</v>
      </c>
      <c r="P34" s="64">
        <f>O34+'1'!P34</f>
        <v>0</v>
      </c>
      <c r="Q34" s="65">
        <f t="shared" si="5"/>
        <v>819</v>
      </c>
      <c r="R34" s="65">
        <f>Q34+'1'!R34</f>
        <v>1587</v>
      </c>
      <c r="S34" s="99">
        <f t="shared" si="6"/>
        <v>0.27576020851433536</v>
      </c>
      <c r="T34" s="59">
        <v>204</v>
      </c>
      <c r="U34" s="64">
        <f>T34+'1'!U34</f>
        <v>488</v>
      </c>
      <c r="V34" s="59">
        <v>41</v>
      </c>
      <c r="W34" s="64">
        <f>V34+'1'!W34</f>
        <v>41</v>
      </c>
      <c r="X34" s="59">
        <v>0</v>
      </c>
      <c r="Y34" s="64">
        <f>X34+'1'!Y34</f>
        <v>0</v>
      </c>
      <c r="AB34" s="73">
        <v>24</v>
      </c>
      <c r="AC34" s="127" t="str">
        <f t="shared" si="0"/>
        <v>عرب الرمـــــــل</v>
      </c>
      <c r="AD34" s="76">
        <f>'1'!AI34</f>
        <v>427</v>
      </c>
      <c r="AE34" s="62"/>
      <c r="AF34" s="76">
        <f>AE34+'1'!AF34</f>
        <v>505</v>
      </c>
      <c r="AG34" s="65">
        <v>83</v>
      </c>
      <c r="AH34" s="76">
        <f>AG34+'1'!AH34</f>
        <v>161</v>
      </c>
      <c r="AI34" s="65">
        <f t="shared" si="8"/>
        <v>344</v>
      </c>
      <c r="AJ34" s="77">
        <f t="shared" si="1"/>
        <v>9.8674698795180724</v>
      </c>
      <c r="AK34" s="78">
        <f t="shared" si="2"/>
        <v>9.8571428571428577</v>
      </c>
      <c r="AW34" s="127" t="str">
        <f t="shared" si="3"/>
        <v>عرب الرمـــــــل</v>
      </c>
      <c r="AX34" s="59">
        <f>'1'!AX34</f>
        <v>6</v>
      </c>
      <c r="AY34" s="59">
        <f>'1'!AY34</f>
        <v>2210</v>
      </c>
      <c r="AZ34" s="59">
        <v>5</v>
      </c>
      <c r="BA34" s="59">
        <v>509</v>
      </c>
      <c r="BB34" s="59">
        <f>BA34+'1'!BB34</f>
        <v>1146</v>
      </c>
      <c r="BC34" s="82">
        <f t="shared" si="7"/>
        <v>0.51855203619909507</v>
      </c>
      <c r="BD34" s="59">
        <f>'1'!BD34</f>
        <v>9</v>
      </c>
      <c r="BE34" s="59">
        <f>'1'!BE34</f>
        <v>932</v>
      </c>
      <c r="BF34" s="59">
        <v>4</v>
      </c>
      <c r="BG34" s="59">
        <v>610</v>
      </c>
      <c r="BH34" s="59">
        <f>BG34+'1'!BH34</f>
        <v>741</v>
      </c>
      <c r="BI34" s="82">
        <f t="shared" si="4"/>
        <v>0.79506437768240346</v>
      </c>
    </row>
    <row r="35" spans="1:61" ht="33" customHeight="1" x14ac:dyDescent="0.35">
      <c r="A35" s="73">
        <v>25</v>
      </c>
      <c r="B35" s="127" t="str">
        <f>'1'!B35</f>
        <v>كفر ميت سراج</v>
      </c>
      <c r="C35" s="58">
        <f>'1'!C35</f>
        <v>1840</v>
      </c>
      <c r="D35" s="58">
        <v>2</v>
      </c>
      <c r="E35" s="59">
        <v>2</v>
      </c>
      <c r="F35" s="64">
        <f>E35+'1'!F35</f>
        <v>4</v>
      </c>
      <c r="G35" s="64">
        <v>62</v>
      </c>
      <c r="H35" s="64">
        <f>G35+'1'!H35</f>
        <v>121</v>
      </c>
      <c r="I35" s="64">
        <v>288</v>
      </c>
      <c r="J35" s="64">
        <f>I35+'1'!J35</f>
        <v>587</v>
      </c>
      <c r="K35" s="64">
        <v>0</v>
      </c>
      <c r="L35" s="64">
        <f>K35+'1'!L35</f>
        <v>0</v>
      </c>
      <c r="M35" s="64">
        <v>0</v>
      </c>
      <c r="N35" s="64">
        <f>M35+'1'!N35</f>
        <v>0</v>
      </c>
      <c r="O35" s="64">
        <v>0</v>
      </c>
      <c r="P35" s="64">
        <f>O35+'1'!P35</f>
        <v>0</v>
      </c>
      <c r="Q35" s="65">
        <f t="shared" si="5"/>
        <v>352</v>
      </c>
      <c r="R35" s="65">
        <f>Q35+'1'!R35</f>
        <v>712</v>
      </c>
      <c r="S35" s="99">
        <f t="shared" si="6"/>
        <v>0.38695652173913042</v>
      </c>
      <c r="T35" s="59">
        <v>28</v>
      </c>
      <c r="U35" s="64">
        <f>T35+'1'!U35</f>
        <v>79</v>
      </c>
      <c r="V35" s="59">
        <v>3</v>
      </c>
      <c r="W35" s="64">
        <f>V35+'1'!W35</f>
        <v>6</v>
      </c>
      <c r="X35" s="59">
        <v>0</v>
      </c>
      <c r="Y35" s="64">
        <f>X35+'1'!Y35</f>
        <v>0</v>
      </c>
      <c r="AB35" s="73">
        <v>25</v>
      </c>
      <c r="AC35" s="127" t="str">
        <f t="shared" si="0"/>
        <v>كفر ميت سراج</v>
      </c>
      <c r="AD35" s="76">
        <f>'1'!AI35</f>
        <v>126</v>
      </c>
      <c r="AE35" s="62">
        <v>0</v>
      </c>
      <c r="AF35" s="76">
        <f>AE35+'1'!AF35</f>
        <v>162</v>
      </c>
      <c r="AG35" s="65">
        <v>38</v>
      </c>
      <c r="AH35" s="76">
        <f>AG35+'1'!AH35</f>
        <v>74</v>
      </c>
      <c r="AI35" s="65">
        <f t="shared" si="8"/>
        <v>88</v>
      </c>
      <c r="AJ35" s="77">
        <f t="shared" si="1"/>
        <v>9.2631578947368425</v>
      </c>
      <c r="AK35" s="78">
        <f t="shared" si="2"/>
        <v>9.621621621621621</v>
      </c>
      <c r="AW35" s="127" t="str">
        <f t="shared" si="3"/>
        <v>كفر ميت سراج</v>
      </c>
      <c r="AX35" s="59">
        <f>'1'!AX35</f>
        <v>3</v>
      </c>
      <c r="AY35" s="59">
        <f>'1'!AY35</f>
        <v>1011</v>
      </c>
      <c r="AZ35" s="59">
        <v>1</v>
      </c>
      <c r="BA35" s="59">
        <v>276</v>
      </c>
      <c r="BB35" s="59">
        <f>BA35+'1'!BB35</f>
        <v>596</v>
      </c>
      <c r="BC35" s="82">
        <f t="shared" si="7"/>
        <v>0.58951533135509393</v>
      </c>
      <c r="BD35" s="59">
        <f>'1'!BD35</f>
        <v>4</v>
      </c>
      <c r="BE35" s="59">
        <f>'1'!BE35</f>
        <v>413</v>
      </c>
      <c r="BF35" s="59">
        <v>0</v>
      </c>
      <c r="BG35" s="59">
        <v>0</v>
      </c>
      <c r="BH35" s="59">
        <f>BG35+'1'!BH35</f>
        <v>0</v>
      </c>
      <c r="BI35" s="82">
        <f t="shared" si="4"/>
        <v>0</v>
      </c>
    </row>
    <row r="36" spans="1:61" ht="33" customHeight="1" x14ac:dyDescent="0.35">
      <c r="A36" s="73">
        <v>26</v>
      </c>
      <c r="B36" s="127" t="str">
        <f>'1'!B36</f>
        <v>كفر أبشيش</v>
      </c>
      <c r="C36" s="58">
        <f>'1'!C36</f>
        <v>1345</v>
      </c>
      <c r="D36" s="58">
        <v>2</v>
      </c>
      <c r="E36" s="59">
        <v>3</v>
      </c>
      <c r="F36" s="64">
        <f>E36+'1'!F36</f>
        <v>6</v>
      </c>
      <c r="G36" s="64">
        <v>65</v>
      </c>
      <c r="H36" s="64">
        <f>G36+'1'!H36</f>
        <v>123</v>
      </c>
      <c r="I36" s="64">
        <v>242</v>
      </c>
      <c r="J36" s="64">
        <f>I36+'1'!J36</f>
        <v>547</v>
      </c>
      <c r="K36" s="64">
        <v>0</v>
      </c>
      <c r="L36" s="64">
        <f>K36+'1'!L36</f>
        <v>0</v>
      </c>
      <c r="M36" s="64">
        <v>0</v>
      </c>
      <c r="N36" s="64">
        <f>M36+'1'!N36</f>
        <v>0</v>
      </c>
      <c r="O36" s="64">
        <v>0</v>
      </c>
      <c r="P36" s="64">
        <f>O36+'1'!P36</f>
        <v>0</v>
      </c>
      <c r="Q36" s="65">
        <f t="shared" si="5"/>
        <v>310</v>
      </c>
      <c r="R36" s="65">
        <f>Q36+'1'!R36</f>
        <v>676</v>
      </c>
      <c r="S36" s="99">
        <f t="shared" si="6"/>
        <v>0.50260223048327135</v>
      </c>
      <c r="T36" s="59">
        <v>35</v>
      </c>
      <c r="U36" s="64">
        <f>T36+'1'!U36</f>
        <v>72</v>
      </c>
      <c r="V36" s="59">
        <v>0</v>
      </c>
      <c r="W36" s="64">
        <f>V36+'1'!W36</f>
        <v>0</v>
      </c>
      <c r="X36" s="59">
        <v>0</v>
      </c>
      <c r="Y36" s="64">
        <f>X36+'1'!Y36</f>
        <v>0</v>
      </c>
      <c r="AB36" s="73">
        <v>26</v>
      </c>
      <c r="AC36" s="127" t="str">
        <f t="shared" si="0"/>
        <v>كفر أبشيش</v>
      </c>
      <c r="AD36" s="76">
        <f>'1'!AI36</f>
        <v>82</v>
      </c>
      <c r="AE36" s="62">
        <v>0</v>
      </c>
      <c r="AF36" s="76">
        <f>AE36+'1'!AF36</f>
        <v>119</v>
      </c>
      <c r="AG36" s="65">
        <v>31</v>
      </c>
      <c r="AH36" s="76">
        <f>AG36+'1'!AH36</f>
        <v>68</v>
      </c>
      <c r="AI36" s="65">
        <f t="shared" si="8"/>
        <v>51</v>
      </c>
      <c r="AJ36" s="77">
        <f t="shared" si="1"/>
        <v>10</v>
      </c>
      <c r="AK36" s="78">
        <f t="shared" si="2"/>
        <v>9.9411764705882355</v>
      </c>
      <c r="AW36" s="127" t="str">
        <f t="shared" si="3"/>
        <v>كفر أبشيش</v>
      </c>
      <c r="AX36" s="59">
        <f>'1'!AX36</f>
        <v>1</v>
      </c>
      <c r="AY36" s="59">
        <f>'1'!AY36</f>
        <v>860</v>
      </c>
      <c r="AZ36" s="59">
        <v>1</v>
      </c>
      <c r="BA36" s="59">
        <v>230</v>
      </c>
      <c r="BB36" s="59">
        <f>BA36+'1'!BB36</f>
        <v>530</v>
      </c>
      <c r="BC36" s="82">
        <f t="shared" si="7"/>
        <v>0.61627906976744184</v>
      </c>
      <c r="BD36" s="59">
        <f>'1'!BD36</f>
        <v>4</v>
      </c>
      <c r="BE36" s="59">
        <f>'1'!BE36</f>
        <v>194</v>
      </c>
      <c r="BF36" s="59">
        <v>0</v>
      </c>
      <c r="BG36" s="59">
        <v>0</v>
      </c>
      <c r="BH36" s="59">
        <f>BG36+'1'!BH36</f>
        <v>0</v>
      </c>
      <c r="BI36" s="82">
        <f t="shared" si="4"/>
        <v>0</v>
      </c>
    </row>
    <row r="37" spans="1:61" ht="33" customHeight="1" x14ac:dyDescent="0.35">
      <c r="A37" s="73">
        <v>27</v>
      </c>
      <c r="B37" s="127" t="str">
        <f>'1'!B37</f>
        <v>كفر ميت العبسى</v>
      </c>
      <c r="C37" s="58">
        <f>'1'!C37</f>
        <v>1180</v>
      </c>
      <c r="D37" s="58">
        <v>2</v>
      </c>
      <c r="E37" s="59">
        <v>6</v>
      </c>
      <c r="F37" s="64">
        <f>E37+'1'!F37</f>
        <v>6</v>
      </c>
      <c r="G37" s="64">
        <v>127</v>
      </c>
      <c r="H37" s="64">
        <f>G37+'1'!H37</f>
        <v>141</v>
      </c>
      <c r="I37" s="64">
        <v>87</v>
      </c>
      <c r="J37" s="64">
        <f>I37+'1'!J37</f>
        <v>436</v>
      </c>
      <c r="K37" s="64">
        <v>0</v>
      </c>
      <c r="L37" s="64">
        <f>K37+'1'!L37</f>
        <v>0</v>
      </c>
      <c r="M37" s="64">
        <v>0</v>
      </c>
      <c r="N37" s="64">
        <f>M37+'1'!N37</f>
        <v>0</v>
      </c>
      <c r="O37" s="64">
        <v>0</v>
      </c>
      <c r="P37" s="64">
        <f>O37+'1'!P37</f>
        <v>0</v>
      </c>
      <c r="Q37" s="65">
        <f t="shared" si="5"/>
        <v>220</v>
      </c>
      <c r="R37" s="65">
        <f>Q37+'1'!R37</f>
        <v>583</v>
      </c>
      <c r="S37" s="99">
        <f t="shared" si="6"/>
        <v>0.49406779661016947</v>
      </c>
      <c r="T37" s="59">
        <v>13</v>
      </c>
      <c r="U37" s="64">
        <f>T37+'1'!U37</f>
        <v>48</v>
      </c>
      <c r="V37" s="59">
        <v>8</v>
      </c>
      <c r="W37" s="64">
        <f>V37+'1'!W37</f>
        <v>9</v>
      </c>
      <c r="X37" s="59">
        <v>0</v>
      </c>
      <c r="Y37" s="64">
        <f>X37+'1'!Y37</f>
        <v>0</v>
      </c>
      <c r="AB37" s="73">
        <v>27</v>
      </c>
      <c r="AC37" s="127" t="str">
        <f t="shared" si="0"/>
        <v>كفر ميت العبسى</v>
      </c>
      <c r="AD37" s="76">
        <f>'1'!AI37</f>
        <v>67</v>
      </c>
      <c r="AE37" s="62">
        <v>0</v>
      </c>
      <c r="AF37" s="76">
        <f>AE37+'1'!AF37</f>
        <v>104</v>
      </c>
      <c r="AG37" s="65">
        <v>22</v>
      </c>
      <c r="AH37" s="76">
        <f>AG37+'1'!AH37</f>
        <v>59</v>
      </c>
      <c r="AI37" s="65">
        <f t="shared" si="8"/>
        <v>45</v>
      </c>
      <c r="AJ37" s="77">
        <f t="shared" si="1"/>
        <v>10</v>
      </c>
      <c r="AK37" s="78">
        <f t="shared" si="2"/>
        <v>9.8813559322033893</v>
      </c>
      <c r="AW37" s="127" t="str">
        <f t="shared" si="3"/>
        <v>كفر ميت العبسى</v>
      </c>
      <c r="AX37" s="59">
        <f>'1'!AX37</f>
        <v>2</v>
      </c>
      <c r="AY37" s="59">
        <f>'1'!AY37</f>
        <v>494</v>
      </c>
      <c r="AZ37" s="59">
        <v>1</v>
      </c>
      <c r="BA37" s="59">
        <v>63</v>
      </c>
      <c r="BB37" s="59">
        <f>BA37+'1'!BB37</f>
        <v>416</v>
      </c>
      <c r="BC37" s="82">
        <f t="shared" si="7"/>
        <v>0.84210526315789469</v>
      </c>
      <c r="BD37" s="59">
        <f>'1'!BD37</f>
        <v>4</v>
      </c>
      <c r="BE37" s="59">
        <f>'1'!BE37</f>
        <v>114</v>
      </c>
      <c r="BF37" s="59">
        <v>2</v>
      </c>
      <c r="BG37" s="59">
        <v>73</v>
      </c>
      <c r="BH37" s="59">
        <f>BG37+'1'!BH37</f>
        <v>73</v>
      </c>
      <c r="BI37" s="82">
        <f t="shared" si="4"/>
        <v>0.64035087719298245</v>
      </c>
    </row>
    <row r="38" spans="1:61" ht="33" customHeight="1" x14ac:dyDescent="0.35">
      <c r="A38" s="73">
        <v>28</v>
      </c>
      <c r="B38" s="127" t="str">
        <f>'1'!B38</f>
        <v>كفر وهــــــــــب</v>
      </c>
      <c r="C38" s="58">
        <f>'1'!C38</f>
        <v>1854.9999999999998</v>
      </c>
      <c r="D38" s="58">
        <v>2</v>
      </c>
      <c r="E38" s="59">
        <v>2</v>
      </c>
      <c r="F38" s="64">
        <f>E38+'1'!F38</f>
        <v>3</v>
      </c>
      <c r="G38" s="64">
        <v>66</v>
      </c>
      <c r="H38" s="64">
        <f>G38+'1'!H38</f>
        <v>102</v>
      </c>
      <c r="I38" s="64">
        <v>246</v>
      </c>
      <c r="J38" s="64">
        <f>I38+'1'!J38</f>
        <v>576</v>
      </c>
      <c r="K38" s="64">
        <v>0</v>
      </c>
      <c r="L38" s="64">
        <f>K38+'1'!L38</f>
        <v>0</v>
      </c>
      <c r="M38" s="64">
        <v>0</v>
      </c>
      <c r="N38" s="64">
        <f>M38+'1'!N38</f>
        <v>0</v>
      </c>
      <c r="O38" s="64">
        <v>0</v>
      </c>
      <c r="P38" s="64">
        <f>O38+'1'!P38</f>
        <v>0</v>
      </c>
      <c r="Q38" s="65">
        <f t="shared" si="5"/>
        <v>314</v>
      </c>
      <c r="R38" s="65">
        <f>Q38+'1'!R38</f>
        <v>681</v>
      </c>
      <c r="S38" s="99">
        <f t="shared" si="6"/>
        <v>0.36711590296495961</v>
      </c>
      <c r="T38" s="59">
        <v>65</v>
      </c>
      <c r="U38" s="64">
        <f>T38+'1'!U38</f>
        <v>112</v>
      </c>
      <c r="V38" s="59">
        <v>3</v>
      </c>
      <c r="W38" s="64">
        <f>V38+'1'!W38</f>
        <v>4</v>
      </c>
      <c r="X38" s="59">
        <v>0</v>
      </c>
      <c r="Y38" s="64">
        <f>X38+'1'!Y38</f>
        <v>0</v>
      </c>
      <c r="AB38" s="73">
        <v>28</v>
      </c>
      <c r="AC38" s="127" t="str">
        <f t="shared" si="0"/>
        <v>كفر وهــــــــــب</v>
      </c>
      <c r="AD38" s="76">
        <f>'1'!AI38</f>
        <v>126</v>
      </c>
      <c r="AE38" s="62">
        <v>0</v>
      </c>
      <c r="AF38" s="76">
        <f>AE38+'1'!AF38</f>
        <v>163</v>
      </c>
      <c r="AG38" s="65">
        <v>33</v>
      </c>
      <c r="AH38" s="76">
        <f>AG38+'1'!AH38</f>
        <v>70</v>
      </c>
      <c r="AI38" s="65">
        <f t="shared" si="8"/>
        <v>93</v>
      </c>
      <c r="AJ38" s="77">
        <f t="shared" si="1"/>
        <v>9.5151515151515156</v>
      </c>
      <c r="AK38" s="78">
        <f t="shared" si="2"/>
        <v>9.7285714285714278</v>
      </c>
      <c r="AW38" s="127" t="str">
        <f t="shared" si="3"/>
        <v>كفر وهــــــــــب</v>
      </c>
      <c r="AX38" s="59">
        <f>'1'!AX38</f>
        <v>2</v>
      </c>
      <c r="AY38" s="59">
        <f>'1'!AY38</f>
        <v>793</v>
      </c>
      <c r="AZ38" s="59">
        <v>2</v>
      </c>
      <c r="BA38" s="59">
        <v>283</v>
      </c>
      <c r="BB38" s="59">
        <f>BA38+'1'!BB38</f>
        <v>623</v>
      </c>
      <c r="BC38" s="82">
        <f t="shared" si="7"/>
        <v>0.78562421185372</v>
      </c>
      <c r="BD38" s="59">
        <f>'1'!BD38</f>
        <v>3</v>
      </c>
      <c r="BE38" s="59">
        <f>'1'!BE38</f>
        <v>180</v>
      </c>
      <c r="BF38" s="59">
        <v>0</v>
      </c>
      <c r="BG38" s="59">
        <v>0</v>
      </c>
      <c r="BH38" s="59">
        <f>BG38+'1'!BH38</f>
        <v>0</v>
      </c>
      <c r="BI38" s="82">
        <f t="shared" si="4"/>
        <v>0</v>
      </c>
    </row>
    <row r="39" spans="1:61" ht="33" customHeight="1" x14ac:dyDescent="0.35">
      <c r="A39" s="73">
        <v>29</v>
      </c>
      <c r="B39" s="127" t="str">
        <f>'1'!B39</f>
        <v>دمــــــــــــــهوج</v>
      </c>
      <c r="C39" s="58">
        <f>'1'!C39</f>
        <v>2738</v>
      </c>
      <c r="D39" s="58">
        <v>3</v>
      </c>
      <c r="E39" s="59">
        <v>0</v>
      </c>
      <c r="F39" s="64">
        <f>E39+'1'!F39</f>
        <v>1</v>
      </c>
      <c r="G39" s="64">
        <v>96</v>
      </c>
      <c r="H39" s="64">
        <f>G39+'1'!H39</f>
        <v>141</v>
      </c>
      <c r="I39" s="64">
        <v>305</v>
      </c>
      <c r="J39" s="64">
        <f>I39+'1'!J39</f>
        <v>829</v>
      </c>
      <c r="K39" s="64">
        <v>0</v>
      </c>
      <c r="L39" s="64">
        <f>K39+'1'!L39</f>
        <v>0</v>
      </c>
      <c r="M39" s="64">
        <v>0</v>
      </c>
      <c r="N39" s="64">
        <f>M39+'1'!N39</f>
        <v>0</v>
      </c>
      <c r="O39" s="64">
        <v>0</v>
      </c>
      <c r="P39" s="64">
        <f>O39+'1'!P39</f>
        <v>0</v>
      </c>
      <c r="Q39" s="65">
        <f t="shared" si="5"/>
        <v>401</v>
      </c>
      <c r="R39" s="65">
        <f>Q39+'1'!R39</f>
        <v>971</v>
      </c>
      <c r="S39" s="99">
        <f t="shared" si="6"/>
        <v>0.35463842220598979</v>
      </c>
      <c r="T39" s="59">
        <v>73</v>
      </c>
      <c r="U39" s="64">
        <f>T39+'1'!U39</f>
        <v>138</v>
      </c>
      <c r="V39" s="59">
        <v>3</v>
      </c>
      <c r="W39" s="64">
        <f>V39+'1'!W39</f>
        <v>3</v>
      </c>
      <c r="X39" s="59">
        <v>0</v>
      </c>
      <c r="Y39" s="64">
        <f>X39+'1'!Y39</f>
        <v>0</v>
      </c>
      <c r="AB39" s="73">
        <v>29</v>
      </c>
      <c r="AC39" s="127" t="str">
        <f t="shared" si="0"/>
        <v>دمــــــــــــــهوج</v>
      </c>
      <c r="AD39" s="76">
        <f>'1'!AI39</f>
        <v>182</v>
      </c>
      <c r="AE39" s="62">
        <v>0</v>
      </c>
      <c r="AF39" s="76">
        <f>AE39+'1'!AF39</f>
        <v>240</v>
      </c>
      <c r="AG39" s="65">
        <v>41</v>
      </c>
      <c r="AH39" s="76">
        <f>AG39+'1'!AH39</f>
        <v>99</v>
      </c>
      <c r="AI39" s="65">
        <f t="shared" si="8"/>
        <v>141</v>
      </c>
      <c r="AJ39" s="77">
        <f t="shared" si="1"/>
        <v>9.7804878048780495</v>
      </c>
      <c r="AK39" s="78">
        <f t="shared" si="2"/>
        <v>9.808080808080808</v>
      </c>
      <c r="AW39" s="127" t="str">
        <f t="shared" si="3"/>
        <v>دمــــــــــــــهوج</v>
      </c>
      <c r="AX39" s="59">
        <f>'1'!AX39</f>
        <v>2</v>
      </c>
      <c r="AY39" s="59">
        <f>'1'!AY39</f>
        <v>1086</v>
      </c>
      <c r="AZ39" s="59">
        <v>1</v>
      </c>
      <c r="BA39" s="59">
        <v>304</v>
      </c>
      <c r="BB39" s="59">
        <f>BA39+'1'!BB39</f>
        <v>834</v>
      </c>
      <c r="BC39" s="82">
        <f t="shared" si="7"/>
        <v>0.76795580110497241</v>
      </c>
      <c r="BD39" s="59">
        <f>'1'!BD39</f>
        <v>10</v>
      </c>
      <c r="BE39" s="59">
        <f>'1'!BE39</f>
        <v>455</v>
      </c>
      <c r="BF39" s="59">
        <v>2</v>
      </c>
      <c r="BG39" s="59">
        <v>90</v>
      </c>
      <c r="BH39" s="59">
        <f>BG39+'1'!BH39</f>
        <v>130</v>
      </c>
      <c r="BI39" s="82">
        <f t="shared" si="4"/>
        <v>0.2857142857142857</v>
      </c>
    </row>
    <row r="40" spans="1:61" ht="33" customHeight="1" x14ac:dyDescent="0.35">
      <c r="A40" s="73">
        <v>30</v>
      </c>
      <c r="B40" s="127" t="str">
        <f>'1'!B40</f>
        <v>كفر زين الدين</v>
      </c>
      <c r="C40" s="58">
        <f>'1'!C40</f>
        <v>819</v>
      </c>
      <c r="D40" s="58">
        <v>2</v>
      </c>
      <c r="E40" s="59">
        <v>1</v>
      </c>
      <c r="F40" s="64">
        <f>E40+'1'!F40</f>
        <v>6</v>
      </c>
      <c r="G40" s="64">
        <v>135</v>
      </c>
      <c r="H40" s="64">
        <f>G40+'1'!H40</f>
        <v>208</v>
      </c>
      <c r="I40" s="64">
        <v>164</v>
      </c>
      <c r="J40" s="64">
        <f>I40+'1'!J40</f>
        <v>416</v>
      </c>
      <c r="K40" s="64">
        <v>0</v>
      </c>
      <c r="L40" s="64">
        <f>K40+'1'!L40</f>
        <v>0</v>
      </c>
      <c r="M40" s="64">
        <v>0</v>
      </c>
      <c r="N40" s="64">
        <f>M40+'1'!N40</f>
        <v>0</v>
      </c>
      <c r="O40" s="64">
        <v>0</v>
      </c>
      <c r="P40" s="64">
        <f>O40+'1'!P40</f>
        <v>0</v>
      </c>
      <c r="Q40" s="65">
        <f t="shared" si="5"/>
        <v>300</v>
      </c>
      <c r="R40" s="65">
        <f>Q40+'1'!R40</f>
        <v>630</v>
      </c>
      <c r="S40" s="99">
        <f t="shared" si="6"/>
        <v>0.76923076923076927</v>
      </c>
      <c r="T40" s="59">
        <v>38</v>
      </c>
      <c r="U40" s="64">
        <f>T40+'1'!U40</f>
        <v>76</v>
      </c>
      <c r="V40" s="59">
        <v>9</v>
      </c>
      <c r="W40" s="64">
        <f>V40+'1'!W40</f>
        <v>16</v>
      </c>
      <c r="X40" s="59">
        <v>0</v>
      </c>
      <c r="Y40" s="64">
        <f>X40+'1'!Y40</f>
        <v>0</v>
      </c>
      <c r="AB40" s="73">
        <v>30</v>
      </c>
      <c r="AC40" s="127" t="str">
        <f t="shared" si="0"/>
        <v>كفر زين الدين</v>
      </c>
      <c r="AD40" s="76">
        <f>'1'!AI40</f>
        <v>37</v>
      </c>
      <c r="AE40" s="62">
        <v>0</v>
      </c>
      <c r="AF40" s="76">
        <f>AE40+'1'!AF40</f>
        <v>70</v>
      </c>
      <c r="AG40" s="65">
        <v>30</v>
      </c>
      <c r="AH40" s="76">
        <f>AG40+'1'!AH40</f>
        <v>63</v>
      </c>
      <c r="AI40" s="65">
        <f t="shared" si="8"/>
        <v>7</v>
      </c>
      <c r="AJ40" s="77">
        <f t="shared" si="1"/>
        <v>10</v>
      </c>
      <c r="AK40" s="78">
        <f t="shared" si="2"/>
        <v>10</v>
      </c>
      <c r="AW40" s="127" t="str">
        <f t="shared" si="3"/>
        <v>كفر زين الدين</v>
      </c>
      <c r="AX40" s="59">
        <f>'1'!AX40</f>
        <v>1</v>
      </c>
      <c r="AY40" s="59">
        <f>'1'!AY40</f>
        <v>563</v>
      </c>
      <c r="AZ40" s="59">
        <v>1</v>
      </c>
      <c r="BA40" s="59">
        <v>154</v>
      </c>
      <c r="BB40" s="59">
        <f>BA40+'1'!BB40</f>
        <v>354</v>
      </c>
      <c r="BC40" s="82">
        <f t="shared" si="7"/>
        <v>0.62877442273534634</v>
      </c>
      <c r="BD40" s="59">
        <f>'1'!BD40</f>
        <v>2</v>
      </c>
      <c r="BE40" s="59">
        <f>'1'!BE40</f>
        <v>87</v>
      </c>
      <c r="BF40" s="59">
        <v>3</v>
      </c>
      <c r="BG40" s="59">
        <v>96</v>
      </c>
      <c r="BH40" s="59">
        <f>BG40+'1'!BH40</f>
        <v>166</v>
      </c>
      <c r="BI40" s="82">
        <f t="shared" si="4"/>
        <v>1.9080459770114941</v>
      </c>
    </row>
    <row r="41" spans="1:61" ht="33" customHeight="1" x14ac:dyDescent="0.35">
      <c r="A41" s="73">
        <v>31</v>
      </c>
      <c r="B41" s="127" t="str">
        <f>'1'!B41</f>
        <v>عزبــة أبوالنصر</v>
      </c>
      <c r="C41" s="58">
        <f>'1'!C41</f>
        <v>410</v>
      </c>
      <c r="D41" s="58">
        <v>2</v>
      </c>
      <c r="E41" s="59">
        <v>1</v>
      </c>
      <c r="F41" s="64">
        <f>E41+'1'!F41</f>
        <v>9</v>
      </c>
      <c r="G41" s="64">
        <v>37</v>
      </c>
      <c r="H41" s="64">
        <f>G41+'1'!H41</f>
        <v>203</v>
      </c>
      <c r="I41" s="64">
        <v>12</v>
      </c>
      <c r="J41" s="64">
        <f>I41+'1'!J41</f>
        <v>120</v>
      </c>
      <c r="K41" s="64">
        <v>0</v>
      </c>
      <c r="L41" s="64">
        <f>K41+'1'!L41</f>
        <v>0</v>
      </c>
      <c r="M41" s="64">
        <v>0</v>
      </c>
      <c r="N41" s="64">
        <f>M41+'1'!N41</f>
        <v>0</v>
      </c>
      <c r="O41" s="64">
        <v>0</v>
      </c>
      <c r="P41" s="64">
        <f>O41+'1'!P41</f>
        <v>0</v>
      </c>
      <c r="Q41" s="65">
        <f t="shared" si="5"/>
        <v>50</v>
      </c>
      <c r="R41" s="65">
        <f>Q41+'1'!R41</f>
        <v>332</v>
      </c>
      <c r="S41" s="99">
        <f t="shared" si="6"/>
        <v>0.80975609756097566</v>
      </c>
      <c r="T41" s="59">
        <v>0</v>
      </c>
      <c r="U41" s="64">
        <f>T41+'1'!U41</f>
        <v>0</v>
      </c>
      <c r="V41" s="59">
        <v>0</v>
      </c>
      <c r="W41" s="64">
        <f>V41+'1'!W41</f>
        <v>0</v>
      </c>
      <c r="X41" s="59">
        <v>0</v>
      </c>
      <c r="Y41" s="64">
        <f>X41+'1'!Y41</f>
        <v>0</v>
      </c>
      <c r="AB41" s="73">
        <v>31</v>
      </c>
      <c r="AC41" s="127" t="str">
        <f t="shared" si="0"/>
        <v>عزبــة أبوالنصر</v>
      </c>
      <c r="AD41" s="76">
        <f>'1'!AI41</f>
        <v>6</v>
      </c>
      <c r="AE41" s="62">
        <v>0</v>
      </c>
      <c r="AF41" s="76">
        <f>AE41+'1'!AF41</f>
        <v>35</v>
      </c>
      <c r="AG41" s="65">
        <v>5</v>
      </c>
      <c r="AH41" s="76">
        <f>AG41+'1'!AH41</f>
        <v>34</v>
      </c>
      <c r="AI41" s="65">
        <f t="shared" si="8"/>
        <v>1</v>
      </c>
      <c r="AJ41" s="77">
        <f t="shared" si="1"/>
        <v>10</v>
      </c>
      <c r="AK41" s="78">
        <f t="shared" si="2"/>
        <v>9.764705882352942</v>
      </c>
      <c r="AW41" s="127" t="str">
        <f t="shared" si="3"/>
        <v>عزبــة أبوالنصر</v>
      </c>
      <c r="AX41" s="59">
        <f>'1'!AX41</f>
        <v>2</v>
      </c>
      <c r="AY41" s="59">
        <f>'1'!AY41</f>
        <v>70</v>
      </c>
      <c r="AZ41" s="59">
        <v>1</v>
      </c>
      <c r="BA41" s="59">
        <v>0</v>
      </c>
      <c r="BB41" s="59">
        <f>BA41+'1'!BB41</f>
        <v>65</v>
      </c>
      <c r="BC41" s="82">
        <f t="shared" si="7"/>
        <v>0.9285714285714286</v>
      </c>
      <c r="BD41" s="59">
        <f>'1'!BD41</f>
        <v>3</v>
      </c>
      <c r="BE41" s="59">
        <f>'1'!BE41</f>
        <v>75</v>
      </c>
      <c r="BF41" s="59">
        <v>2</v>
      </c>
      <c r="BG41" s="59">
        <v>21</v>
      </c>
      <c r="BH41" s="59">
        <f>BG41+'1'!BH41</f>
        <v>36</v>
      </c>
      <c r="BI41" s="82">
        <f t="shared" si="4"/>
        <v>0.48</v>
      </c>
    </row>
    <row r="42" spans="1:61" ht="33" customHeight="1" x14ac:dyDescent="0.35">
      <c r="A42" s="73">
        <v>32</v>
      </c>
      <c r="B42" s="127" t="str">
        <f>'1'!B42</f>
        <v>شمنديــــــــــــــل</v>
      </c>
      <c r="C42" s="58">
        <f>'1'!C42</f>
        <v>880</v>
      </c>
      <c r="D42" s="58">
        <v>2</v>
      </c>
      <c r="E42" s="59">
        <v>6</v>
      </c>
      <c r="F42" s="64">
        <f>E42+'1'!F42</f>
        <v>6</v>
      </c>
      <c r="G42" s="64">
        <v>110</v>
      </c>
      <c r="H42" s="64">
        <f>G42+'1'!H42</f>
        <v>175</v>
      </c>
      <c r="I42" s="64">
        <v>126</v>
      </c>
      <c r="J42" s="64">
        <f>I42+'1'!J42</f>
        <v>402</v>
      </c>
      <c r="K42" s="64">
        <v>0</v>
      </c>
      <c r="L42" s="64">
        <f>K42+'1'!L42</f>
        <v>0</v>
      </c>
      <c r="M42" s="64">
        <v>0</v>
      </c>
      <c r="N42" s="64">
        <f>M42+'1'!N42</f>
        <v>0</v>
      </c>
      <c r="O42" s="64">
        <v>0</v>
      </c>
      <c r="P42" s="64">
        <f>O42+'1'!P42</f>
        <v>0</v>
      </c>
      <c r="Q42" s="65">
        <f t="shared" si="5"/>
        <v>242</v>
      </c>
      <c r="R42" s="65">
        <f>Q42+'1'!R42</f>
        <v>583</v>
      </c>
      <c r="S42" s="99">
        <f t="shared" si="6"/>
        <v>0.66249999999999998</v>
      </c>
      <c r="T42" s="59">
        <v>28</v>
      </c>
      <c r="U42" s="64">
        <f>T42+'1'!U42</f>
        <v>69</v>
      </c>
      <c r="V42" s="59">
        <v>4</v>
      </c>
      <c r="W42" s="64">
        <f>V42+'1'!W42</f>
        <v>4</v>
      </c>
      <c r="X42" s="59">
        <v>0</v>
      </c>
      <c r="Y42" s="64">
        <f>X42+'1'!Y42</f>
        <v>0</v>
      </c>
      <c r="AB42" s="73">
        <v>32</v>
      </c>
      <c r="AC42" s="127" t="str">
        <f t="shared" si="0"/>
        <v>شمنديــــــــــــــل</v>
      </c>
      <c r="AD42" s="76">
        <f>'1'!AI42</f>
        <v>43</v>
      </c>
      <c r="AE42" s="62">
        <v>0</v>
      </c>
      <c r="AF42" s="76">
        <f>AE42+'1'!AF42</f>
        <v>78</v>
      </c>
      <c r="AG42" s="65">
        <v>26</v>
      </c>
      <c r="AH42" s="76">
        <f>AG42+'1'!AH42</f>
        <v>61</v>
      </c>
      <c r="AI42" s="65">
        <f t="shared" si="8"/>
        <v>17</v>
      </c>
      <c r="AJ42" s="77">
        <f t="shared" si="1"/>
        <v>9.3076923076923084</v>
      </c>
      <c r="AK42" s="78">
        <f t="shared" si="2"/>
        <v>9.557377049180328</v>
      </c>
      <c r="AW42" s="127" t="str">
        <f t="shared" si="3"/>
        <v>شمنديــــــــــــــل</v>
      </c>
      <c r="AX42" s="59">
        <f>'1'!AX42</f>
        <v>2</v>
      </c>
      <c r="AY42" s="59">
        <f>'1'!AY42</f>
        <v>569</v>
      </c>
      <c r="AZ42" s="59">
        <v>1</v>
      </c>
      <c r="BA42" s="59">
        <v>132</v>
      </c>
      <c r="BB42" s="59">
        <f>BA42+'1'!BB42</f>
        <v>453</v>
      </c>
      <c r="BC42" s="82">
        <f t="shared" si="7"/>
        <v>0.79613356766256593</v>
      </c>
      <c r="BD42" s="59">
        <f>'1'!BD42</f>
        <v>1</v>
      </c>
      <c r="BE42" s="59">
        <f>'1'!BE42</f>
        <v>39</v>
      </c>
      <c r="BF42" s="59">
        <v>2</v>
      </c>
      <c r="BG42" s="59">
        <v>82</v>
      </c>
      <c r="BH42" s="59">
        <f>BG42+'1'!BH42</f>
        <v>82</v>
      </c>
      <c r="BI42" s="82">
        <f t="shared" si="4"/>
        <v>2.1025641025641026</v>
      </c>
    </row>
    <row r="43" spans="1:61" ht="33" customHeight="1" x14ac:dyDescent="0.35">
      <c r="A43" s="73">
        <v>33</v>
      </c>
      <c r="B43" s="127" t="str">
        <f>'1'!B43</f>
        <v>كفور الرمل</v>
      </c>
      <c r="C43" s="58">
        <f>'1'!C43</f>
        <v>1721</v>
      </c>
      <c r="D43" s="58">
        <v>3</v>
      </c>
      <c r="E43" s="59">
        <v>7</v>
      </c>
      <c r="F43" s="64">
        <f>E43+'1'!F43</f>
        <v>7</v>
      </c>
      <c r="G43" s="64">
        <v>200</v>
      </c>
      <c r="H43" s="64">
        <f>G43+'1'!H43</f>
        <v>413</v>
      </c>
      <c r="I43" s="64">
        <v>298</v>
      </c>
      <c r="J43" s="64">
        <f>I43+'1'!J43</f>
        <v>646</v>
      </c>
      <c r="K43" s="64">
        <v>0</v>
      </c>
      <c r="L43" s="64">
        <f>K43+'1'!L43</f>
        <v>0</v>
      </c>
      <c r="M43" s="64">
        <v>0</v>
      </c>
      <c r="N43" s="64">
        <f>M43+'1'!N43</f>
        <v>0</v>
      </c>
      <c r="O43" s="64">
        <v>0</v>
      </c>
      <c r="P43" s="64">
        <f>O43+'1'!P43</f>
        <v>0</v>
      </c>
      <c r="Q43" s="65">
        <f t="shared" si="5"/>
        <v>505</v>
      </c>
      <c r="R43" s="65">
        <f>Q43+'1'!R43</f>
        <v>1066</v>
      </c>
      <c r="S43" s="99">
        <f t="shared" si="6"/>
        <v>0.61940732132481113</v>
      </c>
      <c r="T43" s="59">
        <v>72</v>
      </c>
      <c r="U43" s="64">
        <f>T43+'1'!U43</f>
        <v>192</v>
      </c>
      <c r="V43" s="59">
        <v>0</v>
      </c>
      <c r="W43" s="64">
        <f>V43+'1'!W43</f>
        <v>0</v>
      </c>
      <c r="X43" s="59">
        <v>0</v>
      </c>
      <c r="Y43" s="64">
        <f>X43+'1'!Y43</f>
        <v>0</v>
      </c>
      <c r="AB43" s="73">
        <v>33</v>
      </c>
      <c r="AC43" s="127" t="str">
        <f t="shared" si="0"/>
        <v>كفور الرمل</v>
      </c>
      <c r="AD43" s="76">
        <f>'1'!AI43</f>
        <v>89</v>
      </c>
      <c r="AE43" s="62">
        <v>0</v>
      </c>
      <c r="AF43" s="76">
        <f>AE43+'1'!AF43</f>
        <v>150</v>
      </c>
      <c r="AG43" s="65">
        <v>55</v>
      </c>
      <c r="AH43" s="76">
        <f>AG43+'1'!AH43</f>
        <v>116</v>
      </c>
      <c r="AI43" s="65">
        <f t="shared" si="8"/>
        <v>34</v>
      </c>
      <c r="AJ43" s="77">
        <f t="shared" si="1"/>
        <v>9.1818181818181817</v>
      </c>
      <c r="AK43" s="78">
        <f t="shared" si="2"/>
        <v>9.1896551724137936</v>
      </c>
      <c r="AW43" s="127" t="str">
        <f t="shared" si="3"/>
        <v>كفور الرمل</v>
      </c>
      <c r="AX43" s="59">
        <f>'1'!AX43</f>
        <v>4</v>
      </c>
      <c r="AY43" s="59">
        <f>'1'!AY43</f>
        <v>1335</v>
      </c>
      <c r="AZ43" s="59">
        <v>1</v>
      </c>
      <c r="BA43" s="59">
        <v>296</v>
      </c>
      <c r="BB43" s="59">
        <f>BA43+'1'!BB43</f>
        <v>850</v>
      </c>
      <c r="BC43" s="82">
        <f t="shared" si="7"/>
        <v>0.63670411985018727</v>
      </c>
      <c r="BD43" s="59">
        <f>'1'!BD43</f>
        <v>7</v>
      </c>
      <c r="BE43" s="59">
        <f>'1'!BE43</f>
        <v>753</v>
      </c>
      <c r="BF43" s="59">
        <v>3</v>
      </c>
      <c r="BG43" s="59">
        <v>169</v>
      </c>
      <c r="BH43" s="59">
        <f>BG43+'1'!BH43</f>
        <v>382</v>
      </c>
      <c r="BI43" s="82">
        <f t="shared" si="4"/>
        <v>0.50730411686586985</v>
      </c>
    </row>
    <row r="44" spans="1:61" ht="33" customHeight="1" x14ac:dyDescent="0.35">
      <c r="A44" s="73">
        <v>34</v>
      </c>
      <c r="B44" s="127" t="str">
        <f>'1'!B44</f>
        <v>منشأة أم خنان</v>
      </c>
      <c r="C44" s="58">
        <f>'1'!C44</f>
        <v>510</v>
      </c>
      <c r="D44" s="58">
        <v>2</v>
      </c>
      <c r="E44" s="59">
        <v>2</v>
      </c>
      <c r="F44" s="64">
        <f>E44+'1'!F44</f>
        <v>8</v>
      </c>
      <c r="G44" s="64">
        <v>124</v>
      </c>
      <c r="H44" s="64">
        <f>G44+'1'!H44</f>
        <v>149</v>
      </c>
      <c r="I44" s="64">
        <v>9</v>
      </c>
      <c r="J44" s="64">
        <f>I44+'1'!J44</f>
        <v>285</v>
      </c>
      <c r="K44" s="64"/>
      <c r="L44" s="64">
        <f>K44+'1'!L44</f>
        <v>0</v>
      </c>
      <c r="M44" s="64"/>
      <c r="N44" s="64">
        <f>M44+'1'!N44</f>
        <v>0</v>
      </c>
      <c r="O44" s="64"/>
      <c r="P44" s="64">
        <f>O44+'1'!P44</f>
        <v>0</v>
      </c>
      <c r="Q44" s="65">
        <f t="shared" si="5"/>
        <v>135</v>
      </c>
      <c r="R44" s="65">
        <f>Q44+'1'!R44</f>
        <v>442</v>
      </c>
      <c r="S44" s="99">
        <f t="shared" si="6"/>
        <v>0.8666666666666667</v>
      </c>
      <c r="T44" s="59">
        <v>0</v>
      </c>
      <c r="U44" s="64">
        <f>T44+'1'!U44</f>
        <v>7</v>
      </c>
      <c r="V44" s="59">
        <v>0</v>
      </c>
      <c r="W44" s="64">
        <f>V44+'1'!W44</f>
        <v>1</v>
      </c>
      <c r="X44" s="59"/>
      <c r="Y44" s="64">
        <f>X44+'1'!Y44</f>
        <v>0</v>
      </c>
      <c r="AB44" s="73">
        <v>34</v>
      </c>
      <c r="AC44" s="127" t="str">
        <f t="shared" si="0"/>
        <v>منشأة أم خنان</v>
      </c>
      <c r="AD44" s="76">
        <f>'1'!AI44</f>
        <v>14</v>
      </c>
      <c r="AE44" s="62">
        <v>10</v>
      </c>
      <c r="AF44" s="76">
        <f>AE44+'1'!AF44</f>
        <v>55</v>
      </c>
      <c r="AG44" s="65">
        <v>14</v>
      </c>
      <c r="AH44" s="76">
        <f>AG44+'1'!AH44</f>
        <v>45</v>
      </c>
      <c r="AI44" s="65">
        <f t="shared" si="8"/>
        <v>10</v>
      </c>
      <c r="AJ44" s="77">
        <f t="shared" si="1"/>
        <v>9.6428571428571423</v>
      </c>
      <c r="AK44" s="78">
        <f t="shared" si="2"/>
        <v>9.8222222222222229</v>
      </c>
      <c r="AW44" s="127" t="str">
        <f t="shared" si="3"/>
        <v>منشأة أم خنان</v>
      </c>
      <c r="AX44" s="59">
        <f>'1'!AX44</f>
        <v>1</v>
      </c>
      <c r="AY44" s="59">
        <f>'1'!AY44</f>
        <v>277</v>
      </c>
      <c r="AZ44" s="59">
        <v>0</v>
      </c>
      <c r="BA44" s="59">
        <v>0</v>
      </c>
      <c r="BB44" s="59">
        <f>BA44+'1'!BB44</f>
        <v>269</v>
      </c>
      <c r="BC44" s="82">
        <f t="shared" si="7"/>
        <v>0.97111913357400725</v>
      </c>
      <c r="BD44" s="59">
        <f>'1'!BD44</f>
        <v>3</v>
      </c>
      <c r="BE44" s="59">
        <f>'1'!BE44</f>
        <v>170</v>
      </c>
      <c r="BF44" s="59">
        <v>2</v>
      </c>
      <c r="BG44" s="59">
        <v>95</v>
      </c>
      <c r="BH44" s="59">
        <f>BG44+'1'!BH44</f>
        <v>95</v>
      </c>
      <c r="BI44" s="82">
        <f t="shared" si="4"/>
        <v>0.55882352941176472</v>
      </c>
    </row>
    <row r="45" spans="1:61" ht="28.9" customHeight="1" x14ac:dyDescent="0.35">
      <c r="A45" s="73">
        <v>35</v>
      </c>
      <c r="B45" s="58">
        <f>'1'!B45</f>
        <v>0</v>
      </c>
      <c r="C45" s="58">
        <f>'1'!C45</f>
        <v>0</v>
      </c>
      <c r="D45" s="58"/>
      <c r="E45" s="59"/>
      <c r="F45" s="64">
        <f>E45+'1'!F45</f>
        <v>0</v>
      </c>
      <c r="G45" s="64"/>
      <c r="H45" s="64">
        <f>G45+'1'!H45</f>
        <v>0</v>
      </c>
      <c r="I45" s="64"/>
      <c r="J45" s="64">
        <f>I45+'1'!J45</f>
        <v>0</v>
      </c>
      <c r="K45" s="64"/>
      <c r="L45" s="64">
        <f>K45+'1'!L45</f>
        <v>0</v>
      </c>
      <c r="M45" s="64"/>
      <c r="N45" s="64">
        <f>M45+'1'!N45</f>
        <v>0</v>
      </c>
      <c r="O45" s="64"/>
      <c r="P45" s="64">
        <f>O45+'1'!P45</f>
        <v>0</v>
      </c>
      <c r="Q45" s="65">
        <f t="shared" si="5"/>
        <v>0</v>
      </c>
      <c r="R45" s="65">
        <f>Q45+'1'!R45</f>
        <v>0</v>
      </c>
      <c r="S45" s="99" t="e">
        <f t="shared" si="6"/>
        <v>#DIV/0!</v>
      </c>
      <c r="T45" s="59"/>
      <c r="U45" s="64">
        <f>T45+'1'!U45</f>
        <v>0</v>
      </c>
      <c r="V45" s="59"/>
      <c r="W45" s="64">
        <f>V45+'1'!W45</f>
        <v>0</v>
      </c>
      <c r="X45" s="59"/>
      <c r="Y45" s="64">
        <f>X45+'1'!Y45</f>
        <v>0</v>
      </c>
      <c r="AB45" s="73">
        <v>35</v>
      </c>
      <c r="AC45" s="58">
        <f t="shared" si="0"/>
        <v>0</v>
      </c>
      <c r="AD45" s="76">
        <f>'1'!AI45</f>
        <v>0</v>
      </c>
      <c r="AE45" s="62"/>
      <c r="AF45" s="76">
        <f>AE45+'1'!AF45</f>
        <v>0</v>
      </c>
      <c r="AG45" s="65"/>
      <c r="AH45" s="76">
        <f>AG45+'1'!AH45</f>
        <v>0</v>
      </c>
      <c r="AI45" s="65">
        <f t="shared" si="8"/>
        <v>0</v>
      </c>
      <c r="AJ45" s="77" t="e">
        <f t="shared" si="1"/>
        <v>#DIV/0!</v>
      </c>
      <c r="AK45" s="78" t="e">
        <f t="shared" si="2"/>
        <v>#DIV/0!</v>
      </c>
      <c r="AW45" s="58">
        <f t="shared" si="3"/>
        <v>0</v>
      </c>
      <c r="AX45" s="59">
        <f>'1'!AX45</f>
        <v>0</v>
      </c>
      <c r="AY45" s="59">
        <f>'1'!AY45</f>
        <v>0</v>
      </c>
      <c r="AZ45" s="59"/>
      <c r="BA45" s="59"/>
      <c r="BB45" s="59">
        <f>BA45+'1'!BB45</f>
        <v>0</v>
      </c>
      <c r="BC45" s="82" t="e">
        <f t="shared" si="7"/>
        <v>#DIV/0!</v>
      </c>
      <c r="BD45" s="59">
        <f>'1'!BD45</f>
        <v>0</v>
      </c>
      <c r="BE45" s="59">
        <f>'1'!BE45</f>
        <v>0</v>
      </c>
      <c r="BF45" s="59"/>
      <c r="BG45" s="59"/>
      <c r="BH45" s="59">
        <f>BG45+'1'!BH45</f>
        <v>0</v>
      </c>
      <c r="BI45" s="82" t="e">
        <f t="shared" si="4"/>
        <v>#DIV/0!</v>
      </c>
    </row>
    <row r="46" spans="1:61" ht="28.9" customHeight="1" x14ac:dyDescent="0.35">
      <c r="A46" s="73">
        <v>36</v>
      </c>
      <c r="B46" s="58">
        <f>'1'!B46</f>
        <v>0</v>
      </c>
      <c r="C46" s="58">
        <f>'1'!C46</f>
        <v>0</v>
      </c>
      <c r="D46" s="58"/>
      <c r="E46" s="59"/>
      <c r="F46" s="64">
        <f>E46+'1'!F46</f>
        <v>0</v>
      </c>
      <c r="G46" s="64"/>
      <c r="H46" s="64">
        <f>G46+'1'!H46</f>
        <v>0</v>
      </c>
      <c r="I46" s="64"/>
      <c r="J46" s="64">
        <f>I46+'1'!J46</f>
        <v>0</v>
      </c>
      <c r="K46" s="64"/>
      <c r="L46" s="64">
        <f>K46+'1'!L46</f>
        <v>0</v>
      </c>
      <c r="M46" s="64"/>
      <c r="N46" s="64">
        <f>M46+'1'!N46</f>
        <v>0</v>
      </c>
      <c r="O46" s="64"/>
      <c r="P46" s="64">
        <f>O46+'1'!P46</f>
        <v>0</v>
      </c>
      <c r="Q46" s="65">
        <f t="shared" si="5"/>
        <v>0</v>
      </c>
      <c r="R46" s="65">
        <f>Q46+'1'!R46</f>
        <v>0</v>
      </c>
      <c r="S46" s="99" t="e">
        <f t="shared" si="6"/>
        <v>#DIV/0!</v>
      </c>
      <c r="T46" s="59"/>
      <c r="U46" s="64">
        <f>T46+'1'!U46</f>
        <v>0</v>
      </c>
      <c r="V46" s="59"/>
      <c r="W46" s="64">
        <f>V46+'1'!W46</f>
        <v>0</v>
      </c>
      <c r="X46" s="59"/>
      <c r="Y46" s="64">
        <f>X46+'1'!Y46</f>
        <v>0</v>
      </c>
      <c r="AB46" s="73">
        <v>36</v>
      </c>
      <c r="AC46" s="58">
        <f t="shared" si="0"/>
        <v>0</v>
      </c>
      <c r="AD46" s="76">
        <f>'1'!AI46</f>
        <v>0</v>
      </c>
      <c r="AE46" s="62"/>
      <c r="AF46" s="76">
        <f>AE46+'1'!AF46</f>
        <v>0</v>
      </c>
      <c r="AG46" s="65"/>
      <c r="AH46" s="76">
        <f>AG46+'1'!AH46</f>
        <v>0</v>
      </c>
      <c r="AI46" s="65">
        <f t="shared" si="8"/>
        <v>0</v>
      </c>
      <c r="AJ46" s="77" t="e">
        <f t="shared" si="1"/>
        <v>#DIV/0!</v>
      </c>
      <c r="AK46" s="78" t="e">
        <f t="shared" si="2"/>
        <v>#DIV/0!</v>
      </c>
      <c r="AW46" s="58">
        <f t="shared" si="3"/>
        <v>0</v>
      </c>
      <c r="AX46" s="59">
        <f>'1'!AX46</f>
        <v>0</v>
      </c>
      <c r="AY46" s="59">
        <f>'1'!AY46</f>
        <v>0</v>
      </c>
      <c r="AZ46" s="59"/>
      <c r="BA46" s="59"/>
      <c r="BB46" s="59">
        <f>BA46+'1'!BB46</f>
        <v>0</v>
      </c>
      <c r="BC46" s="82" t="e">
        <f t="shared" si="7"/>
        <v>#DIV/0!</v>
      </c>
      <c r="BD46" s="59">
        <f>'1'!BD46</f>
        <v>0</v>
      </c>
      <c r="BE46" s="59">
        <f>'1'!BE46</f>
        <v>0</v>
      </c>
      <c r="BF46" s="59"/>
      <c r="BG46" s="59"/>
      <c r="BH46" s="59">
        <f>BG46+'1'!BH46</f>
        <v>0</v>
      </c>
      <c r="BI46" s="82" t="e">
        <f t="shared" si="4"/>
        <v>#DIV/0!</v>
      </c>
    </row>
    <row r="47" spans="1:61" ht="28.9" customHeight="1" x14ac:dyDescent="0.35">
      <c r="A47" s="73">
        <v>37</v>
      </c>
      <c r="B47" s="58">
        <f>'1'!B47</f>
        <v>0</v>
      </c>
      <c r="C47" s="58">
        <f>'1'!C47</f>
        <v>0</v>
      </c>
      <c r="D47" s="58"/>
      <c r="E47" s="59"/>
      <c r="F47" s="64">
        <f>E47+'1'!F47</f>
        <v>0</v>
      </c>
      <c r="G47" s="64"/>
      <c r="H47" s="64">
        <f>G47+'1'!H47</f>
        <v>0</v>
      </c>
      <c r="I47" s="64"/>
      <c r="J47" s="64">
        <f>I47+'1'!J47</f>
        <v>0</v>
      </c>
      <c r="K47" s="64"/>
      <c r="L47" s="64">
        <f>K47+'1'!L47</f>
        <v>0</v>
      </c>
      <c r="M47" s="64"/>
      <c r="N47" s="64">
        <f>M47+'1'!N47</f>
        <v>0</v>
      </c>
      <c r="O47" s="64"/>
      <c r="P47" s="64">
        <f>O47+'1'!P47</f>
        <v>0</v>
      </c>
      <c r="Q47" s="65">
        <f t="shared" si="5"/>
        <v>0</v>
      </c>
      <c r="R47" s="65">
        <f>Q47+'1'!R47</f>
        <v>0</v>
      </c>
      <c r="S47" s="99" t="e">
        <f t="shared" si="6"/>
        <v>#DIV/0!</v>
      </c>
      <c r="T47" s="59"/>
      <c r="U47" s="64">
        <f>T47+'1'!U47</f>
        <v>0</v>
      </c>
      <c r="V47" s="59"/>
      <c r="W47" s="64">
        <f>V47+'1'!W47</f>
        <v>0</v>
      </c>
      <c r="X47" s="59"/>
      <c r="Y47" s="64">
        <f>X47+'1'!Y47</f>
        <v>0</v>
      </c>
      <c r="AB47" s="73">
        <v>37</v>
      </c>
      <c r="AC47" s="58">
        <f t="shared" si="0"/>
        <v>0</v>
      </c>
      <c r="AD47" s="76">
        <f>'1'!AI47</f>
        <v>0</v>
      </c>
      <c r="AE47" s="62"/>
      <c r="AF47" s="76">
        <f>AE47+'1'!AF47</f>
        <v>0</v>
      </c>
      <c r="AG47" s="65"/>
      <c r="AH47" s="76">
        <f>AG47+'1'!AH47</f>
        <v>0</v>
      </c>
      <c r="AI47" s="65">
        <f t="shared" si="8"/>
        <v>0</v>
      </c>
      <c r="AJ47" s="77" t="e">
        <f t="shared" si="1"/>
        <v>#DIV/0!</v>
      </c>
      <c r="AK47" s="78" t="e">
        <f t="shared" si="2"/>
        <v>#DIV/0!</v>
      </c>
      <c r="AW47" s="58">
        <f t="shared" si="3"/>
        <v>0</v>
      </c>
      <c r="AX47" s="59">
        <f>'1'!AX47</f>
        <v>0</v>
      </c>
      <c r="AY47" s="59">
        <f>'1'!AY47</f>
        <v>0</v>
      </c>
      <c r="AZ47" s="59"/>
      <c r="BA47" s="59"/>
      <c r="BB47" s="59">
        <f>BA47+'1'!BB47</f>
        <v>0</v>
      </c>
      <c r="BC47" s="82" t="e">
        <f t="shared" si="7"/>
        <v>#DIV/0!</v>
      </c>
      <c r="BD47" s="59">
        <f>'1'!BD47</f>
        <v>0</v>
      </c>
      <c r="BE47" s="59">
        <f>'1'!BE47</f>
        <v>0</v>
      </c>
      <c r="BF47" s="59"/>
      <c r="BG47" s="59"/>
      <c r="BH47" s="59">
        <f>BG47+'1'!BH47</f>
        <v>0</v>
      </c>
      <c r="BI47" s="82" t="e">
        <f t="shared" si="4"/>
        <v>#DIV/0!</v>
      </c>
    </row>
    <row r="48" spans="1:61" ht="28.9" customHeight="1" x14ac:dyDescent="0.35">
      <c r="A48" s="73">
        <v>38</v>
      </c>
      <c r="B48" s="58">
        <f>'1'!B48</f>
        <v>0</v>
      </c>
      <c r="C48" s="58">
        <f>'1'!C48</f>
        <v>0</v>
      </c>
      <c r="D48" s="58"/>
      <c r="E48" s="59"/>
      <c r="F48" s="64">
        <f>E48+'1'!F48</f>
        <v>0</v>
      </c>
      <c r="G48" s="64"/>
      <c r="H48" s="64">
        <f>G48+'1'!H48</f>
        <v>0</v>
      </c>
      <c r="I48" s="64"/>
      <c r="J48" s="64">
        <f>I48+'1'!J48</f>
        <v>0</v>
      </c>
      <c r="K48" s="64"/>
      <c r="L48" s="64">
        <f>K48+'1'!L48</f>
        <v>0</v>
      </c>
      <c r="M48" s="64"/>
      <c r="N48" s="64">
        <f>M48+'1'!N48</f>
        <v>0</v>
      </c>
      <c r="O48" s="64"/>
      <c r="P48" s="64">
        <f>O48+'1'!P48</f>
        <v>0</v>
      </c>
      <c r="Q48" s="65">
        <f t="shared" si="5"/>
        <v>0</v>
      </c>
      <c r="R48" s="65">
        <f>Q48+'1'!R48</f>
        <v>0</v>
      </c>
      <c r="S48" s="99" t="e">
        <f t="shared" si="6"/>
        <v>#DIV/0!</v>
      </c>
      <c r="T48" s="59"/>
      <c r="U48" s="64">
        <f>T48+'1'!U48</f>
        <v>0</v>
      </c>
      <c r="V48" s="59"/>
      <c r="W48" s="64">
        <f>V48+'1'!W48</f>
        <v>0</v>
      </c>
      <c r="X48" s="59"/>
      <c r="Y48" s="64">
        <f>X48+'1'!Y48</f>
        <v>0</v>
      </c>
      <c r="AB48" s="73">
        <v>38</v>
      </c>
      <c r="AC48" s="58">
        <f t="shared" si="0"/>
        <v>0</v>
      </c>
      <c r="AD48" s="76">
        <f>'1'!AI48</f>
        <v>0</v>
      </c>
      <c r="AE48" s="62"/>
      <c r="AF48" s="76">
        <f>AE48+'1'!AF48</f>
        <v>0</v>
      </c>
      <c r="AG48" s="65"/>
      <c r="AH48" s="76">
        <f>AG48+'1'!AH48</f>
        <v>0</v>
      </c>
      <c r="AI48" s="65">
        <f t="shared" si="8"/>
        <v>0</v>
      </c>
      <c r="AJ48" s="77" t="e">
        <f t="shared" si="1"/>
        <v>#DIV/0!</v>
      </c>
      <c r="AK48" s="78" t="e">
        <f t="shared" si="2"/>
        <v>#DIV/0!</v>
      </c>
      <c r="AW48" s="58">
        <f t="shared" si="3"/>
        <v>0</v>
      </c>
      <c r="AX48" s="59">
        <f>'1'!AX48</f>
        <v>0</v>
      </c>
      <c r="AY48" s="59">
        <f>'1'!AY48</f>
        <v>0</v>
      </c>
      <c r="AZ48" s="59"/>
      <c r="BA48" s="59"/>
      <c r="BB48" s="59">
        <f>BA48+'1'!BB48</f>
        <v>0</v>
      </c>
      <c r="BC48" s="82" t="e">
        <f t="shared" si="7"/>
        <v>#DIV/0!</v>
      </c>
      <c r="BD48" s="59">
        <f>'1'!BD48</f>
        <v>0</v>
      </c>
      <c r="BE48" s="59">
        <f>'1'!BE48</f>
        <v>0</v>
      </c>
      <c r="BF48" s="59"/>
      <c r="BG48" s="59"/>
      <c r="BH48" s="59">
        <f>BG48+'1'!BH48</f>
        <v>0</v>
      </c>
      <c r="BI48" s="82" t="e">
        <f t="shared" si="4"/>
        <v>#DIV/0!</v>
      </c>
    </row>
    <row r="49" spans="1:61" ht="28.9" customHeight="1" x14ac:dyDescent="0.35">
      <c r="A49" s="73">
        <v>39</v>
      </c>
      <c r="B49" s="58">
        <f>'1'!B49</f>
        <v>0</v>
      </c>
      <c r="C49" s="58">
        <f>'1'!C49</f>
        <v>0</v>
      </c>
      <c r="D49" s="58"/>
      <c r="E49" s="59"/>
      <c r="F49" s="64">
        <f>E49+'1'!F49</f>
        <v>0</v>
      </c>
      <c r="G49" s="64"/>
      <c r="H49" s="64">
        <f>G49+'1'!H49</f>
        <v>0</v>
      </c>
      <c r="I49" s="64"/>
      <c r="J49" s="64">
        <f>I49+'1'!J49</f>
        <v>0</v>
      </c>
      <c r="K49" s="64"/>
      <c r="L49" s="64">
        <f>K49+'1'!L49</f>
        <v>0</v>
      </c>
      <c r="M49" s="64"/>
      <c r="N49" s="64">
        <f>M49+'1'!N49</f>
        <v>0</v>
      </c>
      <c r="O49" s="64"/>
      <c r="P49" s="64">
        <f>O49+'1'!P49</f>
        <v>0</v>
      </c>
      <c r="Q49" s="65">
        <f t="shared" si="5"/>
        <v>0</v>
      </c>
      <c r="R49" s="65">
        <f>Q49+'1'!R49</f>
        <v>0</v>
      </c>
      <c r="S49" s="99" t="e">
        <f t="shared" si="6"/>
        <v>#DIV/0!</v>
      </c>
      <c r="T49" s="59"/>
      <c r="U49" s="64">
        <f>T49+'1'!U49</f>
        <v>0</v>
      </c>
      <c r="V49" s="59"/>
      <c r="W49" s="64">
        <f>V49+'1'!W49</f>
        <v>0</v>
      </c>
      <c r="X49" s="59"/>
      <c r="Y49" s="64">
        <f>X49+'1'!Y49</f>
        <v>0</v>
      </c>
      <c r="AB49" s="73">
        <v>39</v>
      </c>
      <c r="AC49" s="58">
        <f t="shared" si="0"/>
        <v>0</v>
      </c>
      <c r="AD49" s="76">
        <f>'1'!AI49</f>
        <v>0</v>
      </c>
      <c r="AE49" s="62"/>
      <c r="AF49" s="76">
        <f>AE49+'1'!AF49</f>
        <v>0</v>
      </c>
      <c r="AG49" s="65"/>
      <c r="AH49" s="76">
        <f>AG49+'1'!AH49</f>
        <v>0</v>
      </c>
      <c r="AI49" s="65">
        <f t="shared" si="8"/>
        <v>0</v>
      </c>
      <c r="AJ49" s="77" t="e">
        <f t="shared" si="1"/>
        <v>#DIV/0!</v>
      </c>
      <c r="AK49" s="78" t="e">
        <f t="shared" si="2"/>
        <v>#DIV/0!</v>
      </c>
      <c r="AW49" s="58">
        <f t="shared" si="3"/>
        <v>0</v>
      </c>
      <c r="AX49" s="59">
        <f>'1'!AX49</f>
        <v>0</v>
      </c>
      <c r="AY49" s="59">
        <f>'1'!AY49</f>
        <v>0</v>
      </c>
      <c r="AZ49" s="59"/>
      <c r="BA49" s="59"/>
      <c r="BB49" s="59">
        <f>BA49+'1'!BB49</f>
        <v>0</v>
      </c>
      <c r="BC49" s="82" t="e">
        <f t="shared" si="7"/>
        <v>#DIV/0!</v>
      </c>
      <c r="BD49" s="59">
        <f>'1'!BD49</f>
        <v>0</v>
      </c>
      <c r="BE49" s="59">
        <f>'1'!BE49</f>
        <v>0</v>
      </c>
      <c r="BF49" s="59"/>
      <c r="BG49" s="59"/>
      <c r="BH49" s="59">
        <f>BG49+'1'!BH49</f>
        <v>0</v>
      </c>
      <c r="BI49" s="82" t="e">
        <f t="shared" si="4"/>
        <v>#DIV/0!</v>
      </c>
    </row>
    <row r="50" spans="1:61" ht="28.9" customHeight="1" x14ac:dyDescent="0.35">
      <c r="A50" s="73">
        <v>40</v>
      </c>
      <c r="B50" s="58">
        <f>'1'!B50</f>
        <v>0</v>
      </c>
      <c r="C50" s="58">
        <f>'1'!C50</f>
        <v>0</v>
      </c>
      <c r="D50" s="58"/>
      <c r="E50" s="59"/>
      <c r="F50" s="64">
        <f>E50+'1'!F50</f>
        <v>0</v>
      </c>
      <c r="G50" s="64"/>
      <c r="H50" s="64">
        <f>G50+'1'!H50</f>
        <v>0</v>
      </c>
      <c r="I50" s="64"/>
      <c r="J50" s="64">
        <f>I50+'1'!J50</f>
        <v>0</v>
      </c>
      <c r="K50" s="64"/>
      <c r="L50" s="64">
        <f>K50+'1'!L50</f>
        <v>0</v>
      </c>
      <c r="M50" s="64"/>
      <c r="N50" s="64">
        <f>M50+'1'!N50</f>
        <v>0</v>
      </c>
      <c r="O50" s="64"/>
      <c r="P50" s="64">
        <f>O50+'1'!P50</f>
        <v>0</v>
      </c>
      <c r="Q50" s="65">
        <f t="shared" si="5"/>
        <v>0</v>
      </c>
      <c r="R50" s="65">
        <f>Q50+'1'!R50</f>
        <v>0</v>
      </c>
      <c r="S50" s="99" t="e">
        <f t="shared" si="6"/>
        <v>#DIV/0!</v>
      </c>
      <c r="T50" s="59"/>
      <c r="U50" s="64">
        <f>T50+'1'!U50</f>
        <v>0</v>
      </c>
      <c r="V50" s="59"/>
      <c r="W50" s="64">
        <f>V50+'1'!W50</f>
        <v>0</v>
      </c>
      <c r="X50" s="59"/>
      <c r="Y50" s="64">
        <f>X50+'1'!Y50</f>
        <v>0</v>
      </c>
      <c r="AB50" s="73">
        <v>40</v>
      </c>
      <c r="AC50" s="58">
        <f t="shared" si="0"/>
        <v>0</v>
      </c>
      <c r="AD50" s="76">
        <f>'1'!AI50</f>
        <v>0</v>
      </c>
      <c r="AE50" s="62"/>
      <c r="AF50" s="76">
        <f>AE50+'1'!AF50</f>
        <v>0</v>
      </c>
      <c r="AG50" s="65"/>
      <c r="AH50" s="76">
        <f>AG50+'1'!AH50</f>
        <v>0</v>
      </c>
      <c r="AI50" s="65">
        <f t="shared" si="8"/>
        <v>0</v>
      </c>
      <c r="AJ50" s="77" t="e">
        <f t="shared" si="1"/>
        <v>#DIV/0!</v>
      </c>
      <c r="AK50" s="78" t="e">
        <f t="shared" si="2"/>
        <v>#DIV/0!</v>
      </c>
      <c r="AW50" s="58">
        <f t="shared" si="3"/>
        <v>0</v>
      </c>
      <c r="AX50" s="59">
        <f>'1'!AX50</f>
        <v>0</v>
      </c>
      <c r="AY50" s="59">
        <f>'1'!AY50</f>
        <v>0</v>
      </c>
      <c r="AZ50" s="59"/>
      <c r="BA50" s="59"/>
      <c r="BB50" s="59">
        <f>BA50+'1'!BB50</f>
        <v>0</v>
      </c>
      <c r="BC50" s="82" t="e">
        <f t="shared" si="7"/>
        <v>#DIV/0!</v>
      </c>
      <c r="BD50" s="59">
        <f>'1'!BD50</f>
        <v>0</v>
      </c>
      <c r="BE50" s="59">
        <f>'1'!BE50</f>
        <v>0</v>
      </c>
      <c r="BF50" s="59"/>
      <c r="BG50" s="59"/>
      <c r="BH50" s="59">
        <f>BG50+'1'!BH50</f>
        <v>0</v>
      </c>
      <c r="BI50" s="82" t="e">
        <f t="shared" si="4"/>
        <v>#DIV/0!</v>
      </c>
    </row>
    <row r="51" spans="1:61" ht="39" customHeight="1" thickBot="1" x14ac:dyDescent="0.4">
      <c r="A51" s="187" t="s">
        <v>26</v>
      </c>
      <c r="B51" s="187"/>
      <c r="C51" s="125">
        <f>SUM(C11:C50)</f>
        <v>97446</v>
      </c>
      <c r="D51" s="125">
        <f>SUM(D11:D50)</f>
        <v>107</v>
      </c>
      <c r="E51" s="89">
        <f>SUM(E11:E50)</f>
        <v>149</v>
      </c>
      <c r="F51" s="89">
        <f>SUM(F11:F50)</f>
        <v>327</v>
      </c>
      <c r="G51" s="89">
        <f t="shared" ref="G51:R51" si="10">SUM(G11:G50)</f>
        <v>5159</v>
      </c>
      <c r="H51" s="89">
        <f t="shared" si="10"/>
        <v>8354</v>
      </c>
      <c r="I51" s="89">
        <f t="shared" si="10"/>
        <v>13506</v>
      </c>
      <c r="J51" s="89">
        <f t="shared" si="10"/>
        <v>30738</v>
      </c>
      <c r="K51" s="89">
        <f t="shared" si="10"/>
        <v>0</v>
      </c>
      <c r="L51" s="89">
        <f t="shared" si="10"/>
        <v>0</v>
      </c>
      <c r="M51" s="89">
        <f t="shared" si="10"/>
        <v>0</v>
      </c>
      <c r="N51" s="89">
        <f t="shared" si="10"/>
        <v>0</v>
      </c>
      <c r="O51" s="89">
        <f t="shared" si="10"/>
        <v>0</v>
      </c>
      <c r="P51" s="89">
        <f>SUM(P11:P50)</f>
        <v>0</v>
      </c>
      <c r="Q51" s="89">
        <f t="shared" si="10"/>
        <v>18814</v>
      </c>
      <c r="R51" s="89">
        <f t="shared" si="10"/>
        <v>39419</v>
      </c>
      <c r="S51" s="90">
        <f>R51/C51</f>
        <v>0.40452147856248588</v>
      </c>
      <c r="T51" s="112">
        <f t="shared" ref="T51:Y51" si="11">SUM(T11:T50)</f>
        <v>2905</v>
      </c>
      <c r="U51" s="112">
        <f t="shared" si="11"/>
        <v>5746</v>
      </c>
      <c r="V51" s="112">
        <f t="shared" si="11"/>
        <v>593</v>
      </c>
      <c r="W51" s="112">
        <f t="shared" si="11"/>
        <v>627</v>
      </c>
      <c r="X51" s="112">
        <f t="shared" si="11"/>
        <v>0</v>
      </c>
      <c r="Y51" s="112">
        <f t="shared" si="11"/>
        <v>1</v>
      </c>
      <c r="AB51" s="242" t="s">
        <v>29</v>
      </c>
      <c r="AC51" s="243"/>
      <c r="AD51" s="134">
        <f t="shared" ref="AD51:AI51" si="12">SUM(AD11:AD50)</f>
        <v>6430</v>
      </c>
      <c r="AE51" s="112">
        <f t="shared" si="12"/>
        <v>10</v>
      </c>
      <c r="AF51" s="58">
        <f t="shared" si="12"/>
        <v>8560</v>
      </c>
      <c r="AG51" s="58">
        <f t="shared" si="12"/>
        <v>1931</v>
      </c>
      <c r="AH51" s="58">
        <f t="shared" si="12"/>
        <v>4051</v>
      </c>
      <c r="AI51" s="58">
        <f t="shared" si="12"/>
        <v>4509</v>
      </c>
      <c r="AJ51" s="77">
        <f t="shared" si="1"/>
        <v>9.7431382703262557</v>
      </c>
      <c r="AK51" s="78">
        <f t="shared" si="2"/>
        <v>9.7306837817822753</v>
      </c>
      <c r="AW51" s="94" t="s">
        <v>26</v>
      </c>
      <c r="AX51" s="114">
        <f>SUM(AX11:AX50)</f>
        <v>121</v>
      </c>
      <c r="AY51" s="114">
        <f>SUM(AY11:AY50)</f>
        <v>50910</v>
      </c>
      <c r="AZ51" s="114">
        <f>SUM(AZ11:AZ50)</f>
        <v>70</v>
      </c>
      <c r="BA51" s="114">
        <f>SUM(BA11:BA50)</f>
        <v>13895</v>
      </c>
      <c r="BB51" s="114">
        <f>SUM(BB11:BB50)</f>
        <v>32291</v>
      </c>
      <c r="BC51" s="95">
        <f t="shared" si="7"/>
        <v>0.63427617363975641</v>
      </c>
      <c r="BD51" s="117">
        <f>SUM(BD11:BD50)</f>
        <v>241</v>
      </c>
      <c r="BE51" s="117">
        <f>SUM(BE11:BE50)</f>
        <v>14990</v>
      </c>
      <c r="BF51" s="117">
        <f>SUM(BF11:BF50)</f>
        <v>63</v>
      </c>
      <c r="BG51" s="117">
        <f>SUM(BG11:BG50)</f>
        <v>3217</v>
      </c>
      <c r="BH51" s="117">
        <f>SUM(BH11:BH50)</f>
        <v>4571</v>
      </c>
      <c r="BI51" s="95">
        <f t="shared" si="4"/>
        <v>0.3049366244162775</v>
      </c>
    </row>
    <row r="52" spans="1:61" ht="29" x14ac:dyDescent="0.35">
      <c r="AB52" s="96"/>
      <c r="AC52" s="96"/>
      <c r="AD52" s="96"/>
      <c r="AE52" s="96"/>
      <c r="AF52" s="97"/>
      <c r="AG52" s="97"/>
      <c r="AH52" s="97"/>
      <c r="AI52" s="60"/>
      <c r="AJ52" s="98"/>
      <c r="AK52" s="98"/>
    </row>
    <row r="54" spans="1:61" ht="29" x14ac:dyDescent="0.35">
      <c r="G54" s="230" t="s">
        <v>36</v>
      </c>
      <c r="H54" s="230"/>
      <c r="I54" s="230"/>
      <c r="J54" s="230"/>
      <c r="K54" s="230"/>
      <c r="L54" s="230"/>
      <c r="M54" s="230"/>
      <c r="N54" s="230"/>
      <c r="O54" s="230"/>
      <c r="P54" s="230"/>
      <c r="Q54" s="230"/>
      <c r="R54" s="230"/>
      <c r="S54" s="230"/>
      <c r="AB54" s="181" t="s">
        <v>44</v>
      </c>
      <c r="AC54" s="181"/>
      <c r="AD54" s="181"/>
      <c r="AE54" s="181"/>
      <c r="AF54" s="181"/>
      <c r="AG54" s="181"/>
      <c r="AH54" s="181"/>
      <c r="AI54" s="181"/>
      <c r="AJ54" s="181"/>
      <c r="AK54" s="181"/>
      <c r="AL54" s="181"/>
      <c r="AM54" s="181"/>
      <c r="AN54" s="181"/>
    </row>
    <row r="55" spans="1:61" x14ac:dyDescent="0.35">
      <c r="AX55" s="181" t="s">
        <v>44</v>
      </c>
      <c r="AY55" s="181"/>
      <c r="AZ55" s="181"/>
      <c r="BA55" s="181"/>
      <c r="BB55" s="181"/>
      <c r="BC55" s="181"/>
      <c r="BD55" s="181"/>
      <c r="BE55" s="181"/>
      <c r="BF55" s="181"/>
      <c r="BG55" s="181"/>
      <c r="BH55" s="181"/>
      <c r="BI55" s="181"/>
    </row>
    <row r="56" spans="1:61" x14ac:dyDescent="0.35">
      <c r="AG56" s="123"/>
      <c r="AH56" s="123"/>
      <c r="AI56" s="123"/>
    </row>
  </sheetData>
  <mergeCells count="57">
    <mergeCell ref="M9:N9"/>
    <mergeCell ref="T8:U9"/>
    <mergeCell ref="X8:Y9"/>
    <mergeCell ref="E8:J8"/>
    <mergeCell ref="K8:P8"/>
    <mergeCell ref="A6:Y6"/>
    <mergeCell ref="O9:P9"/>
    <mergeCell ref="A7:Y7"/>
    <mergeCell ref="K9:L9"/>
    <mergeCell ref="G54:S54"/>
    <mergeCell ref="V8:W9"/>
    <mergeCell ref="BI9:BI10"/>
    <mergeCell ref="Q8:R9"/>
    <mergeCell ref="S8:S10"/>
    <mergeCell ref="E9:F9"/>
    <mergeCell ref="G9:H9"/>
    <mergeCell ref="AI8:AI10"/>
    <mergeCell ref="AJ8:AJ10"/>
    <mergeCell ref="AM8:AM13"/>
    <mergeCell ref="AY6:BI6"/>
    <mergeCell ref="AF6:AN6"/>
    <mergeCell ref="AX8:BC8"/>
    <mergeCell ref="BD8:BI8"/>
    <mergeCell ref="AB8:AB10"/>
    <mergeCell ref="AC8:AC10"/>
    <mergeCell ref="AD8:AD10"/>
    <mergeCell ref="AW8:AW10"/>
    <mergeCell ref="AE8:AF9"/>
    <mergeCell ref="AG8:AH9"/>
    <mergeCell ref="A51:B51"/>
    <mergeCell ref="A8:A10"/>
    <mergeCell ref="B8:B10"/>
    <mergeCell ref="C8:C10"/>
    <mergeCell ref="D8:D10"/>
    <mergeCell ref="I9:J9"/>
    <mergeCell ref="AY9:AY10"/>
    <mergeCell ref="BD9:BD10"/>
    <mergeCell ref="BE9:BE10"/>
    <mergeCell ref="BA9:BA10"/>
    <mergeCell ref="BB9:BB10"/>
    <mergeCell ref="BC9:BC10"/>
    <mergeCell ref="AO14:AS14"/>
    <mergeCell ref="AN8:AN9"/>
    <mergeCell ref="AP8:AQ8"/>
    <mergeCell ref="AR8:AS8"/>
    <mergeCell ref="AT8:AT9"/>
    <mergeCell ref="AX9:AX10"/>
    <mergeCell ref="AX55:BI55"/>
    <mergeCell ref="AB54:AN54"/>
    <mergeCell ref="AK8:AK10"/>
    <mergeCell ref="AB51:AC51"/>
    <mergeCell ref="AO8:AO9"/>
    <mergeCell ref="AZ9:AZ10"/>
    <mergeCell ref="BF9:BF10"/>
    <mergeCell ref="BG9:BG10"/>
    <mergeCell ref="BH9:BH10"/>
    <mergeCell ref="AM14:AN14"/>
  </mergeCells>
  <pageMargins left="0.7" right="0.7" top="0.75" bottom="0.75" header="0.3" footer="0.3"/>
  <pageSetup paperSize="9" scale="27" orientation="landscape" r:id="rId1"/>
  <colBreaks count="2" manualBreakCount="2">
    <brk id="26" max="55" man="1"/>
    <brk id="47" max="5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32F76-3BDB-4C62-946B-FD6BDB7D8F09}">
  <dimension ref="A1:BJ56"/>
  <sheetViews>
    <sheetView rightToLeft="1" tabSelected="1" view="pageBreakPreview" topLeftCell="A3" zoomScale="35" zoomScaleNormal="29" zoomScaleSheetLayoutView="55" zoomScalePageLayoutView="40" workbookViewId="0">
      <selection activeCell="N12" sqref="N12"/>
    </sheetView>
  </sheetViews>
  <sheetFormatPr defaultColWidth="9.1796875" defaultRowHeight="41.25" customHeight="1" x14ac:dyDescent="0.35"/>
  <cols>
    <col min="1" max="1" width="11.26953125" style="173" customWidth="1"/>
    <col min="2" max="2" width="26" style="116" customWidth="1"/>
    <col min="3" max="4" width="18.7265625" style="173" customWidth="1"/>
    <col min="5" max="6" width="15.26953125" style="172" customWidth="1"/>
    <col min="7" max="7" width="18.453125" style="172" customWidth="1"/>
    <col min="8" max="8" width="16.81640625" style="172" customWidth="1"/>
    <col min="9" max="9" width="15.26953125" style="172" customWidth="1"/>
    <col min="10" max="10" width="15.54296875" style="172" customWidth="1"/>
    <col min="11" max="23" width="15.26953125" style="172" customWidth="1"/>
    <col min="24" max="25" width="12.54296875" style="172" customWidth="1"/>
    <col min="26" max="26" width="9.1796875" style="172"/>
    <col min="27" max="27" width="19.1796875" style="172" customWidth="1"/>
    <col min="28" max="28" width="15.26953125" style="172" customWidth="1"/>
    <col min="29" max="29" width="27.7265625" style="172" customWidth="1"/>
    <col min="30" max="30" width="15.26953125" style="172" customWidth="1"/>
    <col min="31" max="32" width="13.7265625" style="172" customWidth="1"/>
    <col min="33" max="33" width="14.1796875" style="172" customWidth="1"/>
    <col min="34" max="34" width="13" style="172" customWidth="1"/>
    <col min="35" max="35" width="18.26953125" style="172" customWidth="1"/>
    <col min="36" max="39" width="15" style="172" customWidth="1"/>
    <col min="40" max="40" width="21.26953125" style="172" customWidth="1"/>
    <col min="41" max="41" width="19.54296875" style="172" customWidth="1"/>
    <col min="42" max="42" width="18" style="172" customWidth="1"/>
    <col min="43" max="46" width="15" style="172" customWidth="1"/>
    <col min="47" max="47" width="14" style="173" customWidth="1"/>
    <col min="48" max="48" width="9.1796875" style="172"/>
    <col min="49" max="49" width="23" style="172" customWidth="1"/>
    <col min="50" max="50" width="22.26953125" style="172" customWidth="1"/>
    <col min="51" max="51" width="16.26953125" style="172" customWidth="1"/>
    <col min="52" max="52" width="13.453125" style="172" customWidth="1"/>
    <col min="53" max="53" width="14" style="172" customWidth="1"/>
    <col min="54" max="54" width="11.7265625" style="172" customWidth="1"/>
    <col min="55" max="55" width="14.26953125" style="172" customWidth="1"/>
    <col min="56" max="56" width="17.7265625" style="172" customWidth="1"/>
    <col min="57" max="57" width="22.453125" style="172" customWidth="1"/>
    <col min="58" max="58" width="17.7265625" style="172" customWidth="1"/>
    <col min="59" max="59" width="11.7265625" style="172" customWidth="1"/>
    <col min="60" max="60" width="16.81640625" style="172" customWidth="1"/>
    <col min="61" max="61" width="12.81640625" style="172" customWidth="1"/>
    <col min="62" max="62" width="15.26953125" style="172" customWidth="1"/>
    <col min="63" max="16384" width="9.1796875" style="172"/>
  </cols>
  <sheetData>
    <row r="1" spans="1:62" ht="41.25" customHeight="1" x14ac:dyDescent="0.35">
      <c r="A1" s="118" t="s">
        <v>0</v>
      </c>
      <c r="B1" s="129"/>
      <c r="C1" s="118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AA1" s="119"/>
      <c r="AB1" s="118" t="s">
        <v>0</v>
      </c>
      <c r="AC1" s="118"/>
      <c r="AD1" s="119"/>
      <c r="AE1" s="119"/>
      <c r="AF1" s="119"/>
      <c r="AW1" s="118" t="s">
        <v>0</v>
      </c>
      <c r="AX1" s="118"/>
      <c r="AY1" s="118"/>
      <c r="AZ1" s="119"/>
      <c r="BA1" s="119"/>
      <c r="BB1" s="119"/>
      <c r="BC1" s="119"/>
      <c r="BD1" s="119"/>
      <c r="BE1" s="122"/>
      <c r="BF1" s="119"/>
      <c r="BI1" s="119"/>
      <c r="BJ1" s="119"/>
    </row>
    <row r="2" spans="1:62" ht="41.25" customHeight="1" x14ac:dyDescent="0.35">
      <c r="A2" s="118" t="s">
        <v>21</v>
      </c>
      <c r="B2" s="129"/>
      <c r="C2" s="118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AA2" s="119"/>
      <c r="AB2" s="118" t="s">
        <v>21</v>
      </c>
      <c r="AC2" s="118"/>
      <c r="AD2" s="119"/>
      <c r="AE2" s="119"/>
      <c r="AF2" s="119"/>
      <c r="AW2" s="118" t="s">
        <v>21</v>
      </c>
      <c r="AX2" s="118"/>
      <c r="AY2" s="118"/>
      <c r="AZ2" s="119"/>
      <c r="BA2" s="119"/>
      <c r="BB2" s="119"/>
      <c r="BC2" s="119"/>
      <c r="BD2" s="119"/>
      <c r="BE2" s="122"/>
      <c r="BF2" s="119"/>
      <c r="BI2" s="119"/>
      <c r="BJ2" s="119"/>
    </row>
    <row r="3" spans="1:62" ht="41.25" customHeight="1" x14ac:dyDescent="0.35">
      <c r="A3" s="118" t="s">
        <v>22</v>
      </c>
      <c r="B3" s="129"/>
      <c r="C3" s="118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AA3" s="119"/>
      <c r="AB3" s="118" t="s">
        <v>22</v>
      </c>
      <c r="AC3" s="118"/>
      <c r="AD3" s="119"/>
      <c r="AE3" s="119"/>
      <c r="AF3" s="119"/>
      <c r="AW3" s="118" t="s">
        <v>22</v>
      </c>
      <c r="AX3" s="118"/>
      <c r="AY3" s="118"/>
      <c r="AZ3" s="119"/>
      <c r="BA3" s="119"/>
      <c r="BB3" s="119"/>
      <c r="BC3" s="119"/>
      <c r="BD3" s="119"/>
      <c r="BE3" s="122"/>
      <c r="BF3" s="119"/>
      <c r="BI3" s="119"/>
      <c r="BJ3" s="119"/>
    </row>
    <row r="4" spans="1:62" ht="41.25" customHeight="1" x14ac:dyDescent="0.35">
      <c r="A4" s="118" t="s">
        <v>23</v>
      </c>
      <c r="B4" s="129"/>
      <c r="C4" s="118"/>
      <c r="D4" s="119"/>
      <c r="E4" s="122"/>
      <c r="F4" s="122"/>
      <c r="G4" s="122"/>
      <c r="H4" s="122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19"/>
      <c r="AB4" s="118" t="s">
        <v>23</v>
      </c>
      <c r="AC4" s="118"/>
      <c r="AW4" s="118" t="s">
        <v>23</v>
      </c>
      <c r="AX4" s="118"/>
      <c r="AY4" s="118"/>
      <c r="AZ4" s="119"/>
      <c r="BA4" s="119"/>
      <c r="BB4" s="119"/>
      <c r="BC4" s="119"/>
      <c r="BD4" s="119"/>
      <c r="BE4" s="122"/>
      <c r="BF4" s="119"/>
    </row>
    <row r="5" spans="1:62" ht="41.25" customHeight="1" x14ac:dyDescent="0.35">
      <c r="A5" s="118" t="s">
        <v>1</v>
      </c>
      <c r="B5" s="129"/>
      <c r="C5" s="118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19"/>
      <c r="AB5" s="118" t="s">
        <v>1</v>
      </c>
      <c r="AC5" s="118"/>
      <c r="AW5" s="118" t="s">
        <v>1</v>
      </c>
      <c r="AX5" s="118"/>
      <c r="AY5" s="118"/>
      <c r="AZ5" s="119"/>
      <c r="BA5" s="119"/>
      <c r="BB5" s="119"/>
      <c r="BC5" s="119"/>
      <c r="BD5" s="119"/>
      <c r="BE5" s="122"/>
      <c r="BF5" s="119"/>
    </row>
    <row r="6" spans="1:62" ht="41.25" customHeight="1" x14ac:dyDescent="0.35">
      <c r="A6" s="309" t="s">
        <v>18</v>
      </c>
      <c r="B6" s="309"/>
      <c r="C6" s="309"/>
      <c r="D6" s="309"/>
      <c r="E6" s="309"/>
      <c r="F6" s="309"/>
      <c r="G6" s="309"/>
      <c r="H6" s="309"/>
      <c r="I6" s="309"/>
      <c r="J6" s="309"/>
      <c r="K6" s="309"/>
      <c r="L6" s="309"/>
      <c r="M6" s="309"/>
      <c r="N6" s="309"/>
      <c r="O6" s="309"/>
      <c r="P6" s="309"/>
      <c r="Q6" s="309"/>
      <c r="R6" s="309"/>
      <c r="S6" s="309"/>
      <c r="T6" s="309"/>
      <c r="U6" s="309"/>
      <c r="V6" s="309"/>
      <c r="W6" s="309"/>
      <c r="X6" s="309"/>
      <c r="Y6" s="309"/>
      <c r="AF6" s="309" t="s">
        <v>16</v>
      </c>
      <c r="AG6" s="309"/>
      <c r="AH6" s="309"/>
      <c r="AI6" s="309"/>
      <c r="AJ6" s="309"/>
      <c r="AK6" s="309"/>
      <c r="AL6" s="309"/>
      <c r="AM6" s="309"/>
      <c r="AN6" s="309"/>
      <c r="AO6" s="119"/>
      <c r="AP6" s="119"/>
      <c r="AQ6" s="119"/>
      <c r="AR6" s="119"/>
      <c r="AS6" s="119"/>
      <c r="AT6" s="119"/>
      <c r="AY6" s="309" t="s">
        <v>30</v>
      </c>
      <c r="AZ6" s="309"/>
      <c r="BA6" s="309"/>
      <c r="BB6" s="309"/>
      <c r="BC6" s="309"/>
      <c r="BD6" s="309"/>
      <c r="BE6" s="309"/>
      <c r="BF6" s="309"/>
      <c r="BG6" s="309"/>
      <c r="BH6" s="309"/>
      <c r="BI6" s="309"/>
    </row>
    <row r="7" spans="1:62" ht="41.25" customHeight="1" thickBot="1" x14ac:dyDescent="0.4">
      <c r="A7" s="310" t="s">
        <v>92</v>
      </c>
      <c r="B7" s="311"/>
      <c r="C7" s="311"/>
      <c r="D7" s="311"/>
      <c r="E7" s="310"/>
      <c r="F7" s="310"/>
      <c r="G7" s="310"/>
      <c r="H7" s="310"/>
      <c r="I7" s="310"/>
      <c r="J7" s="310"/>
      <c r="K7" s="310"/>
      <c r="L7" s="310"/>
      <c r="M7" s="310"/>
      <c r="N7" s="310"/>
      <c r="O7" s="310"/>
      <c r="P7" s="310"/>
      <c r="Q7" s="310"/>
      <c r="R7" s="310"/>
      <c r="S7" s="310"/>
      <c r="T7" s="311"/>
      <c r="U7" s="311"/>
      <c r="V7" s="311"/>
      <c r="W7" s="311"/>
      <c r="X7" s="311"/>
      <c r="Y7" s="311"/>
      <c r="AJ7" s="174" t="s">
        <v>31</v>
      </c>
      <c r="AK7" s="174"/>
      <c r="AL7" s="174"/>
      <c r="AN7" s="174"/>
      <c r="AO7" s="174"/>
      <c r="AP7" s="174"/>
      <c r="AQ7" s="174"/>
      <c r="AS7" s="174"/>
      <c r="AT7" s="174"/>
      <c r="BC7" s="174" t="s">
        <v>31</v>
      </c>
      <c r="BD7" s="174"/>
      <c r="BF7" s="174"/>
      <c r="BG7" s="174"/>
      <c r="BH7" s="174"/>
      <c r="BI7" s="174"/>
      <c r="BJ7" s="174"/>
    </row>
    <row r="8" spans="1:62" ht="41.25" customHeight="1" x14ac:dyDescent="0.35">
      <c r="A8" s="286" t="s">
        <v>24</v>
      </c>
      <c r="B8" s="206" t="s">
        <v>25</v>
      </c>
      <c r="C8" s="312" t="s">
        <v>11</v>
      </c>
      <c r="D8" s="312" t="s">
        <v>15</v>
      </c>
      <c r="E8" s="283" t="s">
        <v>5</v>
      </c>
      <c r="F8" s="283"/>
      <c r="G8" s="283"/>
      <c r="H8" s="283"/>
      <c r="I8" s="283"/>
      <c r="J8" s="283"/>
      <c r="K8" s="283" t="s">
        <v>7</v>
      </c>
      <c r="L8" s="283"/>
      <c r="M8" s="283"/>
      <c r="N8" s="283"/>
      <c r="O8" s="283"/>
      <c r="P8" s="283"/>
      <c r="Q8" s="296" t="s">
        <v>2</v>
      </c>
      <c r="R8" s="297"/>
      <c r="S8" s="300" t="s">
        <v>12</v>
      </c>
      <c r="T8" s="278" t="s">
        <v>8</v>
      </c>
      <c r="U8" s="278"/>
      <c r="V8" s="278" t="s">
        <v>9</v>
      </c>
      <c r="W8" s="278"/>
      <c r="X8" s="278" t="s">
        <v>20</v>
      </c>
      <c r="Y8" s="278"/>
      <c r="AB8" s="286" t="s">
        <v>24</v>
      </c>
      <c r="AC8" s="289" t="s">
        <v>28</v>
      </c>
      <c r="AD8" s="289" t="s">
        <v>14</v>
      </c>
      <c r="AE8" s="292" t="s">
        <v>45</v>
      </c>
      <c r="AF8" s="293"/>
      <c r="AG8" s="304" t="s">
        <v>10</v>
      </c>
      <c r="AH8" s="293"/>
      <c r="AI8" s="306" t="s">
        <v>46</v>
      </c>
      <c r="AJ8" s="264" t="s">
        <v>51</v>
      </c>
      <c r="AK8" s="264" t="s">
        <v>47</v>
      </c>
      <c r="AM8" s="276" t="s">
        <v>41</v>
      </c>
      <c r="AN8" s="272" t="s">
        <v>38</v>
      </c>
      <c r="AO8" s="272" t="s">
        <v>14</v>
      </c>
      <c r="AP8" s="272" t="s">
        <v>39</v>
      </c>
      <c r="AQ8" s="272"/>
      <c r="AR8" s="272" t="s">
        <v>50</v>
      </c>
      <c r="AS8" s="272"/>
      <c r="AT8" s="225" t="s">
        <v>40</v>
      </c>
      <c r="AU8" s="110"/>
      <c r="AW8" s="286" t="s">
        <v>28</v>
      </c>
      <c r="AX8" s="282" t="s">
        <v>48</v>
      </c>
      <c r="AY8" s="283"/>
      <c r="AZ8" s="283"/>
      <c r="BA8" s="283"/>
      <c r="BB8" s="283"/>
      <c r="BC8" s="284"/>
      <c r="BD8" s="285" t="s">
        <v>49</v>
      </c>
      <c r="BE8" s="283"/>
      <c r="BF8" s="283"/>
      <c r="BG8" s="283"/>
      <c r="BH8" s="283"/>
      <c r="BI8" s="284"/>
    </row>
    <row r="9" spans="1:62" ht="41.25" customHeight="1" x14ac:dyDescent="0.35">
      <c r="A9" s="287"/>
      <c r="B9" s="206"/>
      <c r="C9" s="312"/>
      <c r="D9" s="312"/>
      <c r="E9" s="279" t="s">
        <v>6</v>
      </c>
      <c r="F9" s="280"/>
      <c r="G9" s="281" t="s">
        <v>13</v>
      </c>
      <c r="H9" s="280"/>
      <c r="I9" s="278" t="s">
        <v>19</v>
      </c>
      <c r="J9" s="278"/>
      <c r="K9" s="279" t="s">
        <v>6</v>
      </c>
      <c r="L9" s="280"/>
      <c r="M9" s="281" t="s">
        <v>13</v>
      </c>
      <c r="N9" s="280"/>
      <c r="O9" s="278" t="s">
        <v>19</v>
      </c>
      <c r="P9" s="278"/>
      <c r="Q9" s="298"/>
      <c r="R9" s="299"/>
      <c r="S9" s="301"/>
      <c r="T9" s="278"/>
      <c r="U9" s="278"/>
      <c r="V9" s="278"/>
      <c r="W9" s="278"/>
      <c r="X9" s="278"/>
      <c r="Y9" s="278"/>
      <c r="AB9" s="287"/>
      <c r="AC9" s="290"/>
      <c r="AD9" s="290"/>
      <c r="AE9" s="294"/>
      <c r="AF9" s="295"/>
      <c r="AG9" s="305"/>
      <c r="AH9" s="295"/>
      <c r="AI9" s="307"/>
      <c r="AJ9" s="265"/>
      <c r="AK9" s="265"/>
      <c r="AM9" s="277"/>
      <c r="AN9" s="278"/>
      <c r="AO9" s="278"/>
      <c r="AP9" s="138" t="s">
        <v>3</v>
      </c>
      <c r="AQ9" s="138" t="s">
        <v>4</v>
      </c>
      <c r="AR9" s="109" t="s">
        <v>3</v>
      </c>
      <c r="AS9" s="109" t="s">
        <v>4</v>
      </c>
      <c r="AT9" s="226"/>
      <c r="AU9" s="110"/>
      <c r="AW9" s="287"/>
      <c r="AX9" s="244" t="s">
        <v>17</v>
      </c>
      <c r="AY9" s="244" t="s">
        <v>11</v>
      </c>
      <c r="AZ9" s="274" t="s">
        <v>32</v>
      </c>
      <c r="BA9" s="244" t="s">
        <v>37</v>
      </c>
      <c r="BB9" s="274" t="s">
        <v>34</v>
      </c>
      <c r="BC9" s="244" t="s">
        <v>12</v>
      </c>
      <c r="BD9" s="244" t="s">
        <v>33</v>
      </c>
      <c r="BE9" s="244" t="s">
        <v>11</v>
      </c>
      <c r="BF9" s="274" t="s">
        <v>35</v>
      </c>
      <c r="BG9" s="244" t="s">
        <v>37</v>
      </c>
      <c r="BH9" s="244" t="s">
        <v>34</v>
      </c>
      <c r="BI9" s="244" t="s">
        <v>12</v>
      </c>
    </row>
    <row r="10" spans="1:62" ht="41.25" customHeight="1" thickBot="1" x14ac:dyDescent="0.4">
      <c r="A10" s="303"/>
      <c r="B10" s="206"/>
      <c r="C10" s="312"/>
      <c r="D10" s="312"/>
      <c r="E10" s="139" t="s">
        <v>3</v>
      </c>
      <c r="F10" s="138" t="s">
        <v>4</v>
      </c>
      <c r="G10" s="139" t="s">
        <v>3</v>
      </c>
      <c r="H10" s="138" t="s">
        <v>4</v>
      </c>
      <c r="I10" s="138" t="s">
        <v>3</v>
      </c>
      <c r="J10" s="138" t="s">
        <v>4</v>
      </c>
      <c r="K10" s="139" t="s">
        <v>3</v>
      </c>
      <c r="L10" s="138" t="s">
        <v>4</v>
      </c>
      <c r="M10" s="139" t="s">
        <v>3</v>
      </c>
      <c r="N10" s="138" t="s">
        <v>4</v>
      </c>
      <c r="O10" s="138" t="s">
        <v>3</v>
      </c>
      <c r="P10" s="138" t="s">
        <v>4</v>
      </c>
      <c r="Q10" s="142" t="s">
        <v>3</v>
      </c>
      <c r="R10" s="142" t="s">
        <v>4</v>
      </c>
      <c r="S10" s="302"/>
      <c r="T10" s="138" t="s">
        <v>3</v>
      </c>
      <c r="U10" s="138" t="s">
        <v>4</v>
      </c>
      <c r="V10" s="138" t="s">
        <v>3</v>
      </c>
      <c r="W10" s="138" t="s">
        <v>4</v>
      </c>
      <c r="X10" s="138" t="s">
        <v>3</v>
      </c>
      <c r="Y10" s="138" t="s">
        <v>4</v>
      </c>
      <c r="AB10" s="288"/>
      <c r="AC10" s="291"/>
      <c r="AD10" s="291"/>
      <c r="AE10" s="143" t="s">
        <v>3</v>
      </c>
      <c r="AF10" s="144" t="s">
        <v>4</v>
      </c>
      <c r="AG10" s="143" t="s">
        <v>3</v>
      </c>
      <c r="AH10" s="144" t="s">
        <v>4</v>
      </c>
      <c r="AI10" s="308"/>
      <c r="AJ10" s="266"/>
      <c r="AK10" s="266"/>
      <c r="AM10" s="277"/>
      <c r="AN10" s="145" t="str">
        <f>'2'!AN10</f>
        <v>0124W120</v>
      </c>
      <c r="AO10" s="145">
        <f>'2'!AT10</f>
        <v>73</v>
      </c>
      <c r="AP10" s="145">
        <v>0</v>
      </c>
      <c r="AQ10" s="146">
        <f>AP10+'2'!AQ10</f>
        <v>73</v>
      </c>
      <c r="AR10" s="146">
        <v>25</v>
      </c>
      <c r="AS10" s="146">
        <f>AR10+'2'!AS10</f>
        <v>25</v>
      </c>
      <c r="AT10" s="147">
        <f>AO10+AP10-AR10</f>
        <v>48</v>
      </c>
      <c r="AU10" s="171"/>
      <c r="AW10" s="303"/>
      <c r="AX10" s="234"/>
      <c r="AY10" s="234"/>
      <c r="AZ10" s="275"/>
      <c r="BA10" s="234"/>
      <c r="BB10" s="275"/>
      <c r="BC10" s="234"/>
      <c r="BD10" s="234"/>
      <c r="BE10" s="234"/>
      <c r="BF10" s="275"/>
      <c r="BG10" s="234"/>
      <c r="BH10" s="234"/>
      <c r="BI10" s="234"/>
    </row>
    <row r="11" spans="1:62" ht="41.25" customHeight="1" x14ac:dyDescent="0.35">
      <c r="A11" s="148">
        <v>1</v>
      </c>
      <c r="B11" s="127" t="str">
        <f>'2'!B11</f>
        <v>مكتب الصحة</v>
      </c>
      <c r="C11" s="137">
        <f>'2'!C11</f>
        <v>12251</v>
      </c>
      <c r="D11" s="137">
        <v>13</v>
      </c>
      <c r="E11" s="138">
        <v>16</v>
      </c>
      <c r="F11" s="139">
        <f>E11+'2'!F11</f>
        <v>39</v>
      </c>
      <c r="G11" s="139">
        <v>887</v>
      </c>
      <c r="H11" s="139">
        <f>G11+'2'!H11</f>
        <v>1961</v>
      </c>
      <c r="I11" s="139">
        <v>1605</v>
      </c>
      <c r="J11" s="139">
        <f>I11+'2'!J11</f>
        <v>5340</v>
      </c>
      <c r="K11" s="139">
        <v>0</v>
      </c>
      <c r="L11" s="139">
        <f>K11+'2'!L11</f>
        <v>0</v>
      </c>
      <c r="M11" s="139">
        <v>0</v>
      </c>
      <c r="N11" s="139">
        <f>M11+'2'!N11</f>
        <v>0</v>
      </c>
      <c r="O11" s="139">
        <v>0</v>
      </c>
      <c r="P11" s="139">
        <f>O11+'2'!P11</f>
        <v>0</v>
      </c>
      <c r="Q11" s="142">
        <f>O11+M11+K11+I11+G11+E11</f>
        <v>2508</v>
      </c>
      <c r="R11" s="142">
        <f>Q11+'2'!R11</f>
        <v>7340</v>
      </c>
      <c r="S11" s="170">
        <f>R11/C11</f>
        <v>0.5991347645090197</v>
      </c>
      <c r="T11" s="138">
        <v>463</v>
      </c>
      <c r="U11" s="138">
        <f>T11+'2'!U11</f>
        <v>1397</v>
      </c>
      <c r="V11" s="138">
        <v>4</v>
      </c>
      <c r="W11" s="138">
        <f>V11+'2'!W11</f>
        <v>4</v>
      </c>
      <c r="X11" s="138">
        <v>1</v>
      </c>
      <c r="Y11" s="138">
        <f>X11+'2'!Y11</f>
        <v>1</v>
      </c>
      <c r="AB11" s="141">
        <v>1</v>
      </c>
      <c r="AC11" s="176" t="str">
        <f>'2'!AC11</f>
        <v>مكتب الصحة</v>
      </c>
      <c r="AD11" s="149">
        <f>'2'!AI11</f>
        <v>584</v>
      </c>
      <c r="AE11" s="140">
        <v>6</v>
      </c>
      <c r="AF11" s="149">
        <f>AE11+'2'!AF11</f>
        <v>1082</v>
      </c>
      <c r="AG11" s="142">
        <v>257</v>
      </c>
      <c r="AH11" s="149">
        <f>AG11+'2'!AH11</f>
        <v>749</v>
      </c>
      <c r="AI11" s="142">
        <f>AD11+AE11-AG11</f>
        <v>333</v>
      </c>
      <c r="AJ11" s="150">
        <f t="shared" ref="AJ11:AJ51" si="0">Q11/AG11</f>
        <v>9.7587548638132304</v>
      </c>
      <c r="AK11" s="151">
        <f t="shared" ref="AK11:AK51" si="1">R11/AH11</f>
        <v>9.799732977303071</v>
      </c>
      <c r="AM11" s="277"/>
      <c r="AN11" s="145" t="str">
        <f>'2'!AN11</f>
        <v>420604325A</v>
      </c>
      <c r="AO11" s="145">
        <f>'2'!AT11</f>
        <v>4499</v>
      </c>
      <c r="AP11" s="160"/>
      <c r="AQ11" s="146">
        <f>AP11+'2'!AQ11</f>
        <v>8550</v>
      </c>
      <c r="AR11" s="160">
        <v>1423</v>
      </c>
      <c r="AS11" s="146">
        <f>AR11+'2'!AS11</f>
        <v>5474</v>
      </c>
      <c r="AT11" s="147">
        <f>AO11+AP11-AR11</f>
        <v>3076</v>
      </c>
      <c r="AU11" s="171"/>
      <c r="AW11" s="176" t="str">
        <f>'2'!AW11</f>
        <v>مكتب الصحة</v>
      </c>
      <c r="AX11" s="138">
        <f>'2'!AX11</f>
        <v>11</v>
      </c>
      <c r="AY11" s="138">
        <f>'2'!AY11</f>
        <v>8411</v>
      </c>
      <c r="AZ11" s="138">
        <v>11</v>
      </c>
      <c r="BA11" s="138">
        <v>1822</v>
      </c>
      <c r="BB11" s="138">
        <f>BA11+'2'!BB11</f>
        <v>5998</v>
      </c>
      <c r="BC11" s="152">
        <f t="shared" ref="BC11:BC51" si="2">BB11/AY11</f>
        <v>0.71311377957436695</v>
      </c>
      <c r="BD11" s="138">
        <f>'2'!BD11</f>
        <v>27</v>
      </c>
      <c r="BE11" s="138">
        <f>'2'!BE11</f>
        <v>1746</v>
      </c>
      <c r="BF11" s="138">
        <v>13</v>
      </c>
      <c r="BG11" s="138">
        <v>346</v>
      </c>
      <c r="BH11" s="138">
        <f>BG11+'2'!BH11</f>
        <v>477</v>
      </c>
      <c r="BI11" s="152">
        <f t="shared" ref="BI11:BI51" si="3">BH11/BE11</f>
        <v>0.27319587628865977</v>
      </c>
    </row>
    <row r="12" spans="1:62" ht="41.25" customHeight="1" x14ac:dyDescent="0.35">
      <c r="A12" s="148">
        <v>2</v>
      </c>
      <c r="B12" s="127" t="str">
        <f>'2'!B12</f>
        <v>شبرابخـــــــــــوم</v>
      </c>
      <c r="C12" s="137">
        <f>'2'!C12</f>
        <v>4445</v>
      </c>
      <c r="D12" s="137">
        <v>4</v>
      </c>
      <c r="E12" s="138">
        <v>10</v>
      </c>
      <c r="F12" s="139">
        <f>E12+'2'!F12</f>
        <v>14</v>
      </c>
      <c r="G12" s="139">
        <v>265</v>
      </c>
      <c r="H12" s="139">
        <f>G12+'2'!H12</f>
        <v>392</v>
      </c>
      <c r="I12" s="139">
        <v>537</v>
      </c>
      <c r="J12" s="139">
        <f>I12+'2'!J12</f>
        <v>1857</v>
      </c>
      <c r="K12" s="139">
        <v>0</v>
      </c>
      <c r="L12" s="139">
        <f>K12+'2'!L12</f>
        <v>0</v>
      </c>
      <c r="M12" s="139">
        <v>0</v>
      </c>
      <c r="N12" s="139">
        <f>M12+'2'!N12</f>
        <v>0</v>
      </c>
      <c r="O12" s="139">
        <v>0</v>
      </c>
      <c r="P12" s="139">
        <f>O12+'2'!P12</f>
        <v>0</v>
      </c>
      <c r="Q12" s="142">
        <f t="shared" ref="Q12:Q50" si="4">O12+M12+K12+I12+G12+E12</f>
        <v>812</v>
      </c>
      <c r="R12" s="142">
        <f>Q12+'2'!R12</f>
        <v>2263</v>
      </c>
      <c r="S12" s="170">
        <f t="shared" ref="S12:S50" si="5">R12/C12</f>
        <v>0.50911136107986499</v>
      </c>
      <c r="T12" s="138">
        <v>131</v>
      </c>
      <c r="U12" s="138">
        <f>T12+'2'!U12</f>
        <v>373</v>
      </c>
      <c r="V12" s="138">
        <v>11</v>
      </c>
      <c r="W12" s="138">
        <f>V12+'2'!W12</f>
        <v>15</v>
      </c>
      <c r="X12" s="138">
        <v>0</v>
      </c>
      <c r="Y12" s="138">
        <f>X12+'2'!Y12</f>
        <v>0</v>
      </c>
      <c r="AB12" s="148">
        <v>2</v>
      </c>
      <c r="AC12" s="176" t="str">
        <f>'2'!AC12</f>
        <v>شبرابخـــــــــــوم</v>
      </c>
      <c r="AD12" s="149">
        <f>'2'!AI12</f>
        <v>242</v>
      </c>
      <c r="AE12" s="140">
        <v>0</v>
      </c>
      <c r="AF12" s="149">
        <f>AE12+'2'!AF12</f>
        <v>390</v>
      </c>
      <c r="AG12" s="142">
        <v>84</v>
      </c>
      <c r="AH12" s="149">
        <f>AG12+'2'!AH12</f>
        <v>232</v>
      </c>
      <c r="AI12" s="142">
        <f>AD12+AE12-AG12</f>
        <v>158</v>
      </c>
      <c r="AJ12" s="150">
        <f t="shared" si="0"/>
        <v>9.6666666666666661</v>
      </c>
      <c r="AK12" s="151">
        <f t="shared" si="1"/>
        <v>9.7543103448275854</v>
      </c>
      <c r="AM12" s="277"/>
      <c r="AN12" s="145" t="str">
        <f>'2'!AN12</f>
        <v>420604225A</v>
      </c>
      <c r="AO12" s="145">
        <f>'2'!AT12</f>
        <v>100</v>
      </c>
      <c r="AP12" s="160"/>
      <c r="AQ12" s="146">
        <f>AP12+'2'!AQ12</f>
        <v>100</v>
      </c>
      <c r="AR12" s="160"/>
      <c r="AS12" s="146">
        <f>AR12+'2'!AS12</f>
        <v>0</v>
      </c>
      <c r="AT12" s="147">
        <f>AO12+AP12-AR12</f>
        <v>100</v>
      </c>
      <c r="AU12" s="171"/>
      <c r="AW12" s="176" t="str">
        <f>'2'!AW12</f>
        <v>شبرابخـــــــــــوم</v>
      </c>
      <c r="AX12" s="138">
        <f>'2'!AX12</f>
        <v>6</v>
      </c>
      <c r="AY12" s="138">
        <f>'2'!AY12</f>
        <v>2215</v>
      </c>
      <c r="AZ12" s="138">
        <v>6</v>
      </c>
      <c r="BA12" s="138">
        <v>855</v>
      </c>
      <c r="BB12" s="138">
        <f>BA12+'2'!BB12</f>
        <v>2306</v>
      </c>
      <c r="BC12" s="152">
        <f t="shared" si="2"/>
        <v>1.0410835214446952</v>
      </c>
      <c r="BD12" s="138">
        <f>'2'!BD12</f>
        <v>16</v>
      </c>
      <c r="BE12" s="138">
        <f>'2'!BE12</f>
        <v>729</v>
      </c>
      <c r="BF12" s="138">
        <v>4</v>
      </c>
      <c r="BG12" s="138">
        <v>224</v>
      </c>
      <c r="BH12" s="138">
        <f>BG12+'2'!BH12</f>
        <v>224</v>
      </c>
      <c r="BI12" s="152">
        <f t="shared" si="3"/>
        <v>0.30727023319615915</v>
      </c>
    </row>
    <row r="13" spans="1:62" ht="41.25" customHeight="1" x14ac:dyDescent="0.35">
      <c r="A13" s="148">
        <v>3</v>
      </c>
      <c r="B13" s="127" t="str">
        <f>'2'!B13</f>
        <v>ميت بره</v>
      </c>
      <c r="C13" s="137">
        <f>'2'!C13</f>
        <v>11614</v>
      </c>
      <c r="D13" s="137">
        <v>8</v>
      </c>
      <c r="E13" s="138">
        <v>27</v>
      </c>
      <c r="F13" s="139">
        <f>E13+'2'!F13</f>
        <v>45</v>
      </c>
      <c r="G13" s="139">
        <v>306</v>
      </c>
      <c r="H13" s="139">
        <f>G13+'2'!H13</f>
        <v>465</v>
      </c>
      <c r="I13" s="139">
        <v>732</v>
      </c>
      <c r="J13" s="139">
        <f>I13+'2'!J13</f>
        <v>3703</v>
      </c>
      <c r="K13" s="139">
        <v>0</v>
      </c>
      <c r="L13" s="139">
        <f>K13+'2'!L13</f>
        <v>0</v>
      </c>
      <c r="M13" s="139">
        <v>0</v>
      </c>
      <c r="N13" s="139">
        <f>M13+'2'!N13</f>
        <v>0</v>
      </c>
      <c r="O13" s="139">
        <v>0</v>
      </c>
      <c r="P13" s="139">
        <f>O13+'2'!P13</f>
        <v>0</v>
      </c>
      <c r="Q13" s="142">
        <f t="shared" si="4"/>
        <v>1065</v>
      </c>
      <c r="R13" s="142">
        <f>Q13+'2'!R13</f>
        <v>4213</v>
      </c>
      <c r="S13" s="170">
        <f t="shared" si="5"/>
        <v>0.36275185121405201</v>
      </c>
      <c r="T13" s="138">
        <v>221</v>
      </c>
      <c r="U13" s="138">
        <f>T13+'2'!U13</f>
        <v>641</v>
      </c>
      <c r="V13" s="138">
        <v>0</v>
      </c>
      <c r="W13" s="138">
        <f>V13+'2'!W13</f>
        <v>0</v>
      </c>
      <c r="X13" s="138">
        <v>0</v>
      </c>
      <c r="Y13" s="138">
        <f>X13+'2'!Y13</f>
        <v>0</v>
      </c>
      <c r="AB13" s="148">
        <v>3</v>
      </c>
      <c r="AC13" s="176" t="str">
        <f>'2'!AC13</f>
        <v>ميت بره</v>
      </c>
      <c r="AD13" s="149">
        <f>'2'!AI13</f>
        <v>701</v>
      </c>
      <c r="AE13" s="140">
        <v>0</v>
      </c>
      <c r="AF13" s="149">
        <f>AE13+'2'!AF13</f>
        <v>1020</v>
      </c>
      <c r="AG13" s="142">
        <v>117</v>
      </c>
      <c r="AH13" s="149">
        <f>AG13+'2'!AH13</f>
        <v>436</v>
      </c>
      <c r="AI13" s="142">
        <f t="shared" ref="AI13:AI50" si="6">AD13+AE13-AG13</f>
        <v>584</v>
      </c>
      <c r="AJ13" s="150">
        <f t="shared" si="0"/>
        <v>9.1025641025641022</v>
      </c>
      <c r="AK13" s="151">
        <f t="shared" si="1"/>
        <v>9.6628440366972477</v>
      </c>
      <c r="AM13" s="277"/>
      <c r="AN13" s="153" t="s">
        <v>43</v>
      </c>
      <c r="AO13" s="154">
        <f t="shared" ref="AO13:AT13" si="7">SUM(AO10:AO12)</f>
        <v>4672</v>
      </c>
      <c r="AP13" s="154">
        <f t="shared" si="7"/>
        <v>0</v>
      </c>
      <c r="AQ13" s="154">
        <f t="shared" si="7"/>
        <v>8723</v>
      </c>
      <c r="AR13" s="154">
        <f t="shared" si="7"/>
        <v>1448</v>
      </c>
      <c r="AS13" s="154">
        <f t="shared" si="7"/>
        <v>5499</v>
      </c>
      <c r="AT13" s="155">
        <f t="shared" si="7"/>
        <v>3224</v>
      </c>
      <c r="AU13" s="171"/>
      <c r="AW13" s="176" t="str">
        <f>'2'!AW13</f>
        <v>ميت بره</v>
      </c>
      <c r="AX13" s="138">
        <f>'2'!AX13</f>
        <v>8</v>
      </c>
      <c r="AY13" s="138">
        <f>'2'!AY13</f>
        <v>4849</v>
      </c>
      <c r="AZ13" s="138">
        <v>2</v>
      </c>
      <c r="BA13" s="138">
        <v>1165</v>
      </c>
      <c r="BB13" s="138">
        <f>BA13+'2'!BB13</f>
        <v>4093</v>
      </c>
      <c r="BC13" s="152">
        <f t="shared" si="2"/>
        <v>0.84409156527118989</v>
      </c>
      <c r="BD13" s="138">
        <f>'2'!BD13</f>
        <v>21</v>
      </c>
      <c r="BE13" s="138">
        <f>'2'!BE13</f>
        <v>1129</v>
      </c>
      <c r="BF13" s="138">
        <v>1</v>
      </c>
      <c r="BG13" s="138">
        <v>128</v>
      </c>
      <c r="BH13" s="138">
        <f>BG13+'2'!BH13</f>
        <v>128</v>
      </c>
      <c r="BI13" s="152">
        <f t="shared" si="3"/>
        <v>0.11337466784765279</v>
      </c>
    </row>
    <row r="14" spans="1:62" ht="41.25" customHeight="1" thickBot="1" x14ac:dyDescent="0.4">
      <c r="A14" s="148">
        <v>4</v>
      </c>
      <c r="B14" s="127" t="str">
        <f>'2'!B14</f>
        <v>أبنــــــــــــــــهس</v>
      </c>
      <c r="C14" s="137">
        <f>'2'!C14</f>
        <v>5029</v>
      </c>
      <c r="D14" s="137">
        <v>4</v>
      </c>
      <c r="E14" s="138">
        <v>8</v>
      </c>
      <c r="F14" s="139">
        <f>E14+'2'!F14</f>
        <v>14</v>
      </c>
      <c r="G14" s="139">
        <v>310</v>
      </c>
      <c r="H14" s="139">
        <f>G14+'2'!H14</f>
        <v>349</v>
      </c>
      <c r="I14" s="139">
        <v>359</v>
      </c>
      <c r="J14" s="139">
        <f>I14+'2'!J14</f>
        <v>2016</v>
      </c>
      <c r="K14" s="139">
        <v>0</v>
      </c>
      <c r="L14" s="139">
        <f>K14+'2'!L14</f>
        <v>0</v>
      </c>
      <c r="M14" s="139">
        <v>0</v>
      </c>
      <c r="N14" s="139">
        <f>M14+'2'!N14</f>
        <v>0</v>
      </c>
      <c r="O14" s="139">
        <v>0</v>
      </c>
      <c r="P14" s="139">
        <f>O14+'2'!P14</f>
        <v>0</v>
      </c>
      <c r="Q14" s="142">
        <f t="shared" si="4"/>
        <v>677</v>
      </c>
      <c r="R14" s="142">
        <f>Q14+'2'!R14</f>
        <v>2379</v>
      </c>
      <c r="S14" s="170">
        <f t="shared" si="5"/>
        <v>0.47305627361304436</v>
      </c>
      <c r="T14" s="138">
        <v>153</v>
      </c>
      <c r="U14" s="138">
        <f>T14+'2'!U14</f>
        <v>341</v>
      </c>
      <c r="V14" s="138">
        <v>10</v>
      </c>
      <c r="W14" s="138">
        <f>V14+'2'!W14</f>
        <v>29</v>
      </c>
      <c r="X14" s="138">
        <v>0</v>
      </c>
      <c r="Y14" s="138">
        <f>X14+'2'!Y14</f>
        <v>0</v>
      </c>
      <c r="AB14" s="148">
        <v>4</v>
      </c>
      <c r="AC14" s="176" t="str">
        <f>'2'!AC14</f>
        <v>أبنــــــــــــــــهس</v>
      </c>
      <c r="AD14" s="149">
        <f>'2'!AI14</f>
        <v>266</v>
      </c>
      <c r="AE14" s="140">
        <v>0</v>
      </c>
      <c r="AF14" s="149">
        <f>AE14+'2'!AF14</f>
        <v>440</v>
      </c>
      <c r="AG14" s="142">
        <v>70</v>
      </c>
      <c r="AH14" s="149">
        <f>AG14+'2'!AH14</f>
        <v>244</v>
      </c>
      <c r="AI14" s="142">
        <f t="shared" si="6"/>
        <v>196</v>
      </c>
      <c r="AJ14" s="150">
        <f t="shared" si="0"/>
        <v>9.6714285714285708</v>
      </c>
      <c r="AK14" s="151">
        <f t="shared" si="1"/>
        <v>9.75</v>
      </c>
      <c r="AM14" s="267" t="s">
        <v>42</v>
      </c>
      <c r="AN14" s="268"/>
      <c r="AO14" s="269"/>
      <c r="AP14" s="270"/>
      <c r="AQ14" s="270"/>
      <c r="AR14" s="270"/>
      <c r="AS14" s="271"/>
      <c r="AT14" s="156">
        <f>AT13+AI51</f>
        <v>6357</v>
      </c>
      <c r="AU14" s="171"/>
      <c r="AW14" s="176" t="str">
        <f>'2'!AW14</f>
        <v>أبنــــــــــــــــهس</v>
      </c>
      <c r="AX14" s="138">
        <f>'2'!AX14</f>
        <v>7</v>
      </c>
      <c r="AY14" s="138">
        <f>'2'!AY14</f>
        <v>2531</v>
      </c>
      <c r="AZ14" s="138">
        <v>7</v>
      </c>
      <c r="BA14" s="138">
        <v>390</v>
      </c>
      <c r="BB14" s="138">
        <f>BA14+'2'!BB14</f>
        <v>2092</v>
      </c>
      <c r="BC14" s="152">
        <f t="shared" si="2"/>
        <v>0.82655077044646386</v>
      </c>
      <c r="BD14" s="138">
        <f>'2'!BD14</f>
        <v>23</v>
      </c>
      <c r="BE14" s="138">
        <f>'2'!BE14</f>
        <v>921</v>
      </c>
      <c r="BF14" s="138">
        <v>7</v>
      </c>
      <c r="BG14" s="138">
        <v>287</v>
      </c>
      <c r="BH14" s="138">
        <f>BG14+'2'!BH14</f>
        <v>287</v>
      </c>
      <c r="BI14" s="152">
        <f t="shared" si="3"/>
        <v>0.31161780673181327</v>
      </c>
    </row>
    <row r="15" spans="1:62" ht="41.25" customHeight="1" x14ac:dyDescent="0.35">
      <c r="A15" s="148">
        <v>5</v>
      </c>
      <c r="B15" s="127" t="str">
        <f>'2'!B15</f>
        <v>ميت ســـــــــراج</v>
      </c>
      <c r="C15" s="137">
        <f>'2'!C15</f>
        <v>2369</v>
      </c>
      <c r="D15" s="137">
        <v>3</v>
      </c>
      <c r="E15" s="138">
        <v>1</v>
      </c>
      <c r="F15" s="139">
        <f>E15+'2'!F15</f>
        <v>4</v>
      </c>
      <c r="G15" s="139">
        <v>264</v>
      </c>
      <c r="H15" s="139">
        <f>G15+'2'!H15</f>
        <v>472</v>
      </c>
      <c r="I15" s="139">
        <v>23</v>
      </c>
      <c r="J15" s="139">
        <f>I15+'2'!J15</f>
        <v>839</v>
      </c>
      <c r="K15" s="139">
        <v>0</v>
      </c>
      <c r="L15" s="139">
        <f>K15+'2'!L15</f>
        <v>0</v>
      </c>
      <c r="M15" s="139">
        <v>0</v>
      </c>
      <c r="N15" s="139">
        <f>M15+'2'!N15</f>
        <v>0</v>
      </c>
      <c r="O15" s="139">
        <v>0</v>
      </c>
      <c r="P15" s="139">
        <f>O15+'2'!P15</f>
        <v>0</v>
      </c>
      <c r="Q15" s="142">
        <f t="shared" si="4"/>
        <v>288</v>
      </c>
      <c r="R15" s="142">
        <f>Q15+'2'!R15</f>
        <v>1315</v>
      </c>
      <c r="S15" s="170">
        <f t="shared" si="5"/>
        <v>0.55508653440270161</v>
      </c>
      <c r="T15" s="138">
        <v>12</v>
      </c>
      <c r="U15" s="138">
        <f>T15+'2'!U15</f>
        <v>105</v>
      </c>
      <c r="V15" s="138">
        <v>19</v>
      </c>
      <c r="W15" s="138">
        <f>V15+'2'!W15</f>
        <v>37</v>
      </c>
      <c r="X15" s="138">
        <v>0</v>
      </c>
      <c r="Y15" s="138">
        <f>X15+'2'!Y15</f>
        <v>0</v>
      </c>
      <c r="AB15" s="148">
        <v>5</v>
      </c>
      <c r="AC15" s="176" t="str">
        <f>'2'!AC15</f>
        <v>ميت ســـــــــراج</v>
      </c>
      <c r="AD15" s="149">
        <f>'2'!AI15</f>
        <v>104</v>
      </c>
      <c r="AE15" s="140">
        <v>0</v>
      </c>
      <c r="AF15" s="149">
        <f>AE15+'2'!AF15</f>
        <v>209</v>
      </c>
      <c r="AG15" s="142">
        <v>30</v>
      </c>
      <c r="AH15" s="149">
        <f>AG15+'2'!AH15</f>
        <v>135</v>
      </c>
      <c r="AI15" s="142">
        <f t="shared" si="6"/>
        <v>74</v>
      </c>
      <c r="AJ15" s="150">
        <f t="shared" si="0"/>
        <v>9.6</v>
      </c>
      <c r="AK15" s="151">
        <f t="shared" si="1"/>
        <v>9.7407407407407405</v>
      </c>
      <c r="AW15" s="176" t="str">
        <f>'2'!AW15</f>
        <v>ميت ســـــــــراج</v>
      </c>
      <c r="AX15" s="138">
        <f>'2'!AX15</f>
        <v>2</v>
      </c>
      <c r="AY15" s="138">
        <f>'2'!AY15</f>
        <v>1041</v>
      </c>
      <c r="AZ15" s="138">
        <v>2</v>
      </c>
      <c r="BA15" s="138">
        <v>18</v>
      </c>
      <c r="BB15" s="138">
        <f>BA15+'2'!BB15</f>
        <v>874</v>
      </c>
      <c r="BC15" s="152">
        <f t="shared" si="2"/>
        <v>0.83957732949087416</v>
      </c>
      <c r="BD15" s="138">
        <f>'2'!BD15</f>
        <v>5</v>
      </c>
      <c r="BE15" s="138">
        <f>'2'!BE15</f>
        <v>310</v>
      </c>
      <c r="BF15" s="138">
        <v>4</v>
      </c>
      <c r="BG15" s="138">
        <v>244</v>
      </c>
      <c r="BH15" s="138">
        <f>BG15+'2'!BH15</f>
        <v>385</v>
      </c>
      <c r="BI15" s="152">
        <f t="shared" si="3"/>
        <v>1.2419354838709677</v>
      </c>
    </row>
    <row r="16" spans="1:62" ht="41.25" customHeight="1" x14ac:dyDescent="0.35">
      <c r="A16" s="148">
        <v>6</v>
      </c>
      <c r="B16" s="127" t="str">
        <f>'2'!B16</f>
        <v>أم خــــــــــــــنان</v>
      </c>
      <c r="C16" s="137">
        <f>'2'!C16</f>
        <v>4900</v>
      </c>
      <c r="D16" s="137">
        <v>4</v>
      </c>
      <c r="E16" s="138">
        <v>3</v>
      </c>
      <c r="F16" s="139">
        <f>E16+'2'!F16</f>
        <v>11</v>
      </c>
      <c r="G16" s="139">
        <v>67</v>
      </c>
      <c r="H16" s="139">
        <f>G16+'2'!H16</f>
        <v>280</v>
      </c>
      <c r="I16" s="139">
        <v>624</v>
      </c>
      <c r="J16" s="139">
        <f>I16+'2'!J16</f>
        <v>1942</v>
      </c>
      <c r="K16" s="139">
        <v>0</v>
      </c>
      <c r="L16" s="139">
        <f>K16+'2'!L16</f>
        <v>0</v>
      </c>
      <c r="M16" s="139">
        <v>0</v>
      </c>
      <c r="N16" s="139">
        <f>M16+'2'!N16</f>
        <v>0</v>
      </c>
      <c r="O16" s="139">
        <v>0</v>
      </c>
      <c r="P16" s="139">
        <f>O16+'2'!P16</f>
        <v>0</v>
      </c>
      <c r="Q16" s="142">
        <f t="shared" si="4"/>
        <v>694</v>
      </c>
      <c r="R16" s="142">
        <f>Q16+'2'!R16</f>
        <v>2233</v>
      </c>
      <c r="S16" s="170">
        <f t="shared" si="5"/>
        <v>0.45571428571428574</v>
      </c>
      <c r="T16" s="138">
        <v>117</v>
      </c>
      <c r="U16" s="138">
        <f>T16+'2'!U16</f>
        <v>375</v>
      </c>
      <c r="V16" s="138">
        <v>0</v>
      </c>
      <c r="W16" s="138">
        <f>V16+'2'!W16</f>
        <v>0</v>
      </c>
      <c r="X16" s="138">
        <v>0</v>
      </c>
      <c r="Y16" s="138">
        <f>X16+'2'!Y16</f>
        <v>0</v>
      </c>
      <c r="AB16" s="148">
        <v>6</v>
      </c>
      <c r="AC16" s="176" t="str">
        <f>'2'!AC16</f>
        <v>أم خــــــــــــــنان</v>
      </c>
      <c r="AD16" s="149">
        <f>'2'!AI16</f>
        <v>274</v>
      </c>
      <c r="AE16" s="140">
        <v>0</v>
      </c>
      <c r="AF16" s="149">
        <f>AE16+'2'!AF16</f>
        <v>430</v>
      </c>
      <c r="AG16" s="142">
        <v>70</v>
      </c>
      <c r="AH16" s="149">
        <f>AG16+'2'!AH16</f>
        <v>226</v>
      </c>
      <c r="AI16" s="142">
        <f t="shared" si="6"/>
        <v>204</v>
      </c>
      <c r="AJ16" s="150">
        <f t="shared" si="0"/>
        <v>9.9142857142857146</v>
      </c>
      <c r="AK16" s="151">
        <f t="shared" si="1"/>
        <v>9.8805309734513269</v>
      </c>
      <c r="AW16" s="176" t="str">
        <f>'2'!AW16</f>
        <v>أم خــــــــــــــنان</v>
      </c>
      <c r="AX16" s="138">
        <f>'2'!AX16</f>
        <v>8</v>
      </c>
      <c r="AY16" s="138">
        <f>'2'!AY16</f>
        <v>2981</v>
      </c>
      <c r="AZ16" s="138">
        <v>6</v>
      </c>
      <c r="BA16" s="138">
        <v>664</v>
      </c>
      <c r="BB16" s="138">
        <f>BA16+'2'!BB16</f>
        <v>2132</v>
      </c>
      <c r="BC16" s="152">
        <f t="shared" si="2"/>
        <v>0.71519624287151962</v>
      </c>
      <c r="BD16" s="138">
        <f>'2'!BD16</f>
        <v>12</v>
      </c>
      <c r="BE16" s="138">
        <f>'2'!BE16</f>
        <v>1313</v>
      </c>
      <c r="BF16" s="138">
        <v>0</v>
      </c>
      <c r="BG16" s="138">
        <v>0</v>
      </c>
      <c r="BH16" s="138">
        <f>BG16+'2'!BH16</f>
        <v>0</v>
      </c>
      <c r="BI16" s="152">
        <f t="shared" si="3"/>
        <v>0</v>
      </c>
    </row>
    <row r="17" spans="1:61" ht="41.25" customHeight="1" x14ac:dyDescent="0.35">
      <c r="A17" s="148">
        <v>7</v>
      </c>
      <c r="B17" s="127" t="str">
        <f>'2'!B17</f>
        <v>أجهور الرمل</v>
      </c>
      <c r="C17" s="137">
        <f>'2'!C17</f>
        <v>3590</v>
      </c>
      <c r="D17" s="137">
        <v>3</v>
      </c>
      <c r="E17" s="138">
        <v>8</v>
      </c>
      <c r="F17" s="139">
        <f>E17+'2'!F17</f>
        <v>17</v>
      </c>
      <c r="G17" s="177">
        <v>77</v>
      </c>
      <c r="H17" s="177">
        <f>G17+'2'!H17</f>
        <v>591</v>
      </c>
      <c r="I17" s="139">
        <v>488</v>
      </c>
      <c r="J17" s="139">
        <f>I17+'2'!J17</f>
        <v>1489</v>
      </c>
      <c r="K17" s="139">
        <v>0</v>
      </c>
      <c r="L17" s="139">
        <f>K17+'2'!L17</f>
        <v>0</v>
      </c>
      <c r="M17" s="139">
        <v>0</v>
      </c>
      <c r="N17" s="139">
        <f>M17+'2'!N17</f>
        <v>0</v>
      </c>
      <c r="O17" s="139">
        <v>0</v>
      </c>
      <c r="P17" s="139">
        <f>O17+'2'!P17</f>
        <v>0</v>
      </c>
      <c r="Q17" s="142">
        <f t="shared" si="4"/>
        <v>573</v>
      </c>
      <c r="R17" s="142">
        <f>Q17+'2'!R17</f>
        <v>2097</v>
      </c>
      <c r="S17" s="170">
        <f t="shared" si="5"/>
        <v>0.58412256267409468</v>
      </c>
      <c r="T17" s="138">
        <v>0</v>
      </c>
      <c r="U17" s="138">
        <f>T17+'2'!U17</f>
        <v>360</v>
      </c>
      <c r="V17" s="138">
        <v>70</v>
      </c>
      <c r="W17" s="138">
        <f>V17+'2'!W17</f>
        <v>121</v>
      </c>
      <c r="X17" s="138">
        <v>0</v>
      </c>
      <c r="Y17" s="138">
        <f>X17+'2'!Y17</f>
        <v>0</v>
      </c>
      <c r="AB17" s="148">
        <v>7</v>
      </c>
      <c r="AC17" s="176" t="str">
        <f>'2'!AC17</f>
        <v>أجهور الرمل</v>
      </c>
      <c r="AD17" s="149">
        <f>'2'!AI17</f>
        <v>160</v>
      </c>
      <c r="AE17" s="140">
        <v>0</v>
      </c>
      <c r="AF17" s="149">
        <f>AE17+'2'!AF17</f>
        <v>316</v>
      </c>
      <c r="AG17" s="142">
        <v>60</v>
      </c>
      <c r="AH17" s="149">
        <f>AG17+'2'!AH17</f>
        <v>216</v>
      </c>
      <c r="AI17" s="142">
        <f t="shared" si="6"/>
        <v>100</v>
      </c>
      <c r="AJ17" s="150">
        <f t="shared" si="0"/>
        <v>9.5500000000000007</v>
      </c>
      <c r="AK17" s="151">
        <f t="shared" si="1"/>
        <v>9.7083333333333339</v>
      </c>
      <c r="AW17" s="176" t="str">
        <f>'2'!AW17</f>
        <v>أجهور الرمل</v>
      </c>
      <c r="AX17" s="138">
        <f>'2'!AX17</f>
        <v>4</v>
      </c>
      <c r="AY17" s="138">
        <f>'2'!AY17</f>
        <v>1796</v>
      </c>
      <c r="AZ17" s="138">
        <v>4</v>
      </c>
      <c r="BA17" s="138">
        <v>459</v>
      </c>
      <c r="BB17" s="138">
        <f>BA17+'2'!BB17</f>
        <v>1422</v>
      </c>
      <c r="BC17" s="152">
        <f t="shared" si="2"/>
        <v>0.79175946547884191</v>
      </c>
      <c r="BD17" s="138">
        <f>'2'!BD17</f>
        <v>3</v>
      </c>
      <c r="BE17" s="138">
        <f>'2'!BE17</f>
        <v>100</v>
      </c>
      <c r="BF17" s="138">
        <v>0</v>
      </c>
      <c r="BG17" s="138">
        <v>0</v>
      </c>
      <c r="BH17" s="138">
        <f>BG17+'2'!BH17</f>
        <v>441</v>
      </c>
      <c r="BI17" s="152">
        <f t="shared" si="3"/>
        <v>4.41</v>
      </c>
    </row>
    <row r="18" spans="1:61" ht="41.25" customHeight="1" x14ac:dyDescent="0.35">
      <c r="A18" s="148">
        <v>8</v>
      </c>
      <c r="B18" s="127" t="str">
        <f>'2'!B18</f>
        <v>منشأة دمــــــــــلو</v>
      </c>
      <c r="C18" s="137">
        <f>'2'!C18</f>
        <v>1320</v>
      </c>
      <c r="D18" s="137">
        <v>2</v>
      </c>
      <c r="E18" s="138">
        <v>5</v>
      </c>
      <c r="F18" s="139">
        <f>E18+'2'!F18</f>
        <v>18</v>
      </c>
      <c r="G18" s="139">
        <v>187</v>
      </c>
      <c r="H18" s="139">
        <f>G18+'2'!H18</f>
        <v>528</v>
      </c>
      <c r="I18" s="139">
        <v>22</v>
      </c>
      <c r="J18" s="139">
        <f>I18+'2'!J18</f>
        <v>704</v>
      </c>
      <c r="K18" s="139">
        <v>0</v>
      </c>
      <c r="L18" s="139">
        <f>K18+'2'!L18</f>
        <v>0</v>
      </c>
      <c r="M18" s="139">
        <v>0</v>
      </c>
      <c r="N18" s="139">
        <f>M18+'2'!N18</f>
        <v>0</v>
      </c>
      <c r="O18" s="139">
        <v>0</v>
      </c>
      <c r="P18" s="139">
        <f>O18+'2'!P18</f>
        <v>0</v>
      </c>
      <c r="Q18" s="142">
        <f t="shared" si="4"/>
        <v>214</v>
      </c>
      <c r="R18" s="142">
        <f>Q18+'2'!R18</f>
        <v>1250</v>
      </c>
      <c r="S18" s="170">
        <f t="shared" si="5"/>
        <v>0.94696969696969702</v>
      </c>
      <c r="T18" s="138">
        <v>24</v>
      </c>
      <c r="U18" s="138">
        <f>T18+'2'!U18</f>
        <v>175</v>
      </c>
      <c r="V18" s="138">
        <v>23</v>
      </c>
      <c r="W18" s="138">
        <f>V18+'2'!W18</f>
        <v>38</v>
      </c>
      <c r="X18" s="138">
        <v>0</v>
      </c>
      <c r="Y18" s="138">
        <f>X18+'2'!Y18</f>
        <v>0</v>
      </c>
      <c r="AB18" s="148">
        <v>8</v>
      </c>
      <c r="AC18" s="176" t="str">
        <f>'2'!AC18</f>
        <v>منشأة دمــــــــــلو</v>
      </c>
      <c r="AD18" s="149">
        <f>'2'!AI18</f>
        <v>6</v>
      </c>
      <c r="AE18" s="140">
        <v>20</v>
      </c>
      <c r="AF18" s="149">
        <f>AE18+'2'!AF18</f>
        <v>135</v>
      </c>
      <c r="AG18" s="142">
        <v>22</v>
      </c>
      <c r="AH18" s="149">
        <f>AG18+'2'!AH18</f>
        <v>131</v>
      </c>
      <c r="AI18" s="142">
        <f t="shared" si="6"/>
        <v>4</v>
      </c>
      <c r="AJ18" s="150">
        <f t="shared" si="0"/>
        <v>9.7272727272727266</v>
      </c>
      <c r="AK18" s="151">
        <f t="shared" si="1"/>
        <v>9.5419847328244281</v>
      </c>
      <c r="AW18" s="176" t="str">
        <f>'2'!AW18</f>
        <v>منشأة دمــــــــــلو</v>
      </c>
      <c r="AX18" s="138">
        <f>'2'!AX18</f>
        <v>2</v>
      </c>
      <c r="AY18" s="138">
        <f>'2'!AY18</f>
        <v>896</v>
      </c>
      <c r="AZ18" s="138">
        <v>2</v>
      </c>
      <c r="BA18" s="138">
        <v>0</v>
      </c>
      <c r="BB18" s="138">
        <f>BA18+'2'!BB18</f>
        <v>748</v>
      </c>
      <c r="BC18" s="152">
        <f t="shared" si="2"/>
        <v>0.8348214285714286</v>
      </c>
      <c r="BD18" s="138">
        <f>'2'!BD18</f>
        <v>8</v>
      </c>
      <c r="BE18" s="138">
        <f>'2'!BE18</f>
        <v>340</v>
      </c>
      <c r="BF18" s="138">
        <v>6</v>
      </c>
      <c r="BG18" s="138">
        <v>140</v>
      </c>
      <c r="BH18" s="138">
        <f>BG18+'2'!BH18</f>
        <v>328</v>
      </c>
      <c r="BI18" s="152">
        <f t="shared" si="3"/>
        <v>0.96470588235294119</v>
      </c>
    </row>
    <row r="19" spans="1:61" ht="41.25" customHeight="1" x14ac:dyDescent="0.35">
      <c r="A19" s="148">
        <v>9</v>
      </c>
      <c r="B19" s="127" t="str">
        <f>'2'!B19</f>
        <v>شـــــــــــــرانيس</v>
      </c>
      <c r="C19" s="137">
        <f>'2'!C19</f>
        <v>1414</v>
      </c>
      <c r="D19" s="137">
        <v>2</v>
      </c>
      <c r="E19" s="138">
        <v>0</v>
      </c>
      <c r="F19" s="139">
        <f>E19+'2'!F19</f>
        <v>11</v>
      </c>
      <c r="G19" s="139">
        <v>247</v>
      </c>
      <c r="H19" s="139">
        <f>G19+'2'!H19</f>
        <v>359</v>
      </c>
      <c r="I19" s="139">
        <v>61</v>
      </c>
      <c r="J19" s="139">
        <f>I19+'2'!J19</f>
        <v>618</v>
      </c>
      <c r="K19" s="139">
        <v>0</v>
      </c>
      <c r="L19" s="139">
        <f>K19+'2'!L19</f>
        <v>0</v>
      </c>
      <c r="M19" s="139">
        <v>0</v>
      </c>
      <c r="N19" s="139">
        <f>M19+'2'!N19</f>
        <v>0</v>
      </c>
      <c r="O19" s="139">
        <v>0</v>
      </c>
      <c r="P19" s="139">
        <f>O19+'2'!P19</f>
        <v>0</v>
      </c>
      <c r="Q19" s="142">
        <f t="shared" si="4"/>
        <v>308</v>
      </c>
      <c r="R19" s="142">
        <f>Q19+'2'!R19</f>
        <v>988</v>
      </c>
      <c r="S19" s="170">
        <f t="shared" si="5"/>
        <v>0.69872701555869876</v>
      </c>
      <c r="T19" s="138">
        <v>42</v>
      </c>
      <c r="U19" s="138">
        <f>T19+'2'!U19</f>
        <v>143</v>
      </c>
      <c r="V19" s="138">
        <v>0</v>
      </c>
      <c r="W19" s="138">
        <f>V19+'2'!W19</f>
        <v>0</v>
      </c>
      <c r="X19" s="138">
        <v>0</v>
      </c>
      <c r="Y19" s="138">
        <f>X19+'2'!Y19</f>
        <v>0</v>
      </c>
      <c r="AB19" s="148">
        <v>9</v>
      </c>
      <c r="AC19" s="176" t="str">
        <f>'2'!AC19</f>
        <v>شـــــــــــــرانيس</v>
      </c>
      <c r="AD19" s="149">
        <f>'2'!AI19</f>
        <v>54</v>
      </c>
      <c r="AE19" s="140">
        <v>0</v>
      </c>
      <c r="AF19" s="149">
        <f>AE19+'2'!AF19</f>
        <v>125</v>
      </c>
      <c r="AG19" s="142">
        <v>32</v>
      </c>
      <c r="AH19" s="149">
        <f>AG19+'2'!AH19</f>
        <v>103</v>
      </c>
      <c r="AI19" s="142">
        <f t="shared" si="6"/>
        <v>22</v>
      </c>
      <c r="AJ19" s="150">
        <f t="shared" si="0"/>
        <v>9.625</v>
      </c>
      <c r="AK19" s="151">
        <f t="shared" si="1"/>
        <v>9.5922330097087372</v>
      </c>
      <c r="AW19" s="176" t="str">
        <f>'2'!AW19</f>
        <v>شـــــــــــــرانيس</v>
      </c>
      <c r="AX19" s="138">
        <f>'2'!AX19</f>
        <v>2</v>
      </c>
      <c r="AY19" s="138">
        <f>'2'!AY19</f>
        <v>675</v>
      </c>
      <c r="AZ19" s="138">
        <v>2</v>
      </c>
      <c r="BA19" s="138">
        <v>0</v>
      </c>
      <c r="BB19" s="138">
        <f>BA19+'2'!BB19</f>
        <v>569</v>
      </c>
      <c r="BC19" s="152">
        <f t="shared" si="2"/>
        <v>0.84296296296296291</v>
      </c>
      <c r="BD19" s="138">
        <f>'2'!BD19</f>
        <v>2</v>
      </c>
      <c r="BE19" s="138">
        <f>'2'!BE19</f>
        <v>397</v>
      </c>
      <c r="BF19" s="138">
        <v>2</v>
      </c>
      <c r="BG19" s="138">
        <v>286</v>
      </c>
      <c r="BH19" s="138">
        <f>BG19+'2'!BH19</f>
        <v>349</v>
      </c>
      <c r="BI19" s="152">
        <f t="shared" si="3"/>
        <v>0.87909319899244331</v>
      </c>
    </row>
    <row r="20" spans="1:61" ht="41.25" customHeight="1" x14ac:dyDescent="0.35">
      <c r="A20" s="148">
        <v>10</v>
      </c>
      <c r="B20" s="127" t="str">
        <f>'2'!B20</f>
        <v>قويســـــــــنا البلد</v>
      </c>
      <c r="C20" s="137">
        <f>'2'!C20</f>
        <v>4115</v>
      </c>
      <c r="D20" s="137">
        <v>3</v>
      </c>
      <c r="E20" s="138">
        <v>6</v>
      </c>
      <c r="F20" s="139">
        <f>E20+'2'!F20</f>
        <v>27</v>
      </c>
      <c r="G20" s="139">
        <v>231</v>
      </c>
      <c r="H20" s="139">
        <f>G20+'2'!H20</f>
        <v>406</v>
      </c>
      <c r="I20" s="139">
        <v>239</v>
      </c>
      <c r="J20" s="139">
        <f>I20+'2'!J20</f>
        <v>1286</v>
      </c>
      <c r="K20" s="139">
        <v>0</v>
      </c>
      <c r="L20" s="139">
        <f>K20+'2'!L20</f>
        <v>0</v>
      </c>
      <c r="M20" s="139">
        <v>0</v>
      </c>
      <c r="N20" s="139">
        <f>M20+'2'!N20</f>
        <v>0</v>
      </c>
      <c r="O20" s="139">
        <v>0</v>
      </c>
      <c r="P20" s="139">
        <f>O20+'2'!P20</f>
        <v>0</v>
      </c>
      <c r="Q20" s="142">
        <f t="shared" si="4"/>
        <v>476</v>
      </c>
      <c r="R20" s="142">
        <f>Q20+'2'!R20</f>
        <v>1719</v>
      </c>
      <c r="S20" s="170">
        <f t="shared" si="5"/>
        <v>0.41773997569866345</v>
      </c>
      <c r="T20" s="138">
        <v>86</v>
      </c>
      <c r="U20" s="138">
        <f>T20+'2'!U20</f>
        <v>405</v>
      </c>
      <c r="V20" s="138">
        <v>73</v>
      </c>
      <c r="W20" s="138">
        <f>V20+'2'!W20</f>
        <v>144</v>
      </c>
      <c r="X20" s="138">
        <v>0</v>
      </c>
      <c r="Y20" s="138">
        <f>X20+'2'!Y20</f>
        <v>0</v>
      </c>
      <c r="AB20" s="148">
        <v>10</v>
      </c>
      <c r="AC20" s="176" t="str">
        <f>'2'!AC20</f>
        <v>قويســـــــــنا البلد</v>
      </c>
      <c r="AD20" s="149">
        <f>'2'!AI20</f>
        <v>235</v>
      </c>
      <c r="AE20" s="140">
        <v>0</v>
      </c>
      <c r="AF20" s="149">
        <f>AE20+'2'!AF20</f>
        <v>360</v>
      </c>
      <c r="AG20" s="142">
        <v>50</v>
      </c>
      <c r="AH20" s="149">
        <f>AG20+'2'!AH20</f>
        <v>175</v>
      </c>
      <c r="AI20" s="142">
        <f t="shared" si="6"/>
        <v>185</v>
      </c>
      <c r="AJ20" s="150">
        <f t="shared" si="0"/>
        <v>9.52</v>
      </c>
      <c r="AK20" s="151">
        <f t="shared" si="1"/>
        <v>9.8228571428571421</v>
      </c>
      <c r="AW20" s="176" t="str">
        <f>'2'!AW20</f>
        <v>قويســـــــــنا البلد</v>
      </c>
      <c r="AX20" s="138">
        <f>'2'!AX20</f>
        <v>2</v>
      </c>
      <c r="AY20" s="138">
        <f>'2'!AY20</f>
        <v>1539</v>
      </c>
      <c r="AZ20" s="138">
        <v>2</v>
      </c>
      <c r="BA20" s="138">
        <v>222</v>
      </c>
      <c r="BB20" s="138">
        <f>BA20+'2'!BB20</f>
        <v>1355</v>
      </c>
      <c r="BC20" s="152">
        <f t="shared" si="2"/>
        <v>0.88044184535412606</v>
      </c>
      <c r="BD20" s="138">
        <f>'2'!BD20</f>
        <v>7</v>
      </c>
      <c r="BE20" s="138">
        <f>'2'!BE20</f>
        <v>580</v>
      </c>
      <c r="BF20" s="138">
        <v>4</v>
      </c>
      <c r="BG20" s="138">
        <v>204</v>
      </c>
      <c r="BH20" s="138">
        <f>BG20+'2'!BH20</f>
        <v>204</v>
      </c>
      <c r="BI20" s="152">
        <f t="shared" si="3"/>
        <v>0.35172413793103446</v>
      </c>
    </row>
    <row r="21" spans="1:61" ht="41.25" customHeight="1" x14ac:dyDescent="0.35">
      <c r="A21" s="148">
        <v>11</v>
      </c>
      <c r="B21" s="127" t="str">
        <f>'2'!B21</f>
        <v>بجيرم</v>
      </c>
      <c r="C21" s="137">
        <f>'2'!C21</f>
        <v>1782</v>
      </c>
      <c r="D21" s="137">
        <v>3</v>
      </c>
      <c r="E21" s="138">
        <v>0</v>
      </c>
      <c r="F21" s="139">
        <f>E21+'2'!F21</f>
        <v>8</v>
      </c>
      <c r="G21" s="139">
        <v>96</v>
      </c>
      <c r="H21" s="139">
        <f>G21+'2'!H21</f>
        <v>406</v>
      </c>
      <c r="I21" s="139">
        <v>69</v>
      </c>
      <c r="J21" s="139">
        <f>I21+'2'!J21</f>
        <v>755</v>
      </c>
      <c r="K21" s="139">
        <v>0</v>
      </c>
      <c r="L21" s="139">
        <f>K21+'2'!L21</f>
        <v>0</v>
      </c>
      <c r="M21" s="139">
        <v>0</v>
      </c>
      <c r="N21" s="139">
        <f>M21+'2'!N21</f>
        <v>0</v>
      </c>
      <c r="O21" s="139">
        <v>0</v>
      </c>
      <c r="P21" s="139">
        <f>O21+'2'!P21</f>
        <v>0</v>
      </c>
      <c r="Q21" s="142">
        <f t="shared" si="4"/>
        <v>165</v>
      </c>
      <c r="R21" s="142">
        <f>Q21+'2'!R21</f>
        <v>1169</v>
      </c>
      <c r="S21" s="170">
        <f t="shared" si="5"/>
        <v>0.65600448933782263</v>
      </c>
      <c r="T21" s="138">
        <v>0</v>
      </c>
      <c r="U21" s="138">
        <f>T21+'2'!U21</f>
        <v>126</v>
      </c>
      <c r="V21" s="138">
        <v>25</v>
      </c>
      <c r="W21" s="138">
        <f>V21+'2'!W21</f>
        <v>44</v>
      </c>
      <c r="X21" s="138">
        <v>0</v>
      </c>
      <c r="Y21" s="138">
        <f>X21+'2'!Y21</f>
        <v>0</v>
      </c>
      <c r="AB21" s="148">
        <v>11</v>
      </c>
      <c r="AC21" s="176" t="str">
        <f>'2'!AC21</f>
        <v>بجيرم</v>
      </c>
      <c r="AD21" s="149">
        <f>'2'!AI21</f>
        <v>54</v>
      </c>
      <c r="AE21" s="140">
        <v>0</v>
      </c>
      <c r="AF21" s="149">
        <f>AE21+'2'!AF21</f>
        <v>157</v>
      </c>
      <c r="AG21" s="142">
        <v>17</v>
      </c>
      <c r="AH21" s="149">
        <f>AG21+'2'!AH21</f>
        <v>120</v>
      </c>
      <c r="AI21" s="142">
        <f t="shared" si="6"/>
        <v>37</v>
      </c>
      <c r="AJ21" s="150">
        <f t="shared" si="0"/>
        <v>9.7058823529411757</v>
      </c>
      <c r="AK21" s="151">
        <f t="shared" si="1"/>
        <v>9.7416666666666671</v>
      </c>
      <c r="AW21" s="176" t="str">
        <f>'2'!AW21</f>
        <v>بجيرم</v>
      </c>
      <c r="AX21" s="138">
        <f>'2'!AX21</f>
        <v>4</v>
      </c>
      <c r="AY21" s="138">
        <f>'2'!AY21</f>
        <v>946</v>
      </c>
      <c r="AZ21" s="138">
        <v>4</v>
      </c>
      <c r="BA21" s="138">
        <v>189</v>
      </c>
      <c r="BB21" s="138">
        <f>BA21+'2'!BB21</f>
        <v>823</v>
      </c>
      <c r="BC21" s="152">
        <f t="shared" si="2"/>
        <v>0.86997885835095135</v>
      </c>
      <c r="BD21" s="138">
        <f>'2'!BD21</f>
        <v>4</v>
      </c>
      <c r="BE21" s="138">
        <f>'2'!BE21</f>
        <v>99</v>
      </c>
      <c r="BF21" s="138">
        <v>4</v>
      </c>
      <c r="BG21" s="138">
        <v>30</v>
      </c>
      <c r="BH21" s="138">
        <f>BG21+'2'!BH21</f>
        <v>99</v>
      </c>
      <c r="BI21" s="152">
        <f t="shared" si="3"/>
        <v>1</v>
      </c>
    </row>
    <row r="22" spans="1:61" ht="41.25" customHeight="1" x14ac:dyDescent="0.35">
      <c r="A22" s="148">
        <v>12</v>
      </c>
      <c r="B22" s="127" t="str">
        <f>'2'!B22</f>
        <v>كفر بنى غريـــان</v>
      </c>
      <c r="C22" s="137">
        <f>'2'!C22</f>
        <v>2184</v>
      </c>
      <c r="D22" s="137">
        <v>3</v>
      </c>
      <c r="E22" s="138">
        <v>3</v>
      </c>
      <c r="F22" s="139">
        <f>E22+'2'!F22</f>
        <v>12</v>
      </c>
      <c r="G22" s="139">
        <v>170</v>
      </c>
      <c r="H22" s="139">
        <f>G22+'2'!H22</f>
        <v>471</v>
      </c>
      <c r="I22" s="139">
        <v>152</v>
      </c>
      <c r="J22" s="139">
        <f>I22+'2'!J22</f>
        <v>971</v>
      </c>
      <c r="K22" s="139">
        <v>0</v>
      </c>
      <c r="L22" s="139">
        <f>K22+'2'!L22</f>
        <v>0</v>
      </c>
      <c r="M22" s="139">
        <v>0</v>
      </c>
      <c r="N22" s="139">
        <f>M22+'2'!N22</f>
        <v>0</v>
      </c>
      <c r="O22" s="139">
        <v>0</v>
      </c>
      <c r="P22" s="139">
        <f>O22+'2'!P22</f>
        <v>0</v>
      </c>
      <c r="Q22" s="142">
        <f t="shared" si="4"/>
        <v>325</v>
      </c>
      <c r="R22" s="142">
        <f>Q22+'2'!R22</f>
        <v>1454</v>
      </c>
      <c r="S22" s="170">
        <f t="shared" si="5"/>
        <v>0.66575091575091572</v>
      </c>
      <c r="T22" s="138">
        <v>66</v>
      </c>
      <c r="U22" s="138">
        <f>T22+'2'!U22</f>
        <v>174</v>
      </c>
      <c r="V22" s="138">
        <v>7</v>
      </c>
      <c r="W22" s="138">
        <f>V22+'2'!W22</f>
        <v>7</v>
      </c>
      <c r="X22" s="138">
        <v>0</v>
      </c>
      <c r="Y22" s="138">
        <f>X22+'2'!Y22</f>
        <v>0</v>
      </c>
      <c r="AB22" s="148">
        <v>12</v>
      </c>
      <c r="AC22" s="176" t="str">
        <f>'2'!AC22</f>
        <v>كفر بنى غريـــان</v>
      </c>
      <c r="AD22" s="149">
        <f>'2'!AI22</f>
        <v>75</v>
      </c>
      <c r="AE22" s="140">
        <v>0</v>
      </c>
      <c r="AF22" s="149">
        <f>AE22+'2'!AF22</f>
        <v>192</v>
      </c>
      <c r="AG22" s="142">
        <v>33</v>
      </c>
      <c r="AH22" s="149">
        <f>AG22+'2'!AH22</f>
        <v>150</v>
      </c>
      <c r="AI22" s="142">
        <f t="shared" si="6"/>
        <v>42</v>
      </c>
      <c r="AJ22" s="150">
        <f t="shared" si="0"/>
        <v>9.8484848484848477</v>
      </c>
      <c r="AK22" s="151">
        <f t="shared" si="1"/>
        <v>9.6933333333333334</v>
      </c>
      <c r="AW22" s="176" t="str">
        <f>'2'!AW22</f>
        <v>كفر بنى غريـــان</v>
      </c>
      <c r="AX22" s="138">
        <f>'2'!AX22</f>
        <v>3</v>
      </c>
      <c r="AY22" s="138">
        <f>'2'!AY22</f>
        <v>1327</v>
      </c>
      <c r="AZ22" s="138">
        <v>3</v>
      </c>
      <c r="BA22" s="138">
        <v>65</v>
      </c>
      <c r="BB22" s="138">
        <f>BA22+'2'!BB22</f>
        <v>994</v>
      </c>
      <c r="BC22" s="152">
        <f t="shared" si="2"/>
        <v>0.74905802562170309</v>
      </c>
      <c r="BD22" s="138">
        <f>'2'!BD22</f>
        <v>9</v>
      </c>
      <c r="BE22" s="138">
        <f>'2'!BE22</f>
        <v>381</v>
      </c>
      <c r="BF22" s="138">
        <v>7</v>
      </c>
      <c r="BG22" s="138">
        <v>158</v>
      </c>
      <c r="BH22" s="138">
        <f>BG22+'2'!BH22</f>
        <v>387</v>
      </c>
      <c r="BI22" s="152">
        <f t="shared" si="3"/>
        <v>1.015748031496063</v>
      </c>
    </row>
    <row r="23" spans="1:61" ht="41" customHeight="1" x14ac:dyDescent="0.35">
      <c r="A23" s="148">
        <v>13</v>
      </c>
      <c r="B23" s="127" t="str">
        <f>'2'!B23</f>
        <v>بــقســـــــــــــــــا</v>
      </c>
      <c r="C23" s="137">
        <f>'2'!C23</f>
        <v>862</v>
      </c>
      <c r="D23" s="137">
        <v>2</v>
      </c>
      <c r="E23" s="138">
        <v>1</v>
      </c>
      <c r="F23" s="139">
        <f>E23+'2'!F23</f>
        <v>8</v>
      </c>
      <c r="G23" s="139">
        <v>44</v>
      </c>
      <c r="H23" s="139">
        <f>G23+'2'!H23</f>
        <v>160</v>
      </c>
      <c r="I23" s="139">
        <v>15</v>
      </c>
      <c r="J23" s="139">
        <f>I23+'2'!J23</f>
        <v>359</v>
      </c>
      <c r="K23" s="139">
        <v>0</v>
      </c>
      <c r="L23" s="139">
        <f>K23+'2'!L23</f>
        <v>0</v>
      </c>
      <c r="M23" s="139">
        <v>0</v>
      </c>
      <c r="N23" s="139">
        <f>M23+'2'!N23</f>
        <v>0</v>
      </c>
      <c r="O23" s="139">
        <v>0</v>
      </c>
      <c r="P23" s="139">
        <f>O23+'2'!P23</f>
        <v>0</v>
      </c>
      <c r="Q23" s="142">
        <f t="shared" si="4"/>
        <v>60</v>
      </c>
      <c r="R23" s="142">
        <f>Q23+'2'!R23</f>
        <v>527</v>
      </c>
      <c r="S23" s="170">
        <f t="shared" si="5"/>
        <v>0.61136890951276102</v>
      </c>
      <c r="T23" s="138">
        <v>0</v>
      </c>
      <c r="U23" s="138">
        <f>T23+'2'!U23</f>
        <v>36</v>
      </c>
      <c r="V23" s="138">
        <v>0</v>
      </c>
      <c r="W23" s="138">
        <f>V23+'2'!W23</f>
        <v>14</v>
      </c>
      <c r="X23" s="138">
        <v>0</v>
      </c>
      <c r="Y23" s="138">
        <f>X23+'2'!Y23</f>
        <v>0</v>
      </c>
      <c r="AB23" s="148">
        <v>13</v>
      </c>
      <c r="AC23" s="176" t="str">
        <f>'2'!AC23</f>
        <v>بــقســـــــــــــــــا</v>
      </c>
      <c r="AD23" s="149">
        <f>'2'!AI23</f>
        <v>28</v>
      </c>
      <c r="AE23" s="140">
        <v>0</v>
      </c>
      <c r="AF23" s="149">
        <f>AE23+'2'!AF23</f>
        <v>75</v>
      </c>
      <c r="AG23" s="142">
        <v>6</v>
      </c>
      <c r="AH23" s="149">
        <f>AG23+'2'!AH23</f>
        <v>53</v>
      </c>
      <c r="AI23" s="142">
        <f t="shared" si="6"/>
        <v>22</v>
      </c>
      <c r="AJ23" s="150">
        <f t="shared" si="0"/>
        <v>10</v>
      </c>
      <c r="AK23" s="151">
        <f t="shared" si="1"/>
        <v>9.9433962264150946</v>
      </c>
      <c r="AW23" s="176" t="str">
        <f>'2'!AW23</f>
        <v>بــقســـــــــــــــــا</v>
      </c>
      <c r="AX23" s="138">
        <f>'2'!AX23</f>
        <v>1</v>
      </c>
      <c r="AY23" s="138">
        <f>'2'!AY23</f>
        <v>311</v>
      </c>
      <c r="AZ23" s="138">
        <v>0</v>
      </c>
      <c r="BA23" s="138">
        <v>0</v>
      </c>
      <c r="BB23" s="138">
        <f>BA23+'2'!BB23</f>
        <v>297</v>
      </c>
      <c r="BC23" s="152">
        <f t="shared" si="2"/>
        <v>0.954983922829582</v>
      </c>
      <c r="BD23" s="138">
        <f>'2'!BD23</f>
        <v>1</v>
      </c>
      <c r="BE23" s="138">
        <f>'2'!BE23</f>
        <v>40</v>
      </c>
      <c r="BF23" s="138">
        <v>0</v>
      </c>
      <c r="BG23" s="138">
        <v>0</v>
      </c>
      <c r="BH23" s="138">
        <f>BG23+'2'!BH23</f>
        <v>30</v>
      </c>
      <c r="BI23" s="152">
        <f t="shared" si="3"/>
        <v>0.75</v>
      </c>
    </row>
    <row r="24" spans="1:61" ht="41.25" customHeight="1" x14ac:dyDescent="0.35">
      <c r="A24" s="148">
        <v>14</v>
      </c>
      <c r="B24" s="127" t="str">
        <f>'2'!B24</f>
        <v>كفــــــــر الأكرم</v>
      </c>
      <c r="C24" s="137">
        <f>'2'!C24</f>
        <v>918</v>
      </c>
      <c r="D24" s="137">
        <v>2</v>
      </c>
      <c r="E24" s="138">
        <v>1</v>
      </c>
      <c r="F24" s="139">
        <f>E24+'2'!F24</f>
        <v>3</v>
      </c>
      <c r="G24" s="139">
        <v>114</v>
      </c>
      <c r="H24" s="139">
        <f>G24+'2'!H24</f>
        <v>233</v>
      </c>
      <c r="I24" s="139">
        <v>12</v>
      </c>
      <c r="J24" s="139">
        <f>I24+'2'!J24</f>
        <v>392</v>
      </c>
      <c r="K24" s="139">
        <v>0</v>
      </c>
      <c r="L24" s="139">
        <f>K24+'2'!L24</f>
        <v>0</v>
      </c>
      <c r="M24" s="139">
        <v>0</v>
      </c>
      <c r="N24" s="139">
        <f>M24+'2'!N24</f>
        <v>0</v>
      </c>
      <c r="O24" s="139">
        <v>0</v>
      </c>
      <c r="P24" s="139">
        <f>O24+'2'!P24</f>
        <v>0</v>
      </c>
      <c r="Q24" s="142">
        <f t="shared" si="4"/>
        <v>127</v>
      </c>
      <c r="R24" s="142">
        <f>Q24+'2'!R24</f>
        <v>628</v>
      </c>
      <c r="S24" s="170">
        <f t="shared" si="5"/>
        <v>0.68409586056644878</v>
      </c>
      <c r="T24" s="138">
        <v>21</v>
      </c>
      <c r="U24" s="138">
        <f>T24+'2'!U24</f>
        <v>87</v>
      </c>
      <c r="V24" s="138">
        <v>2</v>
      </c>
      <c r="W24" s="138">
        <f>V24+'2'!W24</f>
        <v>9</v>
      </c>
      <c r="X24" s="138">
        <v>0</v>
      </c>
      <c r="Y24" s="138">
        <f>X24+'2'!Y24</f>
        <v>0</v>
      </c>
      <c r="AB24" s="148">
        <v>14</v>
      </c>
      <c r="AC24" s="176" t="str">
        <f>'2'!AC24</f>
        <v>كفــــــــر الأكرم</v>
      </c>
      <c r="AD24" s="149">
        <f>'2'!AI24</f>
        <v>29</v>
      </c>
      <c r="AE24" s="140">
        <v>0</v>
      </c>
      <c r="AF24" s="149">
        <f>AE24+'2'!AF24</f>
        <v>80</v>
      </c>
      <c r="AG24" s="142">
        <v>14</v>
      </c>
      <c r="AH24" s="149">
        <f>AG24+'2'!AH24</f>
        <v>65</v>
      </c>
      <c r="AI24" s="142">
        <f t="shared" si="6"/>
        <v>15</v>
      </c>
      <c r="AJ24" s="150">
        <f t="shared" si="0"/>
        <v>9.0714285714285712</v>
      </c>
      <c r="AK24" s="151">
        <f t="shared" si="1"/>
        <v>9.661538461538461</v>
      </c>
      <c r="AW24" s="176" t="str">
        <f>'2'!AW24</f>
        <v>كفــــــــر الأكرم</v>
      </c>
      <c r="AX24" s="138">
        <f>'2'!AX24</f>
        <v>2</v>
      </c>
      <c r="AY24" s="138">
        <f>'2'!AY24</f>
        <v>540</v>
      </c>
      <c r="AZ24" s="138">
        <v>2</v>
      </c>
      <c r="BA24" s="138">
        <v>2</v>
      </c>
      <c r="BB24" s="138">
        <f>BA24+'2'!BB24</f>
        <v>380</v>
      </c>
      <c r="BC24" s="152">
        <f t="shared" si="2"/>
        <v>0.70370370370370372</v>
      </c>
      <c r="BD24" s="138">
        <f>'2'!BD24</f>
        <v>2</v>
      </c>
      <c r="BE24" s="138">
        <f>'2'!BE24</f>
        <v>115</v>
      </c>
      <c r="BF24" s="138">
        <v>2</v>
      </c>
      <c r="BG24" s="138">
        <v>97</v>
      </c>
      <c r="BH24" s="138">
        <f>BG24+'2'!BH24</f>
        <v>160</v>
      </c>
      <c r="BI24" s="152">
        <f t="shared" si="3"/>
        <v>1.3913043478260869</v>
      </c>
    </row>
    <row r="25" spans="1:61" ht="41.25" customHeight="1" x14ac:dyDescent="0.35">
      <c r="A25" s="148">
        <v>15</v>
      </c>
      <c r="B25" s="127" t="str">
        <f>'2'!B25</f>
        <v>كفـــــــــر إبنهس</v>
      </c>
      <c r="C25" s="137">
        <f>'2'!C25</f>
        <v>2072</v>
      </c>
      <c r="D25" s="137">
        <v>3</v>
      </c>
      <c r="E25" s="138">
        <v>1</v>
      </c>
      <c r="F25" s="139">
        <f>E25+'2'!F25</f>
        <v>6</v>
      </c>
      <c r="G25" s="139">
        <v>193</v>
      </c>
      <c r="H25" s="139">
        <f>G25+'2'!H25</f>
        <v>345</v>
      </c>
      <c r="I25" s="139">
        <v>129</v>
      </c>
      <c r="J25" s="139">
        <f>I25+'2'!J25</f>
        <v>974</v>
      </c>
      <c r="K25" s="139">
        <v>0</v>
      </c>
      <c r="L25" s="139">
        <f>K25+'2'!L25</f>
        <v>0</v>
      </c>
      <c r="M25" s="139">
        <v>0</v>
      </c>
      <c r="N25" s="139">
        <f>M25+'2'!N25</f>
        <v>0</v>
      </c>
      <c r="O25" s="139">
        <v>0</v>
      </c>
      <c r="P25" s="139">
        <f>O25+'2'!P25</f>
        <v>0</v>
      </c>
      <c r="Q25" s="142">
        <f t="shared" si="4"/>
        <v>323</v>
      </c>
      <c r="R25" s="142">
        <f>Q25+'2'!R25</f>
        <v>1325</v>
      </c>
      <c r="S25" s="170">
        <f t="shared" si="5"/>
        <v>0.63947876447876451</v>
      </c>
      <c r="T25" s="138">
        <v>5</v>
      </c>
      <c r="U25" s="138">
        <f>T25+'2'!U25</f>
        <v>173</v>
      </c>
      <c r="V25" s="138">
        <v>8</v>
      </c>
      <c r="W25" s="138">
        <f>V25+'2'!W25</f>
        <v>50</v>
      </c>
      <c r="X25" s="138">
        <v>0</v>
      </c>
      <c r="Y25" s="138">
        <f>X25+'2'!Y25</f>
        <v>0</v>
      </c>
      <c r="AB25" s="148">
        <v>15</v>
      </c>
      <c r="AC25" s="176" t="str">
        <f>'2'!AC25</f>
        <v>كفـــــــــر إبنهس</v>
      </c>
      <c r="AD25" s="149">
        <f>'2'!AI25</f>
        <v>64</v>
      </c>
      <c r="AE25" s="140">
        <v>0</v>
      </c>
      <c r="AF25" s="149">
        <f>AE25+'2'!AF25</f>
        <v>180</v>
      </c>
      <c r="AG25" s="178">
        <v>33</v>
      </c>
      <c r="AH25" s="178">
        <f>AG25+'2'!AH25</f>
        <v>149</v>
      </c>
      <c r="AI25" s="178">
        <f t="shared" si="6"/>
        <v>31</v>
      </c>
      <c r="AJ25" s="179">
        <f t="shared" si="0"/>
        <v>9.7878787878787872</v>
      </c>
      <c r="AK25" s="180">
        <f t="shared" si="1"/>
        <v>8.8926174496644297</v>
      </c>
      <c r="AW25" s="176" t="str">
        <f>'2'!AW25</f>
        <v>كفـــــــــر إبنهس</v>
      </c>
      <c r="AX25" s="138">
        <f>'2'!AX25</f>
        <v>3</v>
      </c>
      <c r="AY25" s="138">
        <f>'2'!AY25</f>
        <v>1013</v>
      </c>
      <c r="AZ25" s="138">
        <v>3</v>
      </c>
      <c r="BA25" s="138">
        <v>8</v>
      </c>
      <c r="BB25" s="138">
        <f>BA25+'2'!BB25</f>
        <v>838</v>
      </c>
      <c r="BC25" s="152">
        <f t="shared" si="2"/>
        <v>0.82724580454096741</v>
      </c>
      <c r="BD25" s="138">
        <f>'2'!BD25</f>
        <v>4</v>
      </c>
      <c r="BE25" s="138">
        <f>'2'!BE25</f>
        <v>620</v>
      </c>
      <c r="BF25" s="138">
        <v>4</v>
      </c>
      <c r="BG25" s="138">
        <v>400</v>
      </c>
      <c r="BH25" s="138">
        <f>BG25+'2'!BH25</f>
        <v>507</v>
      </c>
      <c r="BI25" s="152">
        <f t="shared" si="3"/>
        <v>0.81774193548387097</v>
      </c>
    </row>
    <row r="26" spans="1:61" ht="41.25" customHeight="1" x14ac:dyDescent="0.35">
      <c r="A26" s="148">
        <v>16</v>
      </c>
      <c r="B26" s="127" t="str">
        <f>'2'!B26</f>
        <v>الرمــــــــــــــالى</v>
      </c>
      <c r="C26" s="137">
        <f>'2'!C26</f>
        <v>2699</v>
      </c>
      <c r="D26" s="137">
        <v>3</v>
      </c>
      <c r="E26" s="138">
        <v>12</v>
      </c>
      <c r="F26" s="139">
        <f>E26+'2'!F26</f>
        <v>27</v>
      </c>
      <c r="G26" s="139">
        <v>85</v>
      </c>
      <c r="H26" s="139">
        <f>G26+'2'!H26</f>
        <v>312</v>
      </c>
      <c r="I26" s="139">
        <v>263</v>
      </c>
      <c r="J26" s="139">
        <f>I26+'2'!J26</f>
        <v>993</v>
      </c>
      <c r="K26" s="139">
        <v>0</v>
      </c>
      <c r="L26" s="139">
        <f>K26+'2'!L26</f>
        <v>0</v>
      </c>
      <c r="M26" s="139">
        <v>0</v>
      </c>
      <c r="N26" s="139">
        <f>M26+'2'!N26</f>
        <v>0</v>
      </c>
      <c r="O26" s="139">
        <v>0</v>
      </c>
      <c r="P26" s="139">
        <f>O26+'2'!P26</f>
        <v>0</v>
      </c>
      <c r="Q26" s="142">
        <f t="shared" si="4"/>
        <v>360</v>
      </c>
      <c r="R26" s="142">
        <f>Q26+'2'!R26</f>
        <v>1332</v>
      </c>
      <c r="S26" s="170">
        <f t="shared" si="5"/>
        <v>0.49351611708040016</v>
      </c>
      <c r="T26" s="138">
        <v>19</v>
      </c>
      <c r="U26" s="138">
        <f>T26+'2'!U26</f>
        <v>114</v>
      </c>
      <c r="V26" s="138">
        <v>66</v>
      </c>
      <c r="W26" s="138">
        <f>V26+'2'!W26</f>
        <v>108</v>
      </c>
      <c r="X26" s="138">
        <v>0</v>
      </c>
      <c r="Y26" s="138">
        <f>X26+'2'!Y26</f>
        <v>1</v>
      </c>
      <c r="Z26" s="175"/>
      <c r="AB26" s="148">
        <v>16</v>
      </c>
      <c r="AC26" s="176" t="str">
        <f>'2'!AC26</f>
        <v>الرمــــــــــــــالى</v>
      </c>
      <c r="AD26" s="149">
        <f>'2'!AI26</f>
        <v>132</v>
      </c>
      <c r="AE26" s="140">
        <v>0</v>
      </c>
      <c r="AF26" s="149">
        <f>AE26+'2'!AF26</f>
        <v>235</v>
      </c>
      <c r="AG26" s="178">
        <v>36</v>
      </c>
      <c r="AH26" s="178">
        <f>AG26+'2'!AH26</f>
        <v>139</v>
      </c>
      <c r="AI26" s="178">
        <f t="shared" si="6"/>
        <v>96</v>
      </c>
      <c r="AJ26" s="179">
        <f t="shared" si="0"/>
        <v>10</v>
      </c>
      <c r="AK26" s="180">
        <f t="shared" si="1"/>
        <v>9.5827338129496411</v>
      </c>
      <c r="AV26" s="175"/>
      <c r="AW26" s="176" t="str">
        <f>'2'!AW26</f>
        <v>الرمــــــــــــــالى</v>
      </c>
      <c r="AX26" s="138">
        <f>'2'!AX26</f>
        <v>3</v>
      </c>
      <c r="AY26" s="138">
        <f>'2'!AY26</f>
        <v>1486</v>
      </c>
      <c r="AZ26" s="138">
        <v>2</v>
      </c>
      <c r="BA26" s="138">
        <v>250</v>
      </c>
      <c r="BB26" s="138">
        <f>BA26+'2'!BB26</f>
        <v>1149</v>
      </c>
      <c r="BC26" s="152">
        <f t="shared" si="2"/>
        <v>0.77321668909825036</v>
      </c>
      <c r="BD26" s="138">
        <f>'2'!BD26</f>
        <v>3</v>
      </c>
      <c r="BE26" s="138">
        <f>'2'!BE26</f>
        <v>98</v>
      </c>
      <c r="BF26" s="138">
        <v>0</v>
      </c>
      <c r="BG26" s="138">
        <v>0</v>
      </c>
      <c r="BH26" s="138">
        <f>BG26+'2'!BH26</f>
        <v>0</v>
      </c>
      <c r="BI26" s="152">
        <f t="shared" si="3"/>
        <v>0</v>
      </c>
    </row>
    <row r="27" spans="1:61" ht="41.25" customHeight="1" x14ac:dyDescent="0.35">
      <c r="A27" s="148">
        <v>17</v>
      </c>
      <c r="B27" s="127" t="str">
        <f>'2'!B27</f>
        <v>مصطــــــــــــاى</v>
      </c>
      <c r="C27" s="137">
        <f>'2'!C27</f>
        <v>2666</v>
      </c>
      <c r="D27" s="137">
        <v>3</v>
      </c>
      <c r="E27" s="138">
        <v>12</v>
      </c>
      <c r="F27" s="139">
        <f>E27+'2'!F27</f>
        <v>54</v>
      </c>
      <c r="G27" s="139">
        <v>181</v>
      </c>
      <c r="H27" s="139">
        <f>G27+'2'!H27</f>
        <v>364</v>
      </c>
      <c r="I27" s="139">
        <v>229</v>
      </c>
      <c r="J27" s="139">
        <f>I27+'2'!J27</f>
        <v>1154</v>
      </c>
      <c r="K27" s="139">
        <v>0</v>
      </c>
      <c r="L27" s="139">
        <f>K27+'2'!L27</f>
        <v>0</v>
      </c>
      <c r="M27" s="139">
        <v>0</v>
      </c>
      <c r="N27" s="139">
        <f>M27+'2'!N27</f>
        <v>0</v>
      </c>
      <c r="O27" s="139">
        <v>0</v>
      </c>
      <c r="P27" s="139">
        <f>O27+'2'!P27</f>
        <v>0</v>
      </c>
      <c r="Q27" s="142">
        <f t="shared" si="4"/>
        <v>422</v>
      </c>
      <c r="R27" s="142">
        <f>Q27+'2'!R27</f>
        <v>1572</v>
      </c>
      <c r="S27" s="170">
        <f t="shared" si="5"/>
        <v>0.58964741185296321</v>
      </c>
      <c r="T27" s="138">
        <v>0</v>
      </c>
      <c r="U27" s="138">
        <f>T27+'2'!U27</f>
        <v>45</v>
      </c>
      <c r="V27" s="138">
        <v>0</v>
      </c>
      <c r="W27" s="138">
        <f>V27+'2'!W27</f>
        <v>15</v>
      </c>
      <c r="X27" s="138">
        <v>0</v>
      </c>
      <c r="Y27" s="138">
        <f>X27+'2'!Y27</f>
        <v>0</v>
      </c>
      <c r="AB27" s="148">
        <v>17</v>
      </c>
      <c r="AC27" s="176" t="str">
        <f>'2'!AC27</f>
        <v>مصطــــــــــــاى</v>
      </c>
      <c r="AD27" s="149">
        <f>'2'!AI27</f>
        <v>117</v>
      </c>
      <c r="AE27" s="140">
        <v>0</v>
      </c>
      <c r="AF27" s="149">
        <f>AE27+'2'!AF27</f>
        <v>234</v>
      </c>
      <c r="AG27" s="142">
        <v>43</v>
      </c>
      <c r="AH27" s="149">
        <f>AG27+'2'!AH27</f>
        <v>160</v>
      </c>
      <c r="AI27" s="142">
        <f t="shared" si="6"/>
        <v>74</v>
      </c>
      <c r="AJ27" s="150">
        <f t="shared" si="0"/>
        <v>9.8139534883720927</v>
      </c>
      <c r="AK27" s="151">
        <f t="shared" si="1"/>
        <v>9.8249999999999993</v>
      </c>
      <c r="AW27" s="176" t="str">
        <f>'2'!AW27</f>
        <v>مصطــــــــــــاى</v>
      </c>
      <c r="AX27" s="138">
        <f>'2'!AX27</f>
        <v>3</v>
      </c>
      <c r="AY27" s="138">
        <f>'2'!AY27</f>
        <v>1709</v>
      </c>
      <c r="AZ27" s="138">
        <v>3</v>
      </c>
      <c r="BA27" s="138">
        <v>222</v>
      </c>
      <c r="BB27" s="138">
        <f>BA27+'2'!BB27</f>
        <v>1252</v>
      </c>
      <c r="BC27" s="152">
        <f t="shared" si="2"/>
        <v>0.73259215915740195</v>
      </c>
      <c r="BD27" s="138">
        <f>'2'!BD27</f>
        <v>6</v>
      </c>
      <c r="BE27" s="138">
        <f>'2'!BE27</f>
        <v>696</v>
      </c>
      <c r="BF27" s="138">
        <v>1</v>
      </c>
      <c r="BG27" s="138">
        <v>120</v>
      </c>
      <c r="BH27" s="138">
        <f>BG27+'2'!BH27</f>
        <v>120</v>
      </c>
      <c r="BI27" s="152">
        <f t="shared" si="3"/>
        <v>0.17241379310344829</v>
      </c>
    </row>
    <row r="28" spans="1:61" ht="41.25" customHeight="1" x14ac:dyDescent="0.35">
      <c r="A28" s="148">
        <v>18</v>
      </c>
      <c r="B28" s="127" t="str">
        <f>'2'!B28</f>
        <v>كفر طـــــــه شبرا</v>
      </c>
      <c r="C28" s="137">
        <f>'2'!C28</f>
        <v>1795</v>
      </c>
      <c r="D28" s="137">
        <v>3</v>
      </c>
      <c r="E28" s="138">
        <v>2</v>
      </c>
      <c r="F28" s="139">
        <f>E28+'2'!F28</f>
        <v>8</v>
      </c>
      <c r="G28" s="139">
        <v>216</v>
      </c>
      <c r="H28" s="139">
        <f>G28+'2'!H28</f>
        <v>294</v>
      </c>
      <c r="I28" s="139">
        <v>57</v>
      </c>
      <c r="J28" s="139">
        <f>I28+'2'!J28</f>
        <v>940</v>
      </c>
      <c r="K28" s="139">
        <v>0</v>
      </c>
      <c r="L28" s="139">
        <f>K28+'2'!L28</f>
        <v>0</v>
      </c>
      <c r="M28" s="139">
        <v>0</v>
      </c>
      <c r="N28" s="139">
        <f>M28+'2'!N28</f>
        <v>0</v>
      </c>
      <c r="O28" s="139">
        <v>0</v>
      </c>
      <c r="P28" s="139">
        <f>O28+'2'!P28</f>
        <v>0</v>
      </c>
      <c r="Q28" s="142">
        <f t="shared" si="4"/>
        <v>275</v>
      </c>
      <c r="R28" s="142">
        <f>Q28+'2'!R28</f>
        <v>1242</v>
      </c>
      <c r="S28" s="170">
        <f t="shared" si="5"/>
        <v>0.69192200557103067</v>
      </c>
      <c r="T28" s="138">
        <v>39</v>
      </c>
      <c r="U28" s="138">
        <f>T28+'2'!U28</f>
        <v>136</v>
      </c>
      <c r="V28" s="138">
        <v>6</v>
      </c>
      <c r="W28" s="138">
        <f>V28+'2'!W28</f>
        <v>33</v>
      </c>
      <c r="X28" s="138">
        <v>0</v>
      </c>
      <c r="Y28" s="138">
        <f>X28+'2'!Y28</f>
        <v>0</v>
      </c>
      <c r="AB28" s="148">
        <v>18</v>
      </c>
      <c r="AC28" s="176" t="str">
        <f>'2'!AC28</f>
        <v>كفر طـــــــه شبرا</v>
      </c>
      <c r="AD28" s="149">
        <f>'2'!AI28</f>
        <v>57</v>
      </c>
      <c r="AE28" s="140">
        <v>0</v>
      </c>
      <c r="AF28" s="149">
        <f>AE28+'2'!AF28</f>
        <v>158</v>
      </c>
      <c r="AG28" s="142">
        <v>29</v>
      </c>
      <c r="AH28" s="149">
        <f>AG28+'2'!AH28</f>
        <v>130</v>
      </c>
      <c r="AI28" s="142">
        <f t="shared" si="6"/>
        <v>28</v>
      </c>
      <c r="AJ28" s="150">
        <f t="shared" si="0"/>
        <v>9.4827586206896548</v>
      </c>
      <c r="AK28" s="151">
        <f t="shared" si="1"/>
        <v>9.5538461538461537</v>
      </c>
      <c r="AW28" s="176" t="str">
        <f>'2'!AW28</f>
        <v>كفر طـــــــه شبرا</v>
      </c>
      <c r="AX28" s="138">
        <f>'2'!AX28</f>
        <v>4</v>
      </c>
      <c r="AY28" s="138">
        <f>'2'!AY28</f>
        <v>948</v>
      </c>
      <c r="AZ28" s="138">
        <v>4</v>
      </c>
      <c r="BA28" s="138">
        <v>4</v>
      </c>
      <c r="BB28" s="138">
        <f>BA28+'2'!BB28</f>
        <v>827</v>
      </c>
      <c r="BC28" s="152">
        <f t="shared" si="2"/>
        <v>0.87236286919831219</v>
      </c>
      <c r="BD28" s="138">
        <f>'2'!BD28</f>
        <v>7</v>
      </c>
      <c r="BE28" s="138">
        <f>'2'!BE28</f>
        <v>300</v>
      </c>
      <c r="BF28" s="138">
        <v>4</v>
      </c>
      <c r="BG28" s="138">
        <v>271</v>
      </c>
      <c r="BH28" s="138">
        <f>BG28+'2'!BH28</f>
        <v>403</v>
      </c>
      <c r="BI28" s="152">
        <f t="shared" si="3"/>
        <v>1.3433333333333333</v>
      </c>
    </row>
    <row r="29" spans="1:61" ht="41.25" customHeight="1" x14ac:dyDescent="0.35">
      <c r="A29" s="148">
        <v>19</v>
      </c>
      <c r="B29" s="127" t="str">
        <f>'2'!B29</f>
        <v>كفر أبـــو الحسن</v>
      </c>
      <c r="C29" s="137">
        <f>'2'!C29</f>
        <v>1397</v>
      </c>
      <c r="D29" s="137">
        <v>2</v>
      </c>
      <c r="E29" s="138">
        <v>2</v>
      </c>
      <c r="F29" s="139">
        <f>E29+'2'!F29</f>
        <v>4</v>
      </c>
      <c r="G29" s="139">
        <v>192</v>
      </c>
      <c r="H29" s="139">
        <f>G29+'2'!H29</f>
        <v>238</v>
      </c>
      <c r="I29" s="139">
        <v>92</v>
      </c>
      <c r="J29" s="139">
        <f>I29+'2'!J29</f>
        <v>841</v>
      </c>
      <c r="K29" s="139">
        <v>0</v>
      </c>
      <c r="L29" s="139">
        <f>K29+'2'!L29</f>
        <v>0</v>
      </c>
      <c r="M29" s="139">
        <v>0</v>
      </c>
      <c r="N29" s="139">
        <f>M29+'2'!N29</f>
        <v>0</v>
      </c>
      <c r="O29" s="139">
        <v>0</v>
      </c>
      <c r="P29" s="139">
        <f>O29+'2'!P29</f>
        <v>0</v>
      </c>
      <c r="Q29" s="142">
        <f t="shared" si="4"/>
        <v>286</v>
      </c>
      <c r="R29" s="142">
        <f>Q29+'2'!R29</f>
        <v>1083</v>
      </c>
      <c r="S29" s="170">
        <f t="shared" si="5"/>
        <v>0.77523264137437364</v>
      </c>
      <c r="T29" s="138">
        <v>22</v>
      </c>
      <c r="U29" s="138">
        <f>T29+'2'!U29</f>
        <v>205</v>
      </c>
      <c r="V29" s="138">
        <v>13</v>
      </c>
      <c r="W29" s="138">
        <f>V29+'2'!W29</f>
        <v>18</v>
      </c>
      <c r="X29" s="138">
        <v>0</v>
      </c>
      <c r="Y29" s="138">
        <f>X29+'2'!Y29</f>
        <v>0</v>
      </c>
      <c r="AB29" s="148">
        <v>19</v>
      </c>
      <c r="AC29" s="176" t="str">
        <f>'2'!AC29</f>
        <v>كفر أبـــو الحسن</v>
      </c>
      <c r="AD29" s="149">
        <f>'2'!AI29</f>
        <v>41</v>
      </c>
      <c r="AE29" s="140">
        <v>10</v>
      </c>
      <c r="AF29" s="149">
        <f>AE29+'2'!AF29</f>
        <v>133</v>
      </c>
      <c r="AG29" s="142">
        <v>29</v>
      </c>
      <c r="AH29" s="149">
        <f>AG29+'2'!AH29</f>
        <v>111</v>
      </c>
      <c r="AI29" s="142">
        <f t="shared" si="6"/>
        <v>22</v>
      </c>
      <c r="AJ29" s="150">
        <f t="shared" si="0"/>
        <v>9.862068965517242</v>
      </c>
      <c r="AK29" s="151">
        <f t="shared" si="1"/>
        <v>9.7567567567567561</v>
      </c>
      <c r="AW29" s="176" t="str">
        <f>'2'!AW29</f>
        <v>كفر أبـــو الحسن</v>
      </c>
      <c r="AX29" s="138">
        <f>'2'!AX29</f>
        <v>3</v>
      </c>
      <c r="AY29" s="138">
        <f>'2'!AY29</f>
        <v>912</v>
      </c>
      <c r="AZ29" s="138">
        <v>0</v>
      </c>
      <c r="BA29" s="138">
        <v>0</v>
      </c>
      <c r="BB29" s="138">
        <f>BA29+'2'!BB29</f>
        <v>760</v>
      </c>
      <c r="BC29" s="152">
        <f t="shared" si="2"/>
        <v>0.83333333333333337</v>
      </c>
      <c r="BD29" s="138">
        <f>'2'!BD29</f>
        <v>9</v>
      </c>
      <c r="BE29" s="138">
        <f>'2'!BE29</f>
        <v>258</v>
      </c>
      <c r="BF29" s="138">
        <v>5</v>
      </c>
      <c r="BG29" s="138">
        <v>250</v>
      </c>
      <c r="BH29" s="138">
        <f>BG29+'2'!BH29</f>
        <v>351</v>
      </c>
      <c r="BI29" s="152">
        <f t="shared" si="3"/>
        <v>1.3604651162790697</v>
      </c>
    </row>
    <row r="30" spans="1:61" ht="41.25" customHeight="1" x14ac:dyDescent="0.35">
      <c r="A30" s="148">
        <v>20</v>
      </c>
      <c r="B30" s="127" t="str">
        <f>'2'!B30</f>
        <v>ميت أبـــــوشيخه</v>
      </c>
      <c r="C30" s="137">
        <f>'2'!C30</f>
        <v>1134</v>
      </c>
      <c r="D30" s="137">
        <v>2</v>
      </c>
      <c r="E30" s="138">
        <v>2</v>
      </c>
      <c r="F30" s="139">
        <f>E30+'2'!F30</f>
        <v>10</v>
      </c>
      <c r="G30" s="139">
        <v>84</v>
      </c>
      <c r="H30" s="139">
        <f>G30+'2'!H30</f>
        <v>144</v>
      </c>
      <c r="I30" s="139">
        <v>76</v>
      </c>
      <c r="J30" s="139">
        <f>I30+'2'!J30</f>
        <v>435</v>
      </c>
      <c r="K30" s="139">
        <v>0</v>
      </c>
      <c r="L30" s="139">
        <f>K30+'2'!L30</f>
        <v>0</v>
      </c>
      <c r="M30" s="139">
        <v>0</v>
      </c>
      <c r="N30" s="139">
        <f>M30+'2'!N30</f>
        <v>0</v>
      </c>
      <c r="O30" s="139">
        <v>0</v>
      </c>
      <c r="P30" s="139">
        <f>O30+'2'!P30</f>
        <v>0</v>
      </c>
      <c r="Q30" s="142">
        <f t="shared" si="4"/>
        <v>162</v>
      </c>
      <c r="R30" s="142">
        <f>Q30+'2'!R30</f>
        <v>589</v>
      </c>
      <c r="S30" s="170">
        <f t="shared" si="5"/>
        <v>0.51940035273368612</v>
      </c>
      <c r="T30" s="138">
        <v>25</v>
      </c>
      <c r="U30" s="138">
        <f>T30+'2'!U30</f>
        <v>68</v>
      </c>
      <c r="V30" s="138">
        <v>0</v>
      </c>
      <c r="W30" s="138">
        <f>V30+'2'!W30</f>
        <v>10</v>
      </c>
      <c r="X30" s="138">
        <v>0</v>
      </c>
      <c r="Y30" s="138">
        <f>X30+'2'!Y30</f>
        <v>0</v>
      </c>
      <c r="AB30" s="148">
        <v>20</v>
      </c>
      <c r="AC30" s="176" t="str">
        <f>'2'!AC30</f>
        <v>ميت أبـــــوشيخه</v>
      </c>
      <c r="AD30" s="149">
        <f>'2'!AI30</f>
        <v>57</v>
      </c>
      <c r="AE30" s="140">
        <v>0</v>
      </c>
      <c r="AF30" s="149">
        <f>AE30+'2'!AF30</f>
        <v>100</v>
      </c>
      <c r="AG30" s="142">
        <v>17</v>
      </c>
      <c r="AH30" s="149">
        <f>AG30+'2'!AH30</f>
        <v>60</v>
      </c>
      <c r="AI30" s="142">
        <f t="shared" si="6"/>
        <v>40</v>
      </c>
      <c r="AJ30" s="150">
        <f t="shared" si="0"/>
        <v>9.5294117647058822</v>
      </c>
      <c r="AK30" s="151">
        <f t="shared" si="1"/>
        <v>9.8166666666666664</v>
      </c>
      <c r="AW30" s="176" t="str">
        <f>'2'!AW30</f>
        <v>ميت أبـــــوشيخه</v>
      </c>
      <c r="AX30" s="138">
        <f>'2'!AX30</f>
        <v>2</v>
      </c>
      <c r="AY30" s="138">
        <f>'2'!AY30</f>
        <v>560</v>
      </c>
      <c r="AZ30" s="138">
        <v>1</v>
      </c>
      <c r="BA30" s="138">
        <v>60</v>
      </c>
      <c r="BB30" s="138">
        <f>BA30+'2'!BB30</f>
        <v>459</v>
      </c>
      <c r="BC30" s="152">
        <f t="shared" si="2"/>
        <v>0.81964285714285712</v>
      </c>
      <c r="BD30" s="138">
        <f>'2'!BD30</f>
        <v>2</v>
      </c>
      <c r="BE30" s="138">
        <f>'2'!BE30</f>
        <v>107</v>
      </c>
      <c r="BF30" s="138">
        <v>2</v>
      </c>
      <c r="BG30" s="138">
        <v>85</v>
      </c>
      <c r="BH30" s="138">
        <f>BG30+'2'!BH30</f>
        <v>85</v>
      </c>
      <c r="BI30" s="152">
        <f t="shared" si="3"/>
        <v>0.79439252336448596</v>
      </c>
    </row>
    <row r="31" spans="1:61" ht="41.25" customHeight="1" x14ac:dyDescent="0.35">
      <c r="A31" s="148">
        <v>21</v>
      </c>
      <c r="B31" s="127" t="str">
        <f>'2'!B31</f>
        <v>طــــــــــــه شبرا</v>
      </c>
      <c r="C31" s="137">
        <f>'2'!C31</f>
        <v>5149</v>
      </c>
      <c r="D31" s="137">
        <v>4</v>
      </c>
      <c r="E31" s="138">
        <v>4</v>
      </c>
      <c r="F31" s="139">
        <f>E31+'2'!F31</f>
        <v>22</v>
      </c>
      <c r="G31" s="139">
        <v>242</v>
      </c>
      <c r="H31" s="139">
        <f>G31+'2'!H31</f>
        <v>967</v>
      </c>
      <c r="I31" s="139">
        <v>461</v>
      </c>
      <c r="J31" s="139">
        <f>I31+'2'!J31</f>
        <v>1288</v>
      </c>
      <c r="K31" s="139">
        <v>0</v>
      </c>
      <c r="L31" s="139">
        <f>K31+'2'!L31</f>
        <v>0</v>
      </c>
      <c r="M31" s="139">
        <v>0</v>
      </c>
      <c r="N31" s="139">
        <f>M31+'2'!N31</f>
        <v>0</v>
      </c>
      <c r="O31" s="139">
        <v>0</v>
      </c>
      <c r="P31" s="139">
        <f>O31+'2'!P31</f>
        <v>0</v>
      </c>
      <c r="Q31" s="142">
        <f t="shared" si="4"/>
        <v>707</v>
      </c>
      <c r="R31" s="142">
        <f>Q31+'2'!R31</f>
        <v>2277</v>
      </c>
      <c r="S31" s="170">
        <f t="shared" si="5"/>
        <v>0.442221790638959</v>
      </c>
      <c r="T31" s="138">
        <v>83</v>
      </c>
      <c r="U31" s="138">
        <f>T31+'2'!U31</f>
        <v>277</v>
      </c>
      <c r="V31" s="138">
        <v>0</v>
      </c>
      <c r="W31" s="138">
        <f>V31+'2'!W31</f>
        <v>3</v>
      </c>
      <c r="X31" s="138">
        <v>0</v>
      </c>
      <c r="Y31" s="138">
        <f>X31+'2'!Y31</f>
        <v>0</v>
      </c>
      <c r="AB31" s="148">
        <v>21</v>
      </c>
      <c r="AC31" s="176" t="str">
        <f>'2'!AC31</f>
        <v>طــــــــــــه شبرا</v>
      </c>
      <c r="AD31" s="149">
        <f>'2'!AI31</f>
        <v>290</v>
      </c>
      <c r="AE31" s="140">
        <v>0</v>
      </c>
      <c r="AF31" s="149">
        <f>AE31+'2'!AF31</f>
        <v>452</v>
      </c>
      <c r="AG31" s="142">
        <v>74</v>
      </c>
      <c r="AH31" s="149">
        <f>AG31+'2'!AH31</f>
        <v>236</v>
      </c>
      <c r="AI31" s="142">
        <f t="shared" si="6"/>
        <v>216</v>
      </c>
      <c r="AJ31" s="150">
        <f t="shared" si="0"/>
        <v>9.5540540540540544</v>
      </c>
      <c r="AK31" s="151">
        <f t="shared" si="1"/>
        <v>9.648305084745763</v>
      </c>
      <c r="AW31" s="176" t="str">
        <f>'2'!AW31</f>
        <v>طــــــــــــه شبرا</v>
      </c>
      <c r="AX31" s="138">
        <f>'2'!AX31</f>
        <v>6</v>
      </c>
      <c r="AY31" s="138">
        <f>'2'!AY31</f>
        <v>2219</v>
      </c>
      <c r="AZ31" s="138">
        <v>5</v>
      </c>
      <c r="BA31" s="138">
        <v>434</v>
      </c>
      <c r="BB31" s="138">
        <f>BA31+'2'!BB31</f>
        <v>1367</v>
      </c>
      <c r="BC31" s="152">
        <f t="shared" si="2"/>
        <v>0.61604326273095988</v>
      </c>
      <c r="BD31" s="138">
        <f>'2'!BD31</f>
        <v>8</v>
      </c>
      <c r="BE31" s="138">
        <f>'2'!BE31</f>
        <v>748</v>
      </c>
      <c r="BF31" s="138">
        <v>8</v>
      </c>
      <c r="BG31" s="138">
        <v>188</v>
      </c>
      <c r="BH31" s="138">
        <f>BG31+'2'!BH31</f>
        <v>690</v>
      </c>
      <c r="BI31" s="152">
        <f t="shared" si="3"/>
        <v>0.92245989304812837</v>
      </c>
    </row>
    <row r="32" spans="1:61" ht="41.25" customHeight="1" x14ac:dyDescent="0.35">
      <c r="A32" s="148">
        <v>22</v>
      </c>
      <c r="B32" s="127" t="str">
        <f>'2'!B32</f>
        <v>أشـــــــــــــــــليم</v>
      </c>
      <c r="C32" s="137">
        <f>'2'!C32</f>
        <v>2638</v>
      </c>
      <c r="D32" s="137">
        <v>3</v>
      </c>
      <c r="E32" s="138">
        <v>5</v>
      </c>
      <c r="F32" s="139">
        <f>E32+'2'!F32</f>
        <v>19</v>
      </c>
      <c r="G32" s="139">
        <v>330</v>
      </c>
      <c r="H32" s="139">
        <f>G32+'2'!H32</f>
        <v>606</v>
      </c>
      <c r="I32" s="139">
        <v>94</v>
      </c>
      <c r="J32" s="139">
        <f>I32+'2'!J32</f>
        <v>1522</v>
      </c>
      <c r="K32" s="139"/>
      <c r="L32" s="139">
        <f>K32+'2'!L32</f>
        <v>0</v>
      </c>
      <c r="M32" s="139"/>
      <c r="N32" s="139">
        <f>M32+'2'!N32</f>
        <v>0</v>
      </c>
      <c r="O32" s="139"/>
      <c r="P32" s="139">
        <f>O32+'2'!P32</f>
        <v>0</v>
      </c>
      <c r="Q32" s="142">
        <f t="shared" si="4"/>
        <v>429</v>
      </c>
      <c r="R32" s="142">
        <f>Q32+'2'!R32</f>
        <v>2147</v>
      </c>
      <c r="S32" s="170">
        <f t="shared" si="5"/>
        <v>0.81387414708112205</v>
      </c>
      <c r="T32" s="138">
        <v>7</v>
      </c>
      <c r="U32" s="138">
        <f>T32+'2'!U32</f>
        <v>149</v>
      </c>
      <c r="V32" s="138">
        <v>2</v>
      </c>
      <c r="W32" s="138">
        <f>V32+'2'!W32</f>
        <v>119</v>
      </c>
      <c r="X32" s="138">
        <v>0</v>
      </c>
      <c r="Y32" s="138">
        <f>X32+'2'!Y32</f>
        <v>0</v>
      </c>
      <c r="AB32" s="148">
        <v>22</v>
      </c>
      <c r="AC32" s="176" t="str">
        <f>'2'!AC32</f>
        <v>أشـــــــــــــــــليم</v>
      </c>
      <c r="AD32" s="149">
        <f>'2'!AI32</f>
        <v>55</v>
      </c>
      <c r="AE32" s="140">
        <v>20</v>
      </c>
      <c r="AF32" s="149">
        <f>AE32+'2'!AF32</f>
        <v>252</v>
      </c>
      <c r="AG32" s="142">
        <v>44</v>
      </c>
      <c r="AH32" s="149">
        <f>AG32+'2'!AH32</f>
        <v>221</v>
      </c>
      <c r="AI32" s="142">
        <f t="shared" si="6"/>
        <v>31</v>
      </c>
      <c r="AJ32" s="150">
        <f t="shared" si="0"/>
        <v>9.75</v>
      </c>
      <c r="AK32" s="151">
        <f t="shared" si="1"/>
        <v>9.7149321266968318</v>
      </c>
      <c r="AW32" s="176" t="str">
        <f>'2'!AW32</f>
        <v>أشـــــــــــــــــليم</v>
      </c>
      <c r="AX32" s="138">
        <f>'2'!AX32</f>
        <v>8</v>
      </c>
      <c r="AY32" s="138">
        <f>'2'!AY32</f>
        <v>1819</v>
      </c>
      <c r="AZ32" s="138">
        <v>8</v>
      </c>
      <c r="BA32" s="138">
        <v>37</v>
      </c>
      <c r="BB32" s="138">
        <f>BA32+'2'!BB32</f>
        <v>1506</v>
      </c>
      <c r="BC32" s="152">
        <f t="shared" si="2"/>
        <v>0.82792743265530511</v>
      </c>
      <c r="BD32" s="138">
        <f>'2'!BD32</f>
        <v>7</v>
      </c>
      <c r="BE32" s="138">
        <f>'2'!BE32</f>
        <v>176</v>
      </c>
      <c r="BF32" s="138">
        <v>5</v>
      </c>
      <c r="BG32" s="138">
        <v>292</v>
      </c>
      <c r="BH32" s="138">
        <f>BG32+'2'!BH32</f>
        <v>531</v>
      </c>
      <c r="BI32" s="152">
        <f t="shared" si="3"/>
        <v>3.0170454545454546</v>
      </c>
    </row>
    <row r="33" spans="1:61" ht="41.25" customHeight="1" x14ac:dyDescent="0.35">
      <c r="A33" s="148">
        <v>23</v>
      </c>
      <c r="B33" s="127" t="str">
        <f>'2'!B33</f>
        <v>شبرا قبالــــــــــه</v>
      </c>
      <c r="C33" s="137">
        <f>'2'!C33</f>
        <v>2050</v>
      </c>
      <c r="D33" s="137">
        <v>2</v>
      </c>
      <c r="E33" s="138">
        <v>20</v>
      </c>
      <c r="F33" s="139">
        <f>E33+'2'!F33</f>
        <v>23</v>
      </c>
      <c r="G33" s="139">
        <v>135</v>
      </c>
      <c r="H33" s="139">
        <f>G33+'2'!H33</f>
        <v>644</v>
      </c>
      <c r="I33" s="139">
        <v>15</v>
      </c>
      <c r="J33" s="139">
        <f>I33+'2'!J33</f>
        <v>773</v>
      </c>
      <c r="K33" s="139">
        <v>0</v>
      </c>
      <c r="L33" s="139">
        <f>K33+'2'!L33</f>
        <v>0</v>
      </c>
      <c r="M33" s="139">
        <v>0</v>
      </c>
      <c r="N33" s="139">
        <f>M33+'2'!N33</f>
        <v>0</v>
      </c>
      <c r="O33" s="139">
        <v>0</v>
      </c>
      <c r="P33" s="139">
        <f>O33+'2'!P33</f>
        <v>0</v>
      </c>
      <c r="Q33" s="142">
        <f t="shared" si="4"/>
        <v>170</v>
      </c>
      <c r="R33" s="142">
        <f>Q33+'2'!R33</f>
        <v>1440</v>
      </c>
      <c r="S33" s="170">
        <f t="shared" si="5"/>
        <v>0.70243902439024386</v>
      </c>
      <c r="T33" s="138">
        <v>0</v>
      </c>
      <c r="U33" s="138">
        <f>T33+'2'!U33</f>
        <v>96</v>
      </c>
      <c r="V33" s="138">
        <v>0</v>
      </c>
      <c r="W33" s="138">
        <f>V33+'2'!W33</f>
        <v>64</v>
      </c>
      <c r="X33" s="138">
        <v>0</v>
      </c>
      <c r="Y33" s="138">
        <f>X33+'2'!Y33</f>
        <v>0</v>
      </c>
      <c r="AB33" s="148">
        <v>23</v>
      </c>
      <c r="AC33" s="176" t="str">
        <f>'2'!AC33</f>
        <v>شبرا قبالــــــــــه</v>
      </c>
      <c r="AD33" s="149">
        <f>'2'!AI33</f>
        <v>53</v>
      </c>
      <c r="AE33" s="140">
        <v>0</v>
      </c>
      <c r="AF33" s="149">
        <f>AE33+'2'!AF33</f>
        <v>180</v>
      </c>
      <c r="AG33" s="142">
        <v>17</v>
      </c>
      <c r="AH33" s="149">
        <f>AG33+'2'!AH33</f>
        <v>144</v>
      </c>
      <c r="AI33" s="142">
        <f t="shared" si="6"/>
        <v>36</v>
      </c>
      <c r="AJ33" s="150">
        <f t="shared" si="0"/>
        <v>10</v>
      </c>
      <c r="AK33" s="151">
        <f t="shared" si="1"/>
        <v>10</v>
      </c>
      <c r="AW33" s="176" t="str">
        <f>'2'!AW33</f>
        <v>شبرا قبالــــــــــه</v>
      </c>
      <c r="AX33" s="138">
        <f>'2'!AX33</f>
        <v>1</v>
      </c>
      <c r="AY33" s="138">
        <f>'2'!AY33</f>
        <v>918</v>
      </c>
      <c r="AZ33" s="138">
        <v>1</v>
      </c>
      <c r="BA33" s="138">
        <v>0</v>
      </c>
      <c r="BB33" s="138">
        <f>BA33+'2'!BB33</f>
        <v>780</v>
      </c>
      <c r="BC33" s="152">
        <f t="shared" si="2"/>
        <v>0.84967320261437906</v>
      </c>
      <c r="BD33" s="138">
        <f>'2'!BD33</f>
        <v>5</v>
      </c>
      <c r="BE33" s="138">
        <f>'2'!BE33</f>
        <v>375</v>
      </c>
      <c r="BF33" s="138">
        <v>0</v>
      </c>
      <c r="BG33" s="138">
        <v>0</v>
      </c>
      <c r="BH33" s="138">
        <f>BG33+'2'!BH33</f>
        <v>430</v>
      </c>
      <c r="BI33" s="152">
        <f t="shared" si="3"/>
        <v>1.1466666666666667</v>
      </c>
    </row>
    <row r="34" spans="1:61" ht="41.25" customHeight="1" x14ac:dyDescent="0.35">
      <c r="A34" s="148">
        <v>24</v>
      </c>
      <c r="B34" s="127" t="str">
        <f>'2'!B34</f>
        <v>عرب الرمـــــــل</v>
      </c>
      <c r="C34" s="137">
        <f>'2'!C34</f>
        <v>5755</v>
      </c>
      <c r="D34" s="137">
        <v>4</v>
      </c>
      <c r="E34" s="138">
        <v>6</v>
      </c>
      <c r="F34" s="139">
        <f>E34+'2'!F34</f>
        <v>22</v>
      </c>
      <c r="G34" s="139">
        <v>497</v>
      </c>
      <c r="H34" s="139">
        <f>G34+'2'!H34</f>
        <v>1011</v>
      </c>
      <c r="I34" s="139">
        <v>307</v>
      </c>
      <c r="J34" s="139">
        <f>I34+'2'!J34</f>
        <v>1364</v>
      </c>
      <c r="K34" s="139">
        <v>0</v>
      </c>
      <c r="L34" s="139">
        <f>K34+'2'!L34</f>
        <v>0</v>
      </c>
      <c r="M34" s="139">
        <v>0</v>
      </c>
      <c r="N34" s="139">
        <f>M34+'2'!N34</f>
        <v>0</v>
      </c>
      <c r="O34" s="139">
        <v>0</v>
      </c>
      <c r="P34" s="139">
        <f>O34+'2'!P34</f>
        <v>0</v>
      </c>
      <c r="Q34" s="142">
        <f t="shared" si="4"/>
        <v>810</v>
      </c>
      <c r="R34" s="142">
        <f>Q34+'2'!R34</f>
        <v>2397</v>
      </c>
      <c r="S34" s="170">
        <f t="shared" si="5"/>
        <v>0.41650738488271066</v>
      </c>
      <c r="T34" s="138">
        <v>74</v>
      </c>
      <c r="U34" s="138">
        <f>T34+'2'!U34</f>
        <v>562</v>
      </c>
      <c r="V34" s="138">
        <v>0</v>
      </c>
      <c r="W34" s="138">
        <f>V34+'2'!W34</f>
        <v>41</v>
      </c>
      <c r="X34" s="138">
        <v>0</v>
      </c>
      <c r="Y34" s="138">
        <f>X34+'2'!Y34</f>
        <v>0</v>
      </c>
      <c r="AB34" s="148">
        <v>24</v>
      </c>
      <c r="AC34" s="176" t="str">
        <f>'2'!AC34</f>
        <v>عرب الرمـــــــل</v>
      </c>
      <c r="AD34" s="149">
        <f>'2'!AI34</f>
        <v>344</v>
      </c>
      <c r="AE34" s="140">
        <v>0</v>
      </c>
      <c r="AF34" s="149">
        <f>AE34+'2'!AF34</f>
        <v>505</v>
      </c>
      <c r="AG34" s="142">
        <v>81</v>
      </c>
      <c r="AH34" s="149">
        <f>AG34+'2'!AH34</f>
        <v>242</v>
      </c>
      <c r="AI34" s="142">
        <f t="shared" si="6"/>
        <v>263</v>
      </c>
      <c r="AJ34" s="150">
        <f t="shared" si="0"/>
        <v>10</v>
      </c>
      <c r="AK34" s="151">
        <f t="shared" si="1"/>
        <v>9.9049586776859506</v>
      </c>
      <c r="AW34" s="176" t="str">
        <f>'2'!AW34</f>
        <v>عرب الرمـــــــل</v>
      </c>
      <c r="AX34" s="138">
        <f>'2'!AX34</f>
        <v>6</v>
      </c>
      <c r="AY34" s="138">
        <f>'2'!AY34</f>
        <v>2210</v>
      </c>
      <c r="AZ34" s="138">
        <v>6</v>
      </c>
      <c r="BA34" s="138">
        <v>310</v>
      </c>
      <c r="BB34" s="138">
        <f>BA34+'2'!BB34</f>
        <v>1456</v>
      </c>
      <c r="BC34" s="152">
        <f t="shared" si="2"/>
        <v>0.6588235294117647</v>
      </c>
      <c r="BD34" s="138">
        <f>'2'!BD34</f>
        <v>9</v>
      </c>
      <c r="BE34" s="138">
        <f>'2'!BE34</f>
        <v>932</v>
      </c>
      <c r="BF34" s="138">
        <v>4</v>
      </c>
      <c r="BG34" s="138">
        <v>200</v>
      </c>
      <c r="BH34" s="138">
        <f>BG34+'2'!BH34</f>
        <v>941</v>
      </c>
      <c r="BI34" s="152">
        <f t="shared" si="3"/>
        <v>1.0096566523605151</v>
      </c>
    </row>
    <row r="35" spans="1:61" ht="41.25" customHeight="1" x14ac:dyDescent="0.35">
      <c r="A35" s="148">
        <v>25</v>
      </c>
      <c r="B35" s="127" t="str">
        <f>'2'!B35</f>
        <v>كفر ميت سراج</v>
      </c>
      <c r="C35" s="137">
        <f>'2'!C35</f>
        <v>1840</v>
      </c>
      <c r="D35" s="137">
        <v>2</v>
      </c>
      <c r="E35" s="138">
        <v>4</v>
      </c>
      <c r="F35" s="139">
        <f>E35+'2'!F35</f>
        <v>8</v>
      </c>
      <c r="G35" s="139">
        <v>265</v>
      </c>
      <c r="H35" s="139">
        <f>G35+'2'!H35</f>
        <v>386</v>
      </c>
      <c r="I35" s="139">
        <v>186</v>
      </c>
      <c r="J35" s="139">
        <f>I35+'2'!J35</f>
        <v>773</v>
      </c>
      <c r="K35" s="139">
        <v>0</v>
      </c>
      <c r="L35" s="139">
        <f>K35+'2'!L35</f>
        <v>0</v>
      </c>
      <c r="M35" s="139">
        <v>0</v>
      </c>
      <c r="N35" s="139">
        <f>M35+'2'!N35</f>
        <v>0</v>
      </c>
      <c r="O35" s="139">
        <v>0</v>
      </c>
      <c r="P35" s="139">
        <f>O35+'2'!P35</f>
        <v>0</v>
      </c>
      <c r="Q35" s="142">
        <f t="shared" si="4"/>
        <v>455</v>
      </c>
      <c r="R35" s="142">
        <f>Q35+'2'!R35</f>
        <v>1167</v>
      </c>
      <c r="S35" s="170">
        <f t="shared" si="5"/>
        <v>0.63423913043478264</v>
      </c>
      <c r="T35" s="138">
        <v>95</v>
      </c>
      <c r="U35" s="138">
        <f>T35+'2'!U35</f>
        <v>174</v>
      </c>
      <c r="V35" s="138">
        <v>5</v>
      </c>
      <c r="W35" s="138">
        <f>V35+'2'!W35</f>
        <v>11</v>
      </c>
      <c r="X35" s="138">
        <v>0</v>
      </c>
      <c r="Y35" s="138">
        <f>X35+'2'!Y35</f>
        <v>0</v>
      </c>
      <c r="AB35" s="148">
        <v>25</v>
      </c>
      <c r="AC35" s="176" t="str">
        <f>'2'!AC35</f>
        <v>كفر ميت سراج</v>
      </c>
      <c r="AD35" s="149">
        <f>'2'!AI35</f>
        <v>88</v>
      </c>
      <c r="AE35" s="140">
        <v>0</v>
      </c>
      <c r="AF35" s="149">
        <f>AE35+'2'!AF35</f>
        <v>162</v>
      </c>
      <c r="AG35" s="142">
        <v>47</v>
      </c>
      <c r="AH35" s="149">
        <f>AG35+'2'!AH35</f>
        <v>121</v>
      </c>
      <c r="AI35" s="142">
        <f t="shared" si="6"/>
        <v>41</v>
      </c>
      <c r="AJ35" s="150">
        <f t="shared" si="0"/>
        <v>9.6808510638297864</v>
      </c>
      <c r="AK35" s="151">
        <f t="shared" si="1"/>
        <v>9.6446280991735538</v>
      </c>
      <c r="AW35" s="176" t="str">
        <f>'2'!AW35</f>
        <v>كفر ميت سراج</v>
      </c>
      <c r="AX35" s="138">
        <f>'2'!AX35</f>
        <v>3</v>
      </c>
      <c r="AY35" s="138">
        <f>'2'!AY35</f>
        <v>1011</v>
      </c>
      <c r="AZ35" s="138">
        <v>3</v>
      </c>
      <c r="BA35" s="138">
        <v>177</v>
      </c>
      <c r="BB35" s="138">
        <f>BA35+'2'!BB35</f>
        <v>773</v>
      </c>
      <c r="BC35" s="152">
        <f t="shared" si="2"/>
        <v>0.76458951533135511</v>
      </c>
      <c r="BD35" s="138">
        <f>'2'!BD35</f>
        <v>4</v>
      </c>
      <c r="BE35" s="138">
        <f>'2'!BE35</f>
        <v>413</v>
      </c>
      <c r="BF35" s="138">
        <v>2</v>
      </c>
      <c r="BG35" s="138">
        <v>232</v>
      </c>
      <c r="BH35" s="138">
        <f>BG35+'2'!BH35</f>
        <v>232</v>
      </c>
      <c r="BI35" s="152">
        <f t="shared" si="3"/>
        <v>0.56174334140435833</v>
      </c>
    </row>
    <row r="36" spans="1:61" ht="41.25" customHeight="1" x14ac:dyDescent="0.35">
      <c r="A36" s="148">
        <v>26</v>
      </c>
      <c r="B36" s="127" t="str">
        <f>'2'!B36</f>
        <v>كفر أبشيش</v>
      </c>
      <c r="C36" s="137">
        <f>'2'!C36</f>
        <v>1345</v>
      </c>
      <c r="D36" s="137">
        <v>2</v>
      </c>
      <c r="E36" s="138">
        <v>8</v>
      </c>
      <c r="F36" s="139">
        <f>E36+'2'!F36</f>
        <v>14</v>
      </c>
      <c r="G36" s="139">
        <v>84</v>
      </c>
      <c r="H36" s="139">
        <f>G36+'2'!H36</f>
        <v>207</v>
      </c>
      <c r="I36" s="139">
        <v>178</v>
      </c>
      <c r="J36" s="139">
        <f>I36+'2'!J36</f>
        <v>725</v>
      </c>
      <c r="K36" s="139">
        <v>0</v>
      </c>
      <c r="L36" s="139">
        <f>K36+'2'!L36</f>
        <v>0</v>
      </c>
      <c r="M36" s="139">
        <v>0</v>
      </c>
      <c r="N36" s="139">
        <f>M36+'2'!N36</f>
        <v>0</v>
      </c>
      <c r="O36" s="139">
        <v>0</v>
      </c>
      <c r="P36" s="139">
        <f>O36+'2'!P36</f>
        <v>0</v>
      </c>
      <c r="Q36" s="142">
        <f t="shared" si="4"/>
        <v>270</v>
      </c>
      <c r="R36" s="142">
        <f>Q36+'2'!R36</f>
        <v>946</v>
      </c>
      <c r="S36" s="170">
        <f t="shared" si="5"/>
        <v>0.70334572490706315</v>
      </c>
      <c r="T36" s="138">
        <v>41</v>
      </c>
      <c r="U36" s="138">
        <f>T36+'2'!U36</f>
        <v>113</v>
      </c>
      <c r="V36" s="138">
        <v>4</v>
      </c>
      <c r="W36" s="138">
        <f>V36+'2'!W36</f>
        <v>4</v>
      </c>
      <c r="X36" s="138">
        <v>0</v>
      </c>
      <c r="Y36" s="138">
        <f>X36+'2'!Y36</f>
        <v>0</v>
      </c>
      <c r="AB36" s="148">
        <v>26</v>
      </c>
      <c r="AC36" s="176" t="str">
        <f>'2'!AC36</f>
        <v>كفر أبشيش</v>
      </c>
      <c r="AD36" s="149">
        <f>'2'!AI36</f>
        <v>51</v>
      </c>
      <c r="AE36" s="140">
        <v>0</v>
      </c>
      <c r="AF36" s="149">
        <f>AE36+'2'!AF36</f>
        <v>119</v>
      </c>
      <c r="AG36" s="142">
        <v>27</v>
      </c>
      <c r="AH36" s="149">
        <f>AG36+'2'!AH36</f>
        <v>95</v>
      </c>
      <c r="AI36" s="142">
        <f t="shared" si="6"/>
        <v>24</v>
      </c>
      <c r="AJ36" s="150">
        <f t="shared" si="0"/>
        <v>10</v>
      </c>
      <c r="AK36" s="151">
        <f t="shared" si="1"/>
        <v>9.9578947368421051</v>
      </c>
      <c r="AW36" s="176" t="str">
        <f>'2'!AW36</f>
        <v>كفر أبشيش</v>
      </c>
      <c r="AX36" s="138">
        <f>'2'!AX36</f>
        <v>1</v>
      </c>
      <c r="AY36" s="138">
        <f>'2'!AY36</f>
        <v>860</v>
      </c>
      <c r="AZ36" s="138">
        <v>1</v>
      </c>
      <c r="BA36" s="138">
        <v>200</v>
      </c>
      <c r="BB36" s="138">
        <f>BA36+'2'!BB36</f>
        <v>730</v>
      </c>
      <c r="BC36" s="152">
        <f t="shared" si="2"/>
        <v>0.84883720930232553</v>
      </c>
      <c r="BD36" s="138">
        <f>'2'!BD36</f>
        <v>4</v>
      </c>
      <c r="BE36" s="138">
        <f>'2'!BE36</f>
        <v>194</v>
      </c>
      <c r="BF36" s="138">
        <v>0</v>
      </c>
      <c r="BG36" s="138">
        <v>0</v>
      </c>
      <c r="BH36" s="138">
        <f>BG36+'2'!BH36</f>
        <v>0</v>
      </c>
      <c r="BI36" s="152">
        <f t="shared" si="3"/>
        <v>0</v>
      </c>
    </row>
    <row r="37" spans="1:61" ht="41.25" customHeight="1" x14ac:dyDescent="0.35">
      <c r="A37" s="148">
        <v>27</v>
      </c>
      <c r="B37" s="127" t="str">
        <f>'2'!B37</f>
        <v>كفر ميت العبسى</v>
      </c>
      <c r="C37" s="137">
        <f>'2'!C37</f>
        <v>1180</v>
      </c>
      <c r="D37" s="137">
        <v>2</v>
      </c>
      <c r="E37" s="138">
        <v>6</v>
      </c>
      <c r="F37" s="139">
        <f>E37+'2'!F37</f>
        <v>12</v>
      </c>
      <c r="G37" s="139">
        <v>107</v>
      </c>
      <c r="H37" s="139">
        <f>G37+'2'!H37</f>
        <v>248</v>
      </c>
      <c r="I37" s="139">
        <v>7</v>
      </c>
      <c r="J37" s="139">
        <f>I37+'2'!J37</f>
        <v>443</v>
      </c>
      <c r="K37" s="139">
        <v>0</v>
      </c>
      <c r="L37" s="139">
        <f>K37+'2'!L37</f>
        <v>0</v>
      </c>
      <c r="M37" s="139">
        <v>0</v>
      </c>
      <c r="N37" s="139">
        <f>M37+'2'!N37</f>
        <v>0</v>
      </c>
      <c r="O37" s="139">
        <v>0</v>
      </c>
      <c r="P37" s="139">
        <f>O37+'2'!P37</f>
        <v>0</v>
      </c>
      <c r="Q37" s="142">
        <f t="shared" si="4"/>
        <v>120</v>
      </c>
      <c r="R37" s="142">
        <f>Q37+'2'!R37</f>
        <v>703</v>
      </c>
      <c r="S37" s="170">
        <f t="shared" si="5"/>
        <v>0.59576271186440677</v>
      </c>
      <c r="T37" s="138">
        <v>5</v>
      </c>
      <c r="U37" s="138">
        <f>T37+'2'!U37</f>
        <v>53</v>
      </c>
      <c r="V37" s="138">
        <v>2</v>
      </c>
      <c r="W37" s="138">
        <f>V37+'2'!W37</f>
        <v>11</v>
      </c>
      <c r="X37" s="138">
        <v>0</v>
      </c>
      <c r="Y37" s="138">
        <f>X37+'2'!Y37</f>
        <v>0</v>
      </c>
      <c r="AB37" s="148">
        <v>27</v>
      </c>
      <c r="AC37" s="176" t="str">
        <f>'2'!AC37</f>
        <v>كفر ميت العبسى</v>
      </c>
      <c r="AD37" s="149">
        <f>'2'!AI37</f>
        <v>45</v>
      </c>
      <c r="AE37" s="140">
        <v>0</v>
      </c>
      <c r="AF37" s="149">
        <f>AE37+'2'!AF37</f>
        <v>104</v>
      </c>
      <c r="AG37" s="142">
        <v>12</v>
      </c>
      <c r="AH37" s="149">
        <f>AG37+'2'!AH37</f>
        <v>71</v>
      </c>
      <c r="AI37" s="142">
        <f t="shared" si="6"/>
        <v>33</v>
      </c>
      <c r="AJ37" s="150">
        <f t="shared" si="0"/>
        <v>10</v>
      </c>
      <c r="AK37" s="151">
        <f t="shared" si="1"/>
        <v>9.9014084507042259</v>
      </c>
      <c r="AW37" s="176" t="str">
        <f>'2'!AW37</f>
        <v>كفر ميت العبسى</v>
      </c>
      <c r="AX37" s="138">
        <f>'2'!AX37</f>
        <v>2</v>
      </c>
      <c r="AY37" s="138">
        <f>'2'!AY37</f>
        <v>494</v>
      </c>
      <c r="AZ37" s="138">
        <v>2</v>
      </c>
      <c r="BA37" s="138">
        <v>2</v>
      </c>
      <c r="BB37" s="138">
        <f>BA37+'2'!BB37</f>
        <v>418</v>
      </c>
      <c r="BC37" s="152">
        <f t="shared" si="2"/>
        <v>0.84615384615384615</v>
      </c>
      <c r="BD37" s="138">
        <f>'2'!BD37</f>
        <v>4</v>
      </c>
      <c r="BE37" s="138">
        <f>'2'!BE37</f>
        <v>114</v>
      </c>
      <c r="BF37" s="138">
        <v>2</v>
      </c>
      <c r="BG37" s="138">
        <v>0</v>
      </c>
      <c r="BH37" s="138">
        <f>BG37+'2'!BH37</f>
        <v>73</v>
      </c>
      <c r="BI37" s="152">
        <f t="shared" si="3"/>
        <v>0.64035087719298245</v>
      </c>
    </row>
    <row r="38" spans="1:61" ht="41.25" customHeight="1" x14ac:dyDescent="0.35">
      <c r="A38" s="148">
        <v>28</v>
      </c>
      <c r="B38" s="127" t="str">
        <f>'2'!B38</f>
        <v>كفر وهــــــــــب</v>
      </c>
      <c r="C38" s="137">
        <f>'2'!C38</f>
        <v>1854.9999999999998</v>
      </c>
      <c r="D38" s="137">
        <v>2</v>
      </c>
      <c r="E38" s="138">
        <v>4</v>
      </c>
      <c r="F38" s="139">
        <f>E38+'2'!F38</f>
        <v>7</v>
      </c>
      <c r="G38" s="139">
        <v>163</v>
      </c>
      <c r="H38" s="139">
        <f>G38+'2'!H38</f>
        <v>265</v>
      </c>
      <c r="I38" s="139">
        <v>42</v>
      </c>
      <c r="J38" s="139">
        <f>I38+'2'!J38</f>
        <v>618</v>
      </c>
      <c r="K38" s="139">
        <v>0</v>
      </c>
      <c r="L38" s="139">
        <f>K38+'2'!L38</f>
        <v>0</v>
      </c>
      <c r="M38" s="139">
        <v>0</v>
      </c>
      <c r="N38" s="139">
        <f>M38+'2'!N38</f>
        <v>0</v>
      </c>
      <c r="O38" s="139">
        <v>0</v>
      </c>
      <c r="P38" s="139">
        <f>O38+'2'!P38</f>
        <v>0</v>
      </c>
      <c r="Q38" s="142">
        <f t="shared" si="4"/>
        <v>209</v>
      </c>
      <c r="R38" s="142">
        <f>Q38+'2'!R38</f>
        <v>890</v>
      </c>
      <c r="S38" s="170">
        <f t="shared" si="5"/>
        <v>0.47978436657681944</v>
      </c>
      <c r="T38" s="138">
        <v>11</v>
      </c>
      <c r="U38" s="138">
        <f>T38+'2'!U38</f>
        <v>123</v>
      </c>
      <c r="V38" s="138">
        <v>3</v>
      </c>
      <c r="W38" s="138">
        <f>V38+'2'!W38</f>
        <v>7</v>
      </c>
      <c r="X38" s="138">
        <v>0</v>
      </c>
      <c r="Y38" s="138">
        <f>X38+'2'!Y38</f>
        <v>0</v>
      </c>
      <c r="AB38" s="148">
        <v>28</v>
      </c>
      <c r="AC38" s="176" t="str">
        <f>'2'!AC38</f>
        <v>كفر وهــــــــــب</v>
      </c>
      <c r="AD38" s="149">
        <f>'2'!AI38</f>
        <v>93</v>
      </c>
      <c r="AE38" s="140">
        <v>0</v>
      </c>
      <c r="AF38" s="149">
        <f>AE38+'2'!AF38</f>
        <v>163</v>
      </c>
      <c r="AG38" s="142">
        <v>21</v>
      </c>
      <c r="AH38" s="149">
        <f>AG38+'2'!AH38</f>
        <v>91</v>
      </c>
      <c r="AI38" s="142">
        <f t="shared" si="6"/>
        <v>72</v>
      </c>
      <c r="AJ38" s="150">
        <f t="shared" si="0"/>
        <v>9.9523809523809526</v>
      </c>
      <c r="AK38" s="151">
        <f t="shared" si="1"/>
        <v>9.780219780219781</v>
      </c>
      <c r="AW38" s="176" t="str">
        <f>'2'!AW38</f>
        <v>كفر وهــــــــــب</v>
      </c>
      <c r="AX38" s="138">
        <f>'2'!AX38</f>
        <v>2</v>
      </c>
      <c r="AY38" s="138">
        <f>'2'!AY38</f>
        <v>793</v>
      </c>
      <c r="AZ38" s="138">
        <v>2</v>
      </c>
      <c r="BA38" s="138">
        <v>0</v>
      </c>
      <c r="BB38" s="138">
        <f>BA38+'2'!BB38</f>
        <v>623</v>
      </c>
      <c r="BC38" s="152">
        <f t="shared" si="2"/>
        <v>0.78562421185372</v>
      </c>
      <c r="BD38" s="138">
        <f>'2'!BD38</f>
        <v>3</v>
      </c>
      <c r="BE38" s="138">
        <f>'2'!BE38</f>
        <v>180</v>
      </c>
      <c r="BF38" s="138">
        <v>4</v>
      </c>
      <c r="BG38" s="138">
        <v>160</v>
      </c>
      <c r="BH38" s="138">
        <f>BG38+'2'!BH38</f>
        <v>160</v>
      </c>
      <c r="BI38" s="152">
        <f t="shared" si="3"/>
        <v>0.88888888888888884</v>
      </c>
    </row>
    <row r="39" spans="1:61" ht="41" customHeight="1" x14ac:dyDescent="0.35">
      <c r="A39" s="148">
        <v>29</v>
      </c>
      <c r="B39" s="127" t="str">
        <f>'2'!B39</f>
        <v>دمــــــــــــــهوج</v>
      </c>
      <c r="C39" s="137">
        <f>'2'!C39</f>
        <v>2738</v>
      </c>
      <c r="D39" s="137">
        <v>3</v>
      </c>
      <c r="E39" s="138">
        <v>10</v>
      </c>
      <c r="F39" s="139">
        <f>E39+'2'!F39</f>
        <v>11</v>
      </c>
      <c r="G39" s="139">
        <v>296</v>
      </c>
      <c r="H39" s="139">
        <f>G39+'2'!H39</f>
        <v>437</v>
      </c>
      <c r="I39" s="139">
        <v>3</v>
      </c>
      <c r="J39" s="139">
        <f>I39+'2'!J39</f>
        <v>832</v>
      </c>
      <c r="K39" s="139">
        <v>0</v>
      </c>
      <c r="L39" s="139">
        <f>K39+'2'!L39</f>
        <v>0</v>
      </c>
      <c r="M39" s="139">
        <v>0</v>
      </c>
      <c r="N39" s="139">
        <f>M39+'2'!N39</f>
        <v>0</v>
      </c>
      <c r="O39" s="139">
        <v>0</v>
      </c>
      <c r="P39" s="139">
        <f>O39+'2'!P39</f>
        <v>0</v>
      </c>
      <c r="Q39" s="142">
        <f t="shared" si="4"/>
        <v>309</v>
      </c>
      <c r="R39" s="142">
        <f>Q39+'2'!R39</f>
        <v>1280</v>
      </c>
      <c r="S39" s="170">
        <f t="shared" si="5"/>
        <v>0.46749452154857563</v>
      </c>
      <c r="T39" s="138">
        <v>20</v>
      </c>
      <c r="U39" s="138">
        <f>T39+'2'!U39</f>
        <v>158</v>
      </c>
      <c r="V39" s="138">
        <v>4</v>
      </c>
      <c r="W39" s="138">
        <f>V39+'2'!W39</f>
        <v>7</v>
      </c>
      <c r="X39" s="138">
        <v>0</v>
      </c>
      <c r="Y39" s="138">
        <f>X39+'2'!Y39</f>
        <v>0</v>
      </c>
      <c r="AB39" s="148">
        <v>29</v>
      </c>
      <c r="AC39" s="176" t="str">
        <f>'2'!AC39</f>
        <v>دمــــــــــــــهوج</v>
      </c>
      <c r="AD39" s="149">
        <f>'2'!AI39</f>
        <v>141</v>
      </c>
      <c r="AE39" s="140">
        <v>0</v>
      </c>
      <c r="AF39" s="149">
        <f>AE39+'2'!AF39</f>
        <v>240</v>
      </c>
      <c r="AG39" s="142">
        <v>32</v>
      </c>
      <c r="AH39" s="149">
        <f>AG39+'2'!AH39</f>
        <v>131</v>
      </c>
      <c r="AI39" s="142">
        <f t="shared" si="6"/>
        <v>109</v>
      </c>
      <c r="AJ39" s="150">
        <f t="shared" si="0"/>
        <v>9.65625</v>
      </c>
      <c r="AK39" s="151">
        <f t="shared" si="1"/>
        <v>9.770992366412214</v>
      </c>
      <c r="AW39" s="176" t="str">
        <f>'2'!AW39</f>
        <v>دمــــــــــــــهوج</v>
      </c>
      <c r="AX39" s="138">
        <f>'2'!AX39</f>
        <v>2</v>
      </c>
      <c r="AY39" s="138">
        <f>'2'!AY39</f>
        <v>1086</v>
      </c>
      <c r="AZ39" s="138">
        <v>2</v>
      </c>
      <c r="BA39" s="138">
        <v>0</v>
      </c>
      <c r="BB39" s="138">
        <f>BA39+'2'!BB39</f>
        <v>834</v>
      </c>
      <c r="BC39" s="152">
        <f t="shared" si="2"/>
        <v>0.76795580110497241</v>
      </c>
      <c r="BD39" s="138">
        <f>'2'!BD39</f>
        <v>10</v>
      </c>
      <c r="BE39" s="138">
        <f>'2'!BE39</f>
        <v>455</v>
      </c>
      <c r="BF39" s="138">
        <v>9</v>
      </c>
      <c r="BG39" s="138">
        <v>309</v>
      </c>
      <c r="BH39" s="138">
        <f>BG39+'2'!BH39</f>
        <v>439</v>
      </c>
      <c r="BI39" s="152">
        <f t="shared" si="3"/>
        <v>0.96483516483516485</v>
      </c>
    </row>
    <row r="40" spans="1:61" ht="41.25" customHeight="1" x14ac:dyDescent="0.35">
      <c r="A40" s="148">
        <v>30</v>
      </c>
      <c r="B40" s="127" t="str">
        <f>'2'!B40</f>
        <v>كفر زين الدين</v>
      </c>
      <c r="C40" s="137">
        <f>'2'!C40</f>
        <v>819</v>
      </c>
      <c r="D40" s="137">
        <v>2</v>
      </c>
      <c r="E40" s="138">
        <v>3</v>
      </c>
      <c r="F40" s="139">
        <f>E40+'2'!F40</f>
        <v>9</v>
      </c>
      <c r="G40" s="139">
        <v>58</v>
      </c>
      <c r="H40" s="139">
        <f>G40+'2'!H40</f>
        <v>266</v>
      </c>
      <c r="I40" s="139">
        <v>14</v>
      </c>
      <c r="J40" s="139">
        <f>I40+'2'!J40</f>
        <v>430</v>
      </c>
      <c r="K40" s="139">
        <v>0</v>
      </c>
      <c r="L40" s="139">
        <f>K40+'2'!L40</f>
        <v>0</v>
      </c>
      <c r="M40" s="139">
        <v>0</v>
      </c>
      <c r="N40" s="139">
        <f>M40+'2'!N40</f>
        <v>0</v>
      </c>
      <c r="O40" s="139">
        <v>0</v>
      </c>
      <c r="P40" s="139">
        <f>O40+'2'!P40</f>
        <v>0</v>
      </c>
      <c r="Q40" s="142">
        <f t="shared" si="4"/>
        <v>75</v>
      </c>
      <c r="R40" s="142">
        <f>Q40+'2'!R40</f>
        <v>705</v>
      </c>
      <c r="S40" s="170">
        <f t="shared" si="5"/>
        <v>0.86080586080586086</v>
      </c>
      <c r="T40" s="138">
        <v>0</v>
      </c>
      <c r="U40" s="138">
        <f>T40+'2'!U40</f>
        <v>76</v>
      </c>
      <c r="V40" s="138">
        <v>10</v>
      </c>
      <c r="W40" s="138">
        <f>V40+'2'!W40</f>
        <v>26</v>
      </c>
      <c r="X40" s="138">
        <v>0</v>
      </c>
      <c r="Y40" s="138">
        <f>X40+'2'!Y40</f>
        <v>0</v>
      </c>
      <c r="AB40" s="148">
        <v>30</v>
      </c>
      <c r="AC40" s="176" t="str">
        <f>'2'!AC40</f>
        <v>كفر زين الدين</v>
      </c>
      <c r="AD40" s="149">
        <f>'2'!AI40</f>
        <v>7</v>
      </c>
      <c r="AE40" s="140">
        <v>10</v>
      </c>
      <c r="AF40" s="149">
        <f>AE40+'2'!AF40</f>
        <v>80</v>
      </c>
      <c r="AG40" s="142">
        <v>8</v>
      </c>
      <c r="AH40" s="149">
        <f>AG40+'2'!AH40</f>
        <v>71</v>
      </c>
      <c r="AI40" s="142">
        <f t="shared" si="6"/>
        <v>9</v>
      </c>
      <c r="AJ40" s="150">
        <f t="shared" si="0"/>
        <v>9.375</v>
      </c>
      <c r="AK40" s="151">
        <f t="shared" si="1"/>
        <v>9.929577464788732</v>
      </c>
      <c r="AW40" s="176" t="str">
        <f>'2'!AW40</f>
        <v>كفر زين الدين</v>
      </c>
      <c r="AX40" s="138">
        <f>'2'!AX40</f>
        <v>1</v>
      </c>
      <c r="AY40" s="138">
        <f>'2'!AY40</f>
        <v>563</v>
      </c>
      <c r="AZ40" s="138">
        <v>1</v>
      </c>
      <c r="BA40" s="138">
        <v>10</v>
      </c>
      <c r="BB40" s="138">
        <f>BA40+'2'!BB40</f>
        <v>364</v>
      </c>
      <c r="BC40" s="152">
        <f t="shared" si="2"/>
        <v>0.64653641207815271</v>
      </c>
      <c r="BD40" s="138">
        <f>'2'!BD40</f>
        <v>2</v>
      </c>
      <c r="BE40" s="138">
        <f>'2'!BE40</f>
        <v>87</v>
      </c>
      <c r="BF40" s="138">
        <v>0</v>
      </c>
      <c r="BG40" s="138">
        <v>0</v>
      </c>
      <c r="BH40" s="138">
        <f>BG40+'2'!BH40</f>
        <v>166</v>
      </c>
      <c r="BI40" s="152">
        <f t="shared" si="3"/>
        <v>1.9080459770114941</v>
      </c>
    </row>
    <row r="41" spans="1:61" ht="41.25" customHeight="1" x14ac:dyDescent="0.35">
      <c r="A41" s="148">
        <v>31</v>
      </c>
      <c r="B41" s="127" t="str">
        <f>'2'!B41</f>
        <v>عزبــة أبوالنصر</v>
      </c>
      <c r="C41" s="137">
        <f>'2'!C41</f>
        <v>410</v>
      </c>
      <c r="D41" s="137">
        <v>2</v>
      </c>
      <c r="E41" s="138">
        <v>1</v>
      </c>
      <c r="F41" s="139">
        <f>E41+'2'!F41</f>
        <v>10</v>
      </c>
      <c r="G41" s="139">
        <v>26</v>
      </c>
      <c r="H41" s="139">
        <f>G41+'2'!H41</f>
        <v>229</v>
      </c>
      <c r="I41" s="139">
        <v>0</v>
      </c>
      <c r="J41" s="139">
        <f>I41+'2'!J41</f>
        <v>120</v>
      </c>
      <c r="K41" s="139">
        <v>0</v>
      </c>
      <c r="L41" s="139">
        <f>K41+'2'!L41</f>
        <v>0</v>
      </c>
      <c r="M41" s="139">
        <v>0</v>
      </c>
      <c r="N41" s="139">
        <f>M41+'2'!N41</f>
        <v>0</v>
      </c>
      <c r="O41" s="139">
        <v>0</v>
      </c>
      <c r="P41" s="139">
        <f>O41+'2'!P41</f>
        <v>0</v>
      </c>
      <c r="Q41" s="142">
        <f t="shared" si="4"/>
        <v>27</v>
      </c>
      <c r="R41" s="142">
        <f>Q41+'2'!R41</f>
        <v>359</v>
      </c>
      <c r="S41" s="170">
        <f t="shared" si="5"/>
        <v>0.87560975609756098</v>
      </c>
      <c r="T41" s="138">
        <v>0</v>
      </c>
      <c r="U41" s="138">
        <f>T41+'2'!U41</f>
        <v>0</v>
      </c>
      <c r="V41" s="138">
        <v>0</v>
      </c>
      <c r="W41" s="138">
        <f>V41+'2'!W41</f>
        <v>0</v>
      </c>
      <c r="X41" s="138">
        <v>0</v>
      </c>
      <c r="Y41" s="138">
        <f>X41+'2'!Y41</f>
        <v>0</v>
      </c>
      <c r="AB41" s="148">
        <v>31</v>
      </c>
      <c r="AC41" s="176" t="str">
        <f>'2'!AC41</f>
        <v>عزبــة أبوالنصر</v>
      </c>
      <c r="AD41" s="149">
        <f>'2'!AI41</f>
        <v>1</v>
      </c>
      <c r="AE41" s="140">
        <v>6</v>
      </c>
      <c r="AF41" s="149">
        <f>AE41+'2'!AF41</f>
        <v>41</v>
      </c>
      <c r="AG41" s="142">
        <v>3</v>
      </c>
      <c r="AH41" s="149">
        <f>AG41+'2'!AH41</f>
        <v>37</v>
      </c>
      <c r="AI41" s="142">
        <f t="shared" si="6"/>
        <v>4</v>
      </c>
      <c r="AJ41" s="150">
        <f t="shared" si="0"/>
        <v>9</v>
      </c>
      <c r="AK41" s="151">
        <f t="shared" si="1"/>
        <v>9.7027027027027035</v>
      </c>
      <c r="AW41" s="176" t="str">
        <f>'2'!AW41</f>
        <v>عزبــة أبوالنصر</v>
      </c>
      <c r="AX41" s="138">
        <f>'2'!AX41</f>
        <v>2</v>
      </c>
      <c r="AY41" s="138">
        <f>'2'!AY41</f>
        <v>70</v>
      </c>
      <c r="AZ41" s="138">
        <v>1</v>
      </c>
      <c r="BA41" s="138">
        <v>0</v>
      </c>
      <c r="BB41" s="138">
        <f>BA41+'2'!BB41</f>
        <v>65</v>
      </c>
      <c r="BC41" s="152">
        <f t="shared" si="2"/>
        <v>0.9285714285714286</v>
      </c>
      <c r="BD41" s="138">
        <f>'2'!BD41</f>
        <v>3</v>
      </c>
      <c r="BE41" s="138">
        <f>'2'!BE41</f>
        <v>75</v>
      </c>
      <c r="BF41" s="138">
        <v>2</v>
      </c>
      <c r="BG41" s="138">
        <v>0</v>
      </c>
      <c r="BH41" s="138">
        <f>BG41+'2'!BH41</f>
        <v>36</v>
      </c>
      <c r="BI41" s="152">
        <f t="shared" si="3"/>
        <v>0.48</v>
      </c>
    </row>
    <row r="42" spans="1:61" ht="41.25" customHeight="1" x14ac:dyDescent="0.35">
      <c r="A42" s="148">
        <v>32</v>
      </c>
      <c r="B42" s="127" t="str">
        <f>'2'!B42</f>
        <v>شمنديــــــــــــــل</v>
      </c>
      <c r="C42" s="137">
        <f>'2'!C42</f>
        <v>880</v>
      </c>
      <c r="D42" s="137">
        <v>2</v>
      </c>
      <c r="E42" s="138">
        <v>1</v>
      </c>
      <c r="F42" s="139">
        <f>E42+'2'!F42</f>
        <v>7</v>
      </c>
      <c r="G42" s="139">
        <v>44</v>
      </c>
      <c r="H42" s="139">
        <f>G42+'2'!H42</f>
        <v>219</v>
      </c>
      <c r="I42" s="139">
        <v>19</v>
      </c>
      <c r="J42" s="139">
        <f>I42+'2'!J42</f>
        <v>421</v>
      </c>
      <c r="K42" s="139"/>
      <c r="L42" s="139">
        <f>K42+'2'!L42</f>
        <v>0</v>
      </c>
      <c r="M42" s="139"/>
      <c r="N42" s="139">
        <f>M42+'2'!N42</f>
        <v>0</v>
      </c>
      <c r="O42" s="139"/>
      <c r="P42" s="139">
        <f>O42+'2'!P42</f>
        <v>0</v>
      </c>
      <c r="Q42" s="142">
        <f t="shared" si="4"/>
        <v>64</v>
      </c>
      <c r="R42" s="142">
        <f>Q42+'2'!R42</f>
        <v>647</v>
      </c>
      <c r="S42" s="170">
        <f t="shared" si="5"/>
        <v>0.73522727272727273</v>
      </c>
      <c r="T42" s="138">
        <v>0</v>
      </c>
      <c r="U42" s="138">
        <f>T42+'2'!U42</f>
        <v>69</v>
      </c>
      <c r="V42" s="138">
        <v>7</v>
      </c>
      <c r="W42" s="138">
        <f>V42+'2'!W42</f>
        <v>11</v>
      </c>
      <c r="X42" s="138">
        <v>0</v>
      </c>
      <c r="Y42" s="138">
        <f>X42+'2'!Y42</f>
        <v>0</v>
      </c>
      <c r="AB42" s="148">
        <v>32</v>
      </c>
      <c r="AC42" s="176" t="str">
        <f>'2'!AC42</f>
        <v>شمنديــــــــــــــل</v>
      </c>
      <c r="AD42" s="149">
        <f>'2'!AI42</f>
        <v>17</v>
      </c>
      <c r="AE42" s="140">
        <v>0</v>
      </c>
      <c r="AF42" s="149">
        <f>AE42+'2'!AF42</f>
        <v>78</v>
      </c>
      <c r="AG42" s="142">
        <v>8</v>
      </c>
      <c r="AH42" s="149">
        <f>AG42+'2'!AH42</f>
        <v>69</v>
      </c>
      <c r="AI42" s="142">
        <f t="shared" si="6"/>
        <v>9</v>
      </c>
      <c r="AJ42" s="150">
        <f t="shared" si="0"/>
        <v>8</v>
      </c>
      <c r="AK42" s="151">
        <f t="shared" si="1"/>
        <v>9.3768115942028984</v>
      </c>
      <c r="AW42" s="176" t="str">
        <f>'2'!AW42</f>
        <v>شمنديــــــــــــــل</v>
      </c>
      <c r="AX42" s="138">
        <f>'2'!AX42</f>
        <v>2</v>
      </c>
      <c r="AY42" s="138">
        <f>'2'!AY42</f>
        <v>569</v>
      </c>
      <c r="AZ42" s="138">
        <v>1</v>
      </c>
      <c r="BA42" s="138">
        <v>0</v>
      </c>
      <c r="BB42" s="138">
        <f>BA42+'2'!BB42</f>
        <v>453</v>
      </c>
      <c r="BC42" s="152">
        <f t="shared" si="2"/>
        <v>0.79613356766256593</v>
      </c>
      <c r="BD42" s="138">
        <f>'2'!BD42</f>
        <v>1</v>
      </c>
      <c r="BE42" s="138">
        <f>'2'!BE42</f>
        <v>39</v>
      </c>
      <c r="BF42" s="138">
        <v>2</v>
      </c>
      <c r="BG42" s="138">
        <v>0</v>
      </c>
      <c r="BH42" s="138">
        <f>BG42+'2'!BH42</f>
        <v>82</v>
      </c>
      <c r="BI42" s="152">
        <f t="shared" si="3"/>
        <v>2.1025641025641026</v>
      </c>
    </row>
    <row r="43" spans="1:61" ht="41.25" customHeight="1" x14ac:dyDescent="0.35">
      <c r="A43" s="148">
        <v>33</v>
      </c>
      <c r="B43" s="127" t="str">
        <f>'2'!B43</f>
        <v>كفور الرمل</v>
      </c>
      <c r="C43" s="137">
        <f>'2'!C43</f>
        <v>1721</v>
      </c>
      <c r="D43" s="137">
        <v>3</v>
      </c>
      <c r="E43" s="138">
        <v>10</v>
      </c>
      <c r="F43" s="139">
        <f>E43+'2'!F43</f>
        <v>17</v>
      </c>
      <c r="G43" s="139">
        <v>92</v>
      </c>
      <c r="H43" s="139">
        <f>G43+'2'!H43</f>
        <v>505</v>
      </c>
      <c r="I43" s="139">
        <v>72</v>
      </c>
      <c r="J43" s="139">
        <f>I43+'2'!J43</f>
        <v>718</v>
      </c>
      <c r="K43" s="139">
        <v>0</v>
      </c>
      <c r="L43" s="139">
        <f>K43+'2'!L43</f>
        <v>0</v>
      </c>
      <c r="M43" s="139">
        <v>0</v>
      </c>
      <c r="N43" s="139">
        <f>M43+'2'!N43</f>
        <v>0</v>
      </c>
      <c r="O43" s="139">
        <v>0</v>
      </c>
      <c r="P43" s="139">
        <f>O43+'2'!P43</f>
        <v>0</v>
      </c>
      <c r="Q43" s="142">
        <f t="shared" si="4"/>
        <v>174</v>
      </c>
      <c r="R43" s="142">
        <f>Q43+'2'!R43</f>
        <v>1240</v>
      </c>
      <c r="S43" s="170">
        <f t="shared" si="5"/>
        <v>0.72051133062173156</v>
      </c>
      <c r="T43" s="138">
        <v>0</v>
      </c>
      <c r="U43" s="138">
        <f>T43+'2'!U43</f>
        <v>192</v>
      </c>
      <c r="V43" s="138">
        <v>100</v>
      </c>
      <c r="W43" s="138">
        <f>V43+'2'!W43</f>
        <v>100</v>
      </c>
      <c r="X43" s="138">
        <v>0</v>
      </c>
      <c r="Y43" s="138">
        <f>X43+'2'!Y43</f>
        <v>0</v>
      </c>
      <c r="AB43" s="148">
        <v>33</v>
      </c>
      <c r="AC43" s="176" t="str">
        <f>'2'!AC43</f>
        <v>كفور الرمل</v>
      </c>
      <c r="AD43" s="149">
        <f>'2'!AI43</f>
        <v>34</v>
      </c>
      <c r="AE43" s="140">
        <v>0</v>
      </c>
      <c r="AF43" s="149">
        <f>AE43+'2'!AF43</f>
        <v>150</v>
      </c>
      <c r="AG43" s="142">
        <v>19</v>
      </c>
      <c r="AH43" s="149">
        <f>AG43+'2'!AH43</f>
        <v>135</v>
      </c>
      <c r="AI43" s="142">
        <f t="shared" si="6"/>
        <v>15</v>
      </c>
      <c r="AJ43" s="150">
        <f t="shared" si="0"/>
        <v>9.1578947368421044</v>
      </c>
      <c r="AK43" s="151">
        <f t="shared" si="1"/>
        <v>9.1851851851851851</v>
      </c>
      <c r="AW43" s="176" t="str">
        <f>'2'!AW43</f>
        <v>كفور الرمل</v>
      </c>
      <c r="AX43" s="138">
        <f>'2'!AX43</f>
        <v>4</v>
      </c>
      <c r="AY43" s="138">
        <f>'2'!AY43</f>
        <v>1335</v>
      </c>
      <c r="AZ43" s="138">
        <v>3</v>
      </c>
      <c r="BA43" s="138">
        <v>68</v>
      </c>
      <c r="BB43" s="138">
        <f>BA43+'2'!BB43</f>
        <v>918</v>
      </c>
      <c r="BC43" s="152">
        <f t="shared" si="2"/>
        <v>0.68764044943820224</v>
      </c>
      <c r="BD43" s="138">
        <f>'2'!BD43</f>
        <v>7</v>
      </c>
      <c r="BE43" s="138">
        <f>'2'!BE43</f>
        <v>753</v>
      </c>
      <c r="BF43" s="138">
        <v>3</v>
      </c>
      <c r="BG43" s="138">
        <v>32</v>
      </c>
      <c r="BH43" s="138">
        <f>BG43+'2'!BH43</f>
        <v>414</v>
      </c>
      <c r="BI43" s="152">
        <f t="shared" si="3"/>
        <v>0.54980079681274896</v>
      </c>
    </row>
    <row r="44" spans="1:61" ht="41.25" customHeight="1" x14ac:dyDescent="0.35">
      <c r="A44" s="148">
        <v>34</v>
      </c>
      <c r="B44" s="127" t="str">
        <f>'2'!B44</f>
        <v>منشأة أم خنان</v>
      </c>
      <c r="C44" s="137">
        <f>'2'!C44</f>
        <v>510</v>
      </c>
      <c r="D44" s="137">
        <v>2</v>
      </c>
      <c r="E44" s="138">
        <v>4</v>
      </c>
      <c r="F44" s="139">
        <f>E44+'2'!F44</f>
        <v>12</v>
      </c>
      <c r="G44" s="139">
        <v>45</v>
      </c>
      <c r="H44" s="139">
        <f>G44+'2'!H44</f>
        <v>194</v>
      </c>
      <c r="I44" s="139">
        <v>6</v>
      </c>
      <c r="J44" s="139">
        <f>I44+'2'!J44</f>
        <v>291</v>
      </c>
      <c r="K44" s="139">
        <v>0</v>
      </c>
      <c r="L44" s="139">
        <f>K44+'2'!L44</f>
        <v>0</v>
      </c>
      <c r="M44" s="139">
        <v>0</v>
      </c>
      <c r="N44" s="139">
        <f>M44+'2'!N44</f>
        <v>0</v>
      </c>
      <c r="O44" s="139">
        <v>0</v>
      </c>
      <c r="P44" s="139">
        <f>O44+'2'!P44</f>
        <v>0</v>
      </c>
      <c r="Q44" s="142">
        <f t="shared" si="4"/>
        <v>55</v>
      </c>
      <c r="R44" s="142">
        <f>Q44+'2'!R44</f>
        <v>497</v>
      </c>
      <c r="S44" s="170">
        <f t="shared" si="5"/>
        <v>0.97450980392156861</v>
      </c>
      <c r="T44" s="138">
        <v>4</v>
      </c>
      <c r="U44" s="138">
        <f>T44+'2'!U44</f>
        <v>11</v>
      </c>
      <c r="V44" s="138">
        <v>6</v>
      </c>
      <c r="W44" s="138">
        <f>V44+'2'!W44</f>
        <v>7</v>
      </c>
      <c r="X44" s="138">
        <v>0</v>
      </c>
      <c r="Y44" s="138">
        <f>X44+'2'!Y44</f>
        <v>0</v>
      </c>
      <c r="AB44" s="148">
        <v>34</v>
      </c>
      <c r="AC44" s="176" t="str">
        <f>'2'!AC44</f>
        <v>منشأة أم خنان</v>
      </c>
      <c r="AD44" s="149">
        <f>'2'!AI44</f>
        <v>10</v>
      </c>
      <c r="AE44" s="140">
        <v>0</v>
      </c>
      <c r="AF44" s="149">
        <f>AE44+'2'!AF44</f>
        <v>55</v>
      </c>
      <c r="AG44" s="142">
        <v>6</v>
      </c>
      <c r="AH44" s="149">
        <f>AG44+'2'!AH44</f>
        <v>51</v>
      </c>
      <c r="AI44" s="142">
        <f t="shared" si="6"/>
        <v>4</v>
      </c>
      <c r="AJ44" s="150">
        <f t="shared" si="0"/>
        <v>9.1666666666666661</v>
      </c>
      <c r="AK44" s="151">
        <f t="shared" si="1"/>
        <v>9.7450980392156854</v>
      </c>
      <c r="AW44" s="176" t="str">
        <f>'2'!AW44</f>
        <v>منشأة أم خنان</v>
      </c>
      <c r="AX44" s="138">
        <f>'2'!AX44</f>
        <v>1</v>
      </c>
      <c r="AY44" s="138">
        <f>'2'!AY44</f>
        <v>277</v>
      </c>
      <c r="AZ44" s="138">
        <v>1</v>
      </c>
      <c r="BA44" s="138">
        <v>0</v>
      </c>
      <c r="BB44" s="138">
        <f>BA44+'2'!BB44</f>
        <v>269</v>
      </c>
      <c r="BC44" s="152">
        <f t="shared" si="2"/>
        <v>0.97111913357400725</v>
      </c>
      <c r="BD44" s="138">
        <f>'2'!BD44</f>
        <v>3</v>
      </c>
      <c r="BE44" s="138">
        <f>'2'!BE44</f>
        <v>170</v>
      </c>
      <c r="BF44" s="138">
        <v>3</v>
      </c>
      <c r="BG44" s="138">
        <v>20</v>
      </c>
      <c r="BH44" s="138">
        <f>BG44+'2'!BH44</f>
        <v>115</v>
      </c>
      <c r="BI44" s="152">
        <f t="shared" si="3"/>
        <v>0.67647058823529416</v>
      </c>
    </row>
    <row r="45" spans="1:61" ht="41.25" customHeight="1" x14ac:dyDescent="0.35">
      <c r="A45" s="148">
        <v>35</v>
      </c>
      <c r="B45" s="58">
        <f>'2'!B45</f>
        <v>0</v>
      </c>
      <c r="C45" s="137">
        <f>'2'!C45</f>
        <v>0</v>
      </c>
      <c r="D45" s="137"/>
      <c r="E45" s="138"/>
      <c r="F45" s="139">
        <f>E45+'2'!F45</f>
        <v>0</v>
      </c>
      <c r="G45" s="139"/>
      <c r="H45" s="139">
        <f>G45+'2'!H45</f>
        <v>0</v>
      </c>
      <c r="I45" s="139"/>
      <c r="J45" s="139">
        <f>I45+'2'!J45</f>
        <v>0</v>
      </c>
      <c r="K45" s="139"/>
      <c r="L45" s="139">
        <f>K45+'2'!L45</f>
        <v>0</v>
      </c>
      <c r="M45" s="139"/>
      <c r="N45" s="139">
        <f>M45+'2'!N45</f>
        <v>0</v>
      </c>
      <c r="O45" s="139"/>
      <c r="P45" s="139">
        <f>O45+'2'!P45</f>
        <v>0</v>
      </c>
      <c r="Q45" s="142">
        <f t="shared" si="4"/>
        <v>0</v>
      </c>
      <c r="R45" s="142">
        <f>Q45+'2'!R45</f>
        <v>0</v>
      </c>
      <c r="S45" s="170" t="e">
        <f t="shared" si="5"/>
        <v>#DIV/0!</v>
      </c>
      <c r="T45" s="138"/>
      <c r="U45" s="138">
        <f>T45+'2'!U45</f>
        <v>0</v>
      </c>
      <c r="V45" s="138"/>
      <c r="W45" s="138">
        <f>V45+'2'!W45</f>
        <v>0</v>
      </c>
      <c r="X45" s="138"/>
      <c r="Y45" s="138">
        <f>X45+'2'!Y45</f>
        <v>0</v>
      </c>
      <c r="AB45" s="148">
        <v>35</v>
      </c>
      <c r="AC45" s="137">
        <f>'2'!AC45</f>
        <v>0</v>
      </c>
      <c r="AD45" s="149">
        <f>'2'!AI45</f>
        <v>0</v>
      </c>
      <c r="AE45" s="140"/>
      <c r="AF45" s="149">
        <f>AE45+'2'!AF45</f>
        <v>0</v>
      </c>
      <c r="AG45" s="142"/>
      <c r="AH45" s="149">
        <f>AG45+'2'!AH45</f>
        <v>0</v>
      </c>
      <c r="AI45" s="142">
        <f t="shared" si="6"/>
        <v>0</v>
      </c>
      <c r="AJ45" s="150" t="e">
        <f t="shared" si="0"/>
        <v>#DIV/0!</v>
      </c>
      <c r="AK45" s="151" t="e">
        <f t="shared" si="1"/>
        <v>#DIV/0!</v>
      </c>
      <c r="AW45" s="137">
        <f>'2'!AW45</f>
        <v>0</v>
      </c>
      <c r="AX45" s="138">
        <f>'2'!AX45</f>
        <v>0</v>
      </c>
      <c r="AY45" s="138">
        <f>'2'!AY45</f>
        <v>0</v>
      </c>
      <c r="AZ45" s="138"/>
      <c r="BA45" s="138"/>
      <c r="BB45" s="138">
        <f>BA45+'2'!BB45</f>
        <v>0</v>
      </c>
      <c r="BC45" s="152" t="e">
        <f t="shared" si="2"/>
        <v>#DIV/0!</v>
      </c>
      <c r="BD45" s="138">
        <f>'2'!BD45</f>
        <v>0</v>
      </c>
      <c r="BE45" s="138">
        <f>'2'!BE45</f>
        <v>0</v>
      </c>
      <c r="BF45" s="138"/>
      <c r="BG45" s="138"/>
      <c r="BH45" s="138">
        <f>BG45+'2'!BH45</f>
        <v>0</v>
      </c>
      <c r="BI45" s="152" t="e">
        <f t="shared" si="3"/>
        <v>#DIV/0!</v>
      </c>
    </row>
    <row r="46" spans="1:61" ht="41.25" customHeight="1" x14ac:dyDescent="0.35">
      <c r="A46" s="148">
        <v>36</v>
      </c>
      <c r="B46" s="58">
        <f>'2'!B46</f>
        <v>0</v>
      </c>
      <c r="C46" s="137">
        <f>'2'!C46</f>
        <v>0</v>
      </c>
      <c r="D46" s="137"/>
      <c r="E46" s="138"/>
      <c r="F46" s="139">
        <f>E46+'2'!F46</f>
        <v>0</v>
      </c>
      <c r="G46" s="139"/>
      <c r="H46" s="139">
        <f>G46+'2'!H46</f>
        <v>0</v>
      </c>
      <c r="I46" s="139"/>
      <c r="J46" s="139">
        <f>I46+'2'!J46</f>
        <v>0</v>
      </c>
      <c r="K46" s="139"/>
      <c r="L46" s="139">
        <f>K46+'2'!L46</f>
        <v>0</v>
      </c>
      <c r="M46" s="139"/>
      <c r="N46" s="139">
        <f>M46+'2'!N46</f>
        <v>0</v>
      </c>
      <c r="O46" s="139"/>
      <c r="P46" s="139">
        <f>O46+'2'!P46</f>
        <v>0</v>
      </c>
      <c r="Q46" s="142">
        <f t="shared" si="4"/>
        <v>0</v>
      </c>
      <c r="R46" s="142">
        <f>Q46+'2'!R46</f>
        <v>0</v>
      </c>
      <c r="S46" s="170" t="e">
        <f t="shared" si="5"/>
        <v>#DIV/0!</v>
      </c>
      <c r="T46" s="138"/>
      <c r="U46" s="138">
        <f>T46+'2'!U46</f>
        <v>0</v>
      </c>
      <c r="V46" s="138"/>
      <c r="W46" s="138">
        <f>V46+'2'!W46</f>
        <v>0</v>
      </c>
      <c r="X46" s="138"/>
      <c r="Y46" s="138">
        <f>X46+'2'!Y46</f>
        <v>0</v>
      </c>
      <c r="AB46" s="148">
        <v>36</v>
      </c>
      <c r="AC46" s="137">
        <f>'2'!AC46</f>
        <v>0</v>
      </c>
      <c r="AD46" s="149">
        <f>'2'!AI46</f>
        <v>0</v>
      </c>
      <c r="AE46" s="140"/>
      <c r="AF46" s="149">
        <f>AE46+'2'!AF46</f>
        <v>0</v>
      </c>
      <c r="AG46" s="142"/>
      <c r="AH46" s="149">
        <f>AG46+'2'!AH46</f>
        <v>0</v>
      </c>
      <c r="AI46" s="142">
        <f t="shared" si="6"/>
        <v>0</v>
      </c>
      <c r="AJ46" s="150" t="e">
        <f t="shared" si="0"/>
        <v>#DIV/0!</v>
      </c>
      <c r="AK46" s="151" t="e">
        <f t="shared" si="1"/>
        <v>#DIV/0!</v>
      </c>
      <c r="AW46" s="137">
        <f>'2'!AW46</f>
        <v>0</v>
      </c>
      <c r="AX46" s="138">
        <f>'2'!AX46</f>
        <v>0</v>
      </c>
      <c r="AY46" s="138">
        <f>'2'!AY46</f>
        <v>0</v>
      </c>
      <c r="AZ46" s="138"/>
      <c r="BA46" s="138"/>
      <c r="BB46" s="138">
        <f>BA46+'2'!BB46</f>
        <v>0</v>
      </c>
      <c r="BC46" s="152" t="e">
        <f t="shared" si="2"/>
        <v>#DIV/0!</v>
      </c>
      <c r="BD46" s="138">
        <f>'2'!BD46</f>
        <v>0</v>
      </c>
      <c r="BE46" s="138">
        <f>'2'!BE46</f>
        <v>0</v>
      </c>
      <c r="BF46" s="138"/>
      <c r="BG46" s="138"/>
      <c r="BH46" s="138">
        <f>BG46+'2'!BH46</f>
        <v>0</v>
      </c>
      <c r="BI46" s="152" t="e">
        <f t="shared" si="3"/>
        <v>#DIV/0!</v>
      </c>
    </row>
    <row r="47" spans="1:61" ht="41.25" customHeight="1" x14ac:dyDescent="0.35">
      <c r="A47" s="148">
        <v>37</v>
      </c>
      <c r="B47" s="58">
        <f>'2'!B47</f>
        <v>0</v>
      </c>
      <c r="C47" s="137">
        <f>'2'!C47</f>
        <v>0</v>
      </c>
      <c r="D47" s="137"/>
      <c r="E47" s="138"/>
      <c r="F47" s="139">
        <f>E47+'2'!F47</f>
        <v>0</v>
      </c>
      <c r="G47" s="139"/>
      <c r="H47" s="139">
        <f>G47+'2'!H47</f>
        <v>0</v>
      </c>
      <c r="I47" s="139"/>
      <c r="J47" s="139">
        <f>I47+'2'!J47</f>
        <v>0</v>
      </c>
      <c r="K47" s="139"/>
      <c r="L47" s="139">
        <f>K47+'2'!L47</f>
        <v>0</v>
      </c>
      <c r="M47" s="139"/>
      <c r="N47" s="139">
        <f>M47+'2'!N47</f>
        <v>0</v>
      </c>
      <c r="O47" s="139"/>
      <c r="P47" s="139">
        <f>O47+'2'!P47</f>
        <v>0</v>
      </c>
      <c r="Q47" s="142">
        <f t="shared" si="4"/>
        <v>0</v>
      </c>
      <c r="R47" s="142">
        <f>Q47+'2'!R47</f>
        <v>0</v>
      </c>
      <c r="S47" s="170" t="e">
        <f t="shared" si="5"/>
        <v>#DIV/0!</v>
      </c>
      <c r="T47" s="138"/>
      <c r="U47" s="138">
        <f>T47+'2'!U47</f>
        <v>0</v>
      </c>
      <c r="V47" s="138"/>
      <c r="W47" s="138">
        <f>V47+'2'!W47</f>
        <v>0</v>
      </c>
      <c r="X47" s="138"/>
      <c r="Y47" s="138">
        <f>X47+'2'!Y47</f>
        <v>0</v>
      </c>
      <c r="AB47" s="148">
        <v>37</v>
      </c>
      <c r="AC47" s="137">
        <f>'2'!AC47</f>
        <v>0</v>
      </c>
      <c r="AD47" s="149">
        <f>'2'!AI47</f>
        <v>0</v>
      </c>
      <c r="AE47" s="140"/>
      <c r="AF47" s="149">
        <f>AE47+'2'!AF47</f>
        <v>0</v>
      </c>
      <c r="AG47" s="142"/>
      <c r="AH47" s="149">
        <f>AG47+'2'!AH47</f>
        <v>0</v>
      </c>
      <c r="AI47" s="142">
        <f t="shared" si="6"/>
        <v>0</v>
      </c>
      <c r="AJ47" s="150" t="e">
        <f t="shared" si="0"/>
        <v>#DIV/0!</v>
      </c>
      <c r="AK47" s="151" t="e">
        <f t="shared" si="1"/>
        <v>#DIV/0!</v>
      </c>
      <c r="AW47" s="137">
        <f>'2'!AW47</f>
        <v>0</v>
      </c>
      <c r="AX47" s="138">
        <f>'2'!AX47</f>
        <v>0</v>
      </c>
      <c r="AY47" s="138">
        <f>'2'!AY47</f>
        <v>0</v>
      </c>
      <c r="AZ47" s="138"/>
      <c r="BA47" s="138"/>
      <c r="BB47" s="138">
        <f>BA47+'2'!BB47</f>
        <v>0</v>
      </c>
      <c r="BC47" s="152" t="e">
        <f t="shared" si="2"/>
        <v>#DIV/0!</v>
      </c>
      <c r="BD47" s="138">
        <f>'2'!BD47</f>
        <v>0</v>
      </c>
      <c r="BE47" s="138">
        <f>'2'!BE47</f>
        <v>0</v>
      </c>
      <c r="BF47" s="138"/>
      <c r="BG47" s="138"/>
      <c r="BH47" s="138">
        <f>BG47+'2'!BH47</f>
        <v>0</v>
      </c>
      <c r="BI47" s="152" t="e">
        <f t="shared" si="3"/>
        <v>#DIV/0!</v>
      </c>
    </row>
    <row r="48" spans="1:61" ht="41.25" customHeight="1" x14ac:dyDescent="0.35">
      <c r="A48" s="148">
        <v>38</v>
      </c>
      <c r="B48" s="58">
        <f>'2'!B48</f>
        <v>0</v>
      </c>
      <c r="C48" s="137">
        <f>'2'!C48</f>
        <v>0</v>
      </c>
      <c r="D48" s="137"/>
      <c r="E48" s="138"/>
      <c r="F48" s="139">
        <f>E48+'2'!F48</f>
        <v>0</v>
      </c>
      <c r="G48" s="139"/>
      <c r="H48" s="139">
        <f>G48+'2'!H48</f>
        <v>0</v>
      </c>
      <c r="I48" s="139"/>
      <c r="J48" s="139">
        <f>I48+'2'!J48</f>
        <v>0</v>
      </c>
      <c r="K48" s="139"/>
      <c r="L48" s="139">
        <f>K48+'2'!L48</f>
        <v>0</v>
      </c>
      <c r="M48" s="139"/>
      <c r="N48" s="139">
        <f>M48+'2'!N48</f>
        <v>0</v>
      </c>
      <c r="O48" s="139"/>
      <c r="P48" s="139">
        <f>O48+'2'!P48</f>
        <v>0</v>
      </c>
      <c r="Q48" s="142">
        <f t="shared" si="4"/>
        <v>0</v>
      </c>
      <c r="R48" s="142">
        <f>Q48+'2'!R48</f>
        <v>0</v>
      </c>
      <c r="S48" s="170" t="e">
        <f t="shared" si="5"/>
        <v>#DIV/0!</v>
      </c>
      <c r="T48" s="138"/>
      <c r="U48" s="138">
        <f>T48+'2'!U48</f>
        <v>0</v>
      </c>
      <c r="V48" s="138"/>
      <c r="W48" s="138">
        <f>V48+'2'!W48</f>
        <v>0</v>
      </c>
      <c r="X48" s="138"/>
      <c r="Y48" s="138">
        <f>X48+'2'!Y48</f>
        <v>0</v>
      </c>
      <c r="AB48" s="148">
        <v>38</v>
      </c>
      <c r="AC48" s="137">
        <f>'2'!AC48</f>
        <v>0</v>
      </c>
      <c r="AD48" s="149">
        <f>'2'!AI48</f>
        <v>0</v>
      </c>
      <c r="AE48" s="140"/>
      <c r="AF48" s="149">
        <f>AE48+'2'!AF48</f>
        <v>0</v>
      </c>
      <c r="AG48" s="142"/>
      <c r="AH48" s="149">
        <f>AG48+'2'!AH48</f>
        <v>0</v>
      </c>
      <c r="AI48" s="142">
        <f t="shared" si="6"/>
        <v>0</v>
      </c>
      <c r="AJ48" s="150" t="e">
        <f t="shared" si="0"/>
        <v>#DIV/0!</v>
      </c>
      <c r="AK48" s="151" t="e">
        <f t="shared" si="1"/>
        <v>#DIV/0!</v>
      </c>
      <c r="AW48" s="137">
        <f>'2'!AW48</f>
        <v>0</v>
      </c>
      <c r="AX48" s="138">
        <f>'2'!AX48</f>
        <v>0</v>
      </c>
      <c r="AY48" s="138">
        <f>'2'!AY48</f>
        <v>0</v>
      </c>
      <c r="AZ48" s="138"/>
      <c r="BA48" s="138"/>
      <c r="BB48" s="138">
        <f>BA48+'2'!BB48</f>
        <v>0</v>
      </c>
      <c r="BC48" s="152" t="e">
        <f t="shared" si="2"/>
        <v>#DIV/0!</v>
      </c>
      <c r="BD48" s="138">
        <f>'2'!BD48</f>
        <v>0</v>
      </c>
      <c r="BE48" s="138">
        <f>'2'!BE48</f>
        <v>0</v>
      </c>
      <c r="BF48" s="138"/>
      <c r="BG48" s="138"/>
      <c r="BH48" s="138">
        <f>BG48+'2'!BH48</f>
        <v>0</v>
      </c>
      <c r="BI48" s="152" t="e">
        <f t="shared" si="3"/>
        <v>#DIV/0!</v>
      </c>
    </row>
    <row r="49" spans="1:61" ht="41.25" customHeight="1" x14ac:dyDescent="0.35">
      <c r="A49" s="148">
        <v>39</v>
      </c>
      <c r="B49" s="58">
        <f>'2'!B49</f>
        <v>0</v>
      </c>
      <c r="C49" s="137">
        <f>'2'!C49</f>
        <v>0</v>
      </c>
      <c r="D49" s="137"/>
      <c r="E49" s="138"/>
      <c r="F49" s="139">
        <f>E49+'2'!F49</f>
        <v>0</v>
      </c>
      <c r="G49" s="139"/>
      <c r="H49" s="139">
        <f>G49+'2'!H49</f>
        <v>0</v>
      </c>
      <c r="I49" s="139"/>
      <c r="J49" s="139">
        <f>I49+'2'!J49</f>
        <v>0</v>
      </c>
      <c r="K49" s="139"/>
      <c r="L49" s="139">
        <f>K49+'2'!L49</f>
        <v>0</v>
      </c>
      <c r="M49" s="139"/>
      <c r="N49" s="139">
        <f>M49+'2'!N49</f>
        <v>0</v>
      </c>
      <c r="O49" s="139"/>
      <c r="P49" s="139">
        <f>O49+'2'!P49</f>
        <v>0</v>
      </c>
      <c r="Q49" s="142">
        <f t="shared" si="4"/>
        <v>0</v>
      </c>
      <c r="R49" s="142">
        <f>Q49+'2'!R49</f>
        <v>0</v>
      </c>
      <c r="S49" s="170" t="e">
        <f t="shared" si="5"/>
        <v>#DIV/0!</v>
      </c>
      <c r="T49" s="138"/>
      <c r="U49" s="138">
        <f>T49+'2'!U49</f>
        <v>0</v>
      </c>
      <c r="V49" s="138"/>
      <c r="W49" s="138">
        <f>V49+'2'!W49</f>
        <v>0</v>
      </c>
      <c r="X49" s="138"/>
      <c r="Y49" s="138">
        <f>X49+'2'!Y49</f>
        <v>0</v>
      </c>
      <c r="AB49" s="148">
        <v>39</v>
      </c>
      <c r="AC49" s="137">
        <f>'2'!AC49</f>
        <v>0</v>
      </c>
      <c r="AD49" s="149">
        <f>'2'!AI49</f>
        <v>0</v>
      </c>
      <c r="AE49" s="140"/>
      <c r="AF49" s="149">
        <f>AE49+'2'!AF49</f>
        <v>0</v>
      </c>
      <c r="AG49" s="142"/>
      <c r="AH49" s="149">
        <f>AG49+'2'!AH49</f>
        <v>0</v>
      </c>
      <c r="AI49" s="142">
        <f t="shared" si="6"/>
        <v>0</v>
      </c>
      <c r="AJ49" s="150" t="e">
        <f t="shared" si="0"/>
        <v>#DIV/0!</v>
      </c>
      <c r="AK49" s="151" t="e">
        <f t="shared" si="1"/>
        <v>#DIV/0!</v>
      </c>
      <c r="AW49" s="137">
        <f>'2'!AW49</f>
        <v>0</v>
      </c>
      <c r="AX49" s="138">
        <f>'2'!AX49</f>
        <v>0</v>
      </c>
      <c r="AY49" s="138">
        <f>'2'!AY49</f>
        <v>0</v>
      </c>
      <c r="AZ49" s="138"/>
      <c r="BA49" s="138"/>
      <c r="BB49" s="138">
        <f>BA49+'2'!BB49</f>
        <v>0</v>
      </c>
      <c r="BC49" s="152" t="e">
        <f t="shared" si="2"/>
        <v>#DIV/0!</v>
      </c>
      <c r="BD49" s="138">
        <f>'2'!BD49</f>
        <v>0</v>
      </c>
      <c r="BE49" s="138">
        <f>'2'!BE49</f>
        <v>0</v>
      </c>
      <c r="BF49" s="138"/>
      <c r="BG49" s="138"/>
      <c r="BH49" s="138">
        <f>BG49+'2'!BH49</f>
        <v>0</v>
      </c>
      <c r="BI49" s="152" t="e">
        <f t="shared" si="3"/>
        <v>#DIV/0!</v>
      </c>
    </row>
    <row r="50" spans="1:61" ht="75" customHeight="1" x14ac:dyDescent="0.35">
      <c r="A50" s="148">
        <v>40</v>
      </c>
      <c r="B50" s="58">
        <f>'2'!B50</f>
        <v>0</v>
      </c>
      <c r="C50" s="137">
        <f>'2'!C50</f>
        <v>0</v>
      </c>
      <c r="D50" s="137"/>
      <c r="E50" s="138"/>
      <c r="F50" s="139">
        <f>E50+'2'!F50</f>
        <v>0</v>
      </c>
      <c r="G50" s="139"/>
      <c r="H50" s="139">
        <f>G50+'2'!H50</f>
        <v>0</v>
      </c>
      <c r="I50" s="139"/>
      <c r="J50" s="139">
        <f>I50+'2'!J50</f>
        <v>0</v>
      </c>
      <c r="K50" s="139"/>
      <c r="L50" s="139">
        <f>K50+'2'!L50</f>
        <v>0</v>
      </c>
      <c r="M50" s="139"/>
      <c r="N50" s="139">
        <f>M50+'2'!N50</f>
        <v>0</v>
      </c>
      <c r="O50" s="139"/>
      <c r="P50" s="139">
        <f>O50+'2'!P50</f>
        <v>0</v>
      </c>
      <c r="Q50" s="142">
        <f t="shared" si="4"/>
        <v>0</v>
      </c>
      <c r="R50" s="142">
        <f>Q50+'2'!R50</f>
        <v>0</v>
      </c>
      <c r="S50" s="170" t="e">
        <f t="shared" si="5"/>
        <v>#DIV/0!</v>
      </c>
      <c r="T50" s="138"/>
      <c r="U50" s="138">
        <f>T50+'2'!U50</f>
        <v>0</v>
      </c>
      <c r="V50" s="138"/>
      <c r="W50" s="138">
        <f>V50+'2'!W50</f>
        <v>0</v>
      </c>
      <c r="X50" s="138"/>
      <c r="Y50" s="138">
        <f>X50+'2'!Y50</f>
        <v>0</v>
      </c>
      <c r="AB50" s="148">
        <v>40</v>
      </c>
      <c r="AC50" s="137">
        <f>'2'!AC50</f>
        <v>0</v>
      </c>
      <c r="AD50" s="149">
        <f>'2'!AI50</f>
        <v>0</v>
      </c>
      <c r="AE50" s="140"/>
      <c r="AF50" s="149">
        <f>AE50+'2'!AF50</f>
        <v>0</v>
      </c>
      <c r="AG50" s="142"/>
      <c r="AH50" s="149">
        <f>AG50+'2'!AH50</f>
        <v>0</v>
      </c>
      <c r="AI50" s="142">
        <f t="shared" si="6"/>
        <v>0</v>
      </c>
      <c r="AJ50" s="150" t="e">
        <f t="shared" si="0"/>
        <v>#DIV/0!</v>
      </c>
      <c r="AK50" s="151" t="e">
        <f t="shared" si="1"/>
        <v>#DIV/0!</v>
      </c>
      <c r="AW50" s="137">
        <f>'2'!AW50</f>
        <v>0</v>
      </c>
      <c r="AX50" s="138">
        <f>'2'!AX50</f>
        <v>0</v>
      </c>
      <c r="AY50" s="138">
        <f>'2'!AY50</f>
        <v>0</v>
      </c>
      <c r="AZ50" s="138"/>
      <c r="BA50" s="138"/>
      <c r="BB50" s="138">
        <f>BA50+'2'!BB50</f>
        <v>0</v>
      </c>
      <c r="BC50" s="152" t="e">
        <f t="shared" si="2"/>
        <v>#DIV/0!</v>
      </c>
      <c r="BD50" s="138">
        <f>'2'!BD50</f>
        <v>0</v>
      </c>
      <c r="BE50" s="138">
        <f>'2'!BE50</f>
        <v>0</v>
      </c>
      <c r="BF50" s="138"/>
      <c r="BG50" s="138"/>
      <c r="BH50" s="138">
        <f>BG50+'2'!BH50</f>
        <v>0</v>
      </c>
      <c r="BI50" s="152" t="e">
        <f t="shared" si="3"/>
        <v>#DIV/0!</v>
      </c>
    </row>
    <row r="51" spans="1:61" ht="41.25" customHeight="1" thickBot="1" x14ac:dyDescent="0.4">
      <c r="A51" s="273" t="s">
        <v>26</v>
      </c>
      <c r="B51" s="273"/>
      <c r="C51" s="157">
        <f>SUM(C11:C50)</f>
        <v>97446</v>
      </c>
      <c r="D51" s="157">
        <f>SUM(D11:D50)</f>
        <v>107</v>
      </c>
      <c r="E51" s="158">
        <f>SUM(E11:E50)</f>
        <v>206</v>
      </c>
      <c r="F51" s="158">
        <f>SUM(F11:F50)</f>
        <v>533</v>
      </c>
      <c r="G51" s="158">
        <f t="shared" ref="G51:R51" si="8">SUM(G11:G50)</f>
        <v>6600</v>
      </c>
      <c r="H51" s="158">
        <f t="shared" si="8"/>
        <v>14954</v>
      </c>
      <c r="I51" s="158">
        <f t="shared" si="8"/>
        <v>7188</v>
      </c>
      <c r="J51" s="158">
        <f t="shared" si="8"/>
        <v>37926</v>
      </c>
      <c r="K51" s="158">
        <f t="shared" si="8"/>
        <v>0</v>
      </c>
      <c r="L51" s="158">
        <f t="shared" si="8"/>
        <v>0</v>
      </c>
      <c r="M51" s="158">
        <f t="shared" si="8"/>
        <v>0</v>
      </c>
      <c r="N51" s="158">
        <f t="shared" si="8"/>
        <v>0</v>
      </c>
      <c r="O51" s="158">
        <f t="shared" si="8"/>
        <v>0</v>
      </c>
      <c r="P51" s="158">
        <f t="shared" si="8"/>
        <v>0</v>
      </c>
      <c r="Q51" s="158">
        <f t="shared" si="8"/>
        <v>13994</v>
      </c>
      <c r="R51" s="158">
        <f t="shared" si="8"/>
        <v>53413</v>
      </c>
      <c r="S51" s="159">
        <f>R51/C51</f>
        <v>0.54812922028610722</v>
      </c>
      <c r="T51" s="160">
        <f t="shared" ref="T51:Y51" si="9">SUM(T11:T50)</f>
        <v>1786</v>
      </c>
      <c r="U51" s="160">
        <f t="shared" si="9"/>
        <v>7532</v>
      </c>
      <c r="V51" s="160">
        <f t="shared" si="9"/>
        <v>480</v>
      </c>
      <c r="W51" s="160">
        <f t="shared" si="9"/>
        <v>1107</v>
      </c>
      <c r="X51" s="160">
        <f t="shared" si="9"/>
        <v>1</v>
      </c>
      <c r="Y51" s="160">
        <f t="shared" si="9"/>
        <v>2</v>
      </c>
      <c r="AB51" s="157" t="s">
        <v>29</v>
      </c>
      <c r="AC51" s="157"/>
      <c r="AD51" s="161">
        <f t="shared" ref="AD51:AI51" si="10">SUM(AD11:AD50)</f>
        <v>4509</v>
      </c>
      <c r="AE51" s="160">
        <f t="shared" si="10"/>
        <v>72</v>
      </c>
      <c r="AF51" s="137">
        <f t="shared" si="10"/>
        <v>8632</v>
      </c>
      <c r="AG51" s="137">
        <f t="shared" si="10"/>
        <v>1448</v>
      </c>
      <c r="AH51" s="137">
        <f t="shared" si="10"/>
        <v>5499</v>
      </c>
      <c r="AI51" s="137">
        <f t="shared" si="10"/>
        <v>3133</v>
      </c>
      <c r="AJ51" s="150">
        <f t="shared" si="0"/>
        <v>9.6643646408839778</v>
      </c>
      <c r="AK51" s="151">
        <f t="shared" si="1"/>
        <v>9.713220585561011</v>
      </c>
      <c r="AW51" s="162" t="s">
        <v>26</v>
      </c>
      <c r="AX51" s="163">
        <f>SUM(AX11:AX50)</f>
        <v>121</v>
      </c>
      <c r="AY51" s="163">
        <f>SUM(AY11:AY50)</f>
        <v>50910</v>
      </c>
      <c r="AZ51" s="163">
        <f>SUM(AZ11:AZ50)</f>
        <v>103</v>
      </c>
      <c r="BA51" s="163">
        <f>SUM(BA11:BA50)</f>
        <v>7633</v>
      </c>
      <c r="BB51" s="163">
        <f>SUM(BB11:BB50)</f>
        <v>39924</v>
      </c>
      <c r="BC51" s="164">
        <f t="shared" si="2"/>
        <v>0.78420742486741313</v>
      </c>
      <c r="BD51" s="165">
        <f>SUM(BD11:BD50)</f>
        <v>241</v>
      </c>
      <c r="BE51" s="165">
        <f>SUM(BE11:BE50)</f>
        <v>14990</v>
      </c>
      <c r="BF51" s="165">
        <f>SUM(BF11:BF50)</f>
        <v>114</v>
      </c>
      <c r="BG51" s="165">
        <f>SUM(BG11:BG50)</f>
        <v>4703</v>
      </c>
      <c r="BH51" s="165">
        <f>SUM(BH11:BH50)</f>
        <v>9274</v>
      </c>
      <c r="BI51" s="164">
        <f t="shared" si="3"/>
        <v>0.61867911941294196</v>
      </c>
    </row>
    <row r="52" spans="1:61" ht="41.25" customHeight="1" x14ac:dyDescent="0.35">
      <c r="AB52" s="166"/>
      <c r="AC52" s="166"/>
      <c r="AD52" s="166"/>
      <c r="AE52" s="166"/>
      <c r="AF52" s="167"/>
      <c r="AG52" s="167"/>
      <c r="AH52" s="167"/>
      <c r="AI52" s="168"/>
      <c r="AJ52" s="169"/>
      <c r="AK52" s="169"/>
    </row>
    <row r="54" spans="1:61" ht="41.25" customHeight="1" x14ac:dyDescent="0.35">
      <c r="G54" s="262" t="s">
        <v>36</v>
      </c>
      <c r="H54" s="262"/>
      <c r="I54" s="262"/>
      <c r="J54" s="262"/>
      <c r="K54" s="262"/>
      <c r="L54" s="262"/>
      <c r="M54" s="262"/>
      <c r="N54" s="262"/>
      <c r="O54" s="262"/>
      <c r="P54" s="262"/>
      <c r="Q54" s="262"/>
      <c r="R54" s="262"/>
      <c r="S54" s="262"/>
      <c r="AB54" s="263" t="s">
        <v>44</v>
      </c>
      <c r="AC54" s="263"/>
      <c r="AD54" s="263"/>
      <c r="AE54" s="263"/>
      <c r="AF54" s="263"/>
      <c r="AG54" s="263"/>
      <c r="AH54" s="263"/>
      <c r="AI54" s="263"/>
      <c r="AJ54" s="263"/>
      <c r="AK54" s="263"/>
      <c r="AL54" s="263"/>
      <c r="AM54" s="263"/>
      <c r="AN54" s="263"/>
    </row>
    <row r="55" spans="1:61" ht="41.25" customHeight="1" x14ac:dyDescent="0.35">
      <c r="AX55" s="263" t="s">
        <v>44</v>
      </c>
      <c r="AY55" s="263"/>
      <c r="AZ55" s="263"/>
      <c r="BA55" s="263"/>
      <c r="BB55" s="263"/>
      <c r="BC55" s="263"/>
      <c r="BD55" s="263"/>
      <c r="BE55" s="263"/>
      <c r="BF55" s="263"/>
      <c r="BG55" s="263"/>
      <c r="BH55" s="263"/>
      <c r="BI55" s="263"/>
    </row>
    <row r="56" spans="1:61" ht="41.25" customHeight="1" x14ac:dyDescent="0.35">
      <c r="AG56" s="175"/>
      <c r="AH56" s="175"/>
      <c r="AI56" s="175"/>
    </row>
  </sheetData>
  <mergeCells count="56">
    <mergeCell ref="A6:Y6"/>
    <mergeCell ref="AY6:BI6"/>
    <mergeCell ref="AF6:AN6"/>
    <mergeCell ref="A7:Y7"/>
    <mergeCell ref="A8:A10"/>
    <mergeCell ref="B8:B10"/>
    <mergeCell ref="C8:C10"/>
    <mergeCell ref="D8:D10"/>
    <mergeCell ref="E8:J8"/>
    <mergeCell ref="K8:P8"/>
    <mergeCell ref="Q8:R9"/>
    <mergeCell ref="S8:S10"/>
    <mergeCell ref="T8:U9"/>
    <mergeCell ref="V8:W9"/>
    <mergeCell ref="X8:Y9"/>
    <mergeCell ref="AW8:AW10"/>
    <mergeCell ref="AR8:AS8"/>
    <mergeCell ref="AT8:AT9"/>
    <mergeCell ref="AG8:AH9"/>
    <mergeCell ref="AI8:AI10"/>
    <mergeCell ref="AX8:BC8"/>
    <mergeCell ref="BD8:BI8"/>
    <mergeCell ref="AB8:AB10"/>
    <mergeCell ref="AC8:AC10"/>
    <mergeCell ref="AD8:AD10"/>
    <mergeCell ref="AE8:AF9"/>
    <mergeCell ref="AX9:AX10"/>
    <mergeCell ref="AY9:AY10"/>
    <mergeCell ref="AZ9:AZ10"/>
    <mergeCell ref="BA9:BA10"/>
    <mergeCell ref="E9:F9"/>
    <mergeCell ref="G9:H9"/>
    <mergeCell ref="I9:J9"/>
    <mergeCell ref="K9:L9"/>
    <mergeCell ref="M9:N9"/>
    <mergeCell ref="O9:P9"/>
    <mergeCell ref="A51:B51"/>
    <mergeCell ref="BB9:BB10"/>
    <mergeCell ref="BC9:BC10"/>
    <mergeCell ref="BD9:BD10"/>
    <mergeCell ref="BE9:BE10"/>
    <mergeCell ref="BF9:BF10"/>
    <mergeCell ref="AJ8:AJ10"/>
    <mergeCell ref="AM8:AM13"/>
    <mergeCell ref="AN8:AN9"/>
    <mergeCell ref="AO8:AO9"/>
    <mergeCell ref="G54:S54"/>
    <mergeCell ref="AB54:AN54"/>
    <mergeCell ref="AX55:BI55"/>
    <mergeCell ref="AK8:AK10"/>
    <mergeCell ref="BH9:BH10"/>
    <mergeCell ref="BI9:BI10"/>
    <mergeCell ref="AM14:AN14"/>
    <mergeCell ref="AO14:AS14"/>
    <mergeCell ref="BG9:BG10"/>
    <mergeCell ref="AP8:AQ8"/>
  </mergeCells>
  <pageMargins left="0.7" right="0.7" top="0.75" bottom="0.75" header="0.3" footer="0.3"/>
  <pageSetup paperSize="9" scale="17" orientation="landscape" r:id="rId1"/>
  <colBreaks count="2" manualBreakCount="2">
    <brk id="26" max="55" man="1"/>
    <brk id="47" max="5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663F9-81D3-4F87-8EAB-3377BE98D287}">
  <dimension ref="A1:BJ56"/>
  <sheetViews>
    <sheetView rightToLeft="1" view="pageBreakPreview" topLeftCell="AA1" zoomScale="55" zoomScaleNormal="29" zoomScalePageLayoutView="40" workbookViewId="0">
      <selection activeCell="AN15" sqref="AN15"/>
    </sheetView>
  </sheetViews>
  <sheetFormatPr defaultRowHeight="14.5" x14ac:dyDescent="0.35"/>
  <cols>
    <col min="1" max="1" width="11.26953125" style="1" customWidth="1"/>
    <col min="2" max="4" width="18.7265625" style="1" customWidth="1"/>
    <col min="5" max="6" width="15.26953125" customWidth="1"/>
    <col min="7" max="7" width="18.453125" customWidth="1"/>
    <col min="8" max="8" width="16.81640625" customWidth="1"/>
    <col min="9" max="9" width="15.26953125" customWidth="1"/>
    <col min="10" max="10" width="15.54296875" customWidth="1"/>
    <col min="11" max="23" width="15.26953125" customWidth="1"/>
    <col min="24" max="25" width="12.54296875" customWidth="1"/>
    <col min="27" max="27" width="19.1796875" customWidth="1"/>
    <col min="28" max="30" width="15.26953125" customWidth="1"/>
    <col min="31" max="32" width="13.7265625" customWidth="1"/>
    <col min="33" max="33" width="14.1796875" customWidth="1"/>
    <col min="34" max="34" width="13" customWidth="1"/>
    <col min="35" max="35" width="18.26953125" customWidth="1"/>
    <col min="36" max="40" width="15" customWidth="1"/>
    <col min="41" max="41" width="16.7265625" customWidth="1"/>
    <col min="42" max="42" width="18" customWidth="1"/>
    <col min="43" max="46" width="15" customWidth="1"/>
    <col min="47" max="47" width="14" style="1" customWidth="1"/>
    <col min="49" max="49" width="15.1796875" customWidth="1"/>
    <col min="50" max="50" width="22.26953125" customWidth="1"/>
    <col min="51" max="51" width="16.26953125" customWidth="1"/>
    <col min="52" max="52" width="13.453125" customWidth="1"/>
    <col min="53" max="53" width="14" customWidth="1"/>
    <col min="54" max="54" width="11.7265625" customWidth="1"/>
    <col min="55" max="55" width="14.26953125" customWidth="1"/>
    <col min="56" max="56" width="17.7265625" customWidth="1"/>
    <col min="57" max="57" width="22.453125" customWidth="1"/>
    <col min="58" max="58" width="17.7265625" customWidth="1"/>
    <col min="59" max="59" width="11.7265625" customWidth="1"/>
    <col min="60" max="60" width="16.81640625" customWidth="1"/>
    <col min="61" max="61" width="12.81640625" customWidth="1"/>
    <col min="62" max="62" width="15.26953125" customWidth="1"/>
  </cols>
  <sheetData>
    <row r="1" spans="1:62" s="21" customFormat="1" ht="23.5" x14ac:dyDescent="0.55000000000000004">
      <c r="A1" s="22" t="s">
        <v>0</v>
      </c>
      <c r="B1" s="22"/>
      <c r="C1" s="22"/>
      <c r="D1" s="18"/>
      <c r="E1" s="18"/>
      <c r="F1" s="18"/>
      <c r="G1" s="18"/>
      <c r="H1" s="18"/>
      <c r="I1" s="18"/>
      <c r="J1" s="18"/>
      <c r="K1" s="18"/>
      <c r="L1" s="18"/>
      <c r="M1" s="18"/>
      <c r="N1" s="19"/>
      <c r="O1" s="19"/>
      <c r="P1" s="18"/>
      <c r="Q1" s="18"/>
      <c r="R1" s="18"/>
      <c r="S1" s="18"/>
      <c r="T1" s="18"/>
      <c r="U1" s="18"/>
      <c r="V1" s="18"/>
      <c r="W1" s="18"/>
      <c r="X1" s="18"/>
      <c r="Y1" s="18"/>
      <c r="AA1" s="29"/>
      <c r="AB1" s="22" t="s">
        <v>0</v>
      </c>
      <c r="AC1" s="22"/>
      <c r="AD1" s="29"/>
      <c r="AE1" s="29"/>
      <c r="AF1" s="29"/>
      <c r="AU1" s="54"/>
      <c r="AW1" s="22" t="s">
        <v>0</v>
      </c>
      <c r="AX1" s="22"/>
      <c r="AY1" s="22"/>
      <c r="AZ1" s="18"/>
      <c r="BA1" s="18"/>
      <c r="BB1" s="18"/>
      <c r="BC1" s="18"/>
      <c r="BD1" s="18"/>
      <c r="BE1" s="20"/>
      <c r="BF1" s="19"/>
      <c r="BI1" s="29"/>
      <c r="BJ1" s="29"/>
    </row>
    <row r="2" spans="1:62" s="21" customFormat="1" ht="23.5" x14ac:dyDescent="0.55000000000000004">
      <c r="A2" s="22" t="s">
        <v>21</v>
      </c>
      <c r="B2" s="22"/>
      <c r="C2" s="22"/>
      <c r="D2" s="18"/>
      <c r="E2" s="18"/>
      <c r="F2" s="18"/>
      <c r="G2" s="18"/>
      <c r="H2" s="18"/>
      <c r="I2" s="18"/>
      <c r="J2" s="18"/>
      <c r="K2" s="18"/>
      <c r="L2" s="18"/>
      <c r="M2" s="18"/>
      <c r="N2" s="19"/>
      <c r="O2" s="19"/>
      <c r="P2" s="18"/>
      <c r="Q2" s="18"/>
      <c r="R2" s="18"/>
      <c r="S2" s="18"/>
      <c r="T2" s="18"/>
      <c r="U2" s="18"/>
      <c r="V2" s="18"/>
      <c r="W2" s="18"/>
      <c r="X2" s="18"/>
      <c r="Y2" s="18"/>
      <c r="AA2" s="29"/>
      <c r="AB2" s="22" t="s">
        <v>21</v>
      </c>
      <c r="AC2" s="22"/>
      <c r="AD2" s="29"/>
      <c r="AE2" s="29"/>
      <c r="AF2" s="29"/>
      <c r="AU2" s="54"/>
      <c r="AW2" s="22" t="s">
        <v>21</v>
      </c>
      <c r="AX2" s="22"/>
      <c r="AY2" s="22"/>
      <c r="AZ2" s="18"/>
      <c r="BA2" s="18"/>
      <c r="BB2" s="18"/>
      <c r="BC2" s="18"/>
      <c r="BD2" s="18"/>
      <c r="BE2" s="20"/>
      <c r="BF2" s="19"/>
      <c r="BI2" s="29"/>
      <c r="BJ2" s="29"/>
    </row>
    <row r="3" spans="1:62" s="21" customFormat="1" ht="23.5" x14ac:dyDescent="0.55000000000000004">
      <c r="A3" s="22" t="s">
        <v>22</v>
      </c>
      <c r="B3" s="22"/>
      <c r="C3" s="22"/>
      <c r="D3" s="18"/>
      <c r="E3" s="18"/>
      <c r="F3" s="18"/>
      <c r="G3" s="18"/>
      <c r="H3" s="18"/>
      <c r="I3" s="18"/>
      <c r="J3" s="18"/>
      <c r="K3" s="18"/>
      <c r="L3" s="18"/>
      <c r="M3" s="18"/>
      <c r="N3" s="19"/>
      <c r="O3" s="19"/>
      <c r="P3" s="18"/>
      <c r="Q3" s="18"/>
      <c r="R3" s="18"/>
      <c r="S3" s="18"/>
      <c r="T3" s="18"/>
      <c r="U3" s="18"/>
      <c r="V3" s="18"/>
      <c r="W3" s="18"/>
      <c r="X3" s="18"/>
      <c r="Y3" s="18"/>
      <c r="AA3" s="29"/>
      <c r="AB3" s="22" t="s">
        <v>22</v>
      </c>
      <c r="AC3" s="22"/>
      <c r="AD3" s="29"/>
      <c r="AE3" s="29"/>
      <c r="AF3" s="29"/>
      <c r="AU3" s="54"/>
      <c r="AW3" s="22" t="s">
        <v>22</v>
      </c>
      <c r="AX3" s="22"/>
      <c r="AY3" s="22"/>
      <c r="AZ3" s="18"/>
      <c r="BA3" s="18"/>
      <c r="BB3" s="18"/>
      <c r="BC3" s="18"/>
      <c r="BD3" s="18"/>
      <c r="BE3" s="20"/>
      <c r="BF3" s="19"/>
      <c r="BI3" s="29"/>
      <c r="BJ3" s="29"/>
    </row>
    <row r="4" spans="1:62" s="21" customFormat="1" ht="23.5" x14ac:dyDescent="0.55000000000000004">
      <c r="A4" s="22" t="s">
        <v>23</v>
      </c>
      <c r="B4" s="22"/>
      <c r="C4" s="22"/>
      <c r="D4" s="19"/>
      <c r="E4" s="20"/>
      <c r="F4" s="20"/>
      <c r="G4" s="20"/>
      <c r="H4" s="20"/>
      <c r="I4" s="18"/>
      <c r="J4" s="18"/>
      <c r="K4" s="18"/>
      <c r="L4" s="18"/>
      <c r="M4" s="18"/>
      <c r="N4" s="19"/>
      <c r="O4" s="19"/>
      <c r="P4" s="18"/>
      <c r="Q4" s="18"/>
      <c r="R4" s="18"/>
      <c r="S4" s="18"/>
      <c r="T4" s="18"/>
      <c r="U4" s="18"/>
      <c r="V4" s="18"/>
      <c r="W4" s="18"/>
      <c r="X4" s="18"/>
      <c r="Y4" s="18"/>
      <c r="AB4" s="22" t="s">
        <v>23</v>
      </c>
      <c r="AC4" s="22"/>
      <c r="AU4" s="54"/>
      <c r="AW4" s="22" t="s">
        <v>23</v>
      </c>
      <c r="AX4" s="22"/>
      <c r="AY4" s="22"/>
      <c r="AZ4" s="19"/>
      <c r="BA4" s="18"/>
      <c r="BB4" s="18"/>
      <c r="BC4" s="18"/>
      <c r="BD4" s="18"/>
      <c r="BE4" s="20"/>
      <c r="BF4" s="19"/>
    </row>
    <row r="5" spans="1:62" s="21" customFormat="1" ht="23.5" x14ac:dyDescent="0.55000000000000004">
      <c r="A5" s="22" t="s">
        <v>1</v>
      </c>
      <c r="B5" s="22"/>
      <c r="C5" s="22"/>
      <c r="D5" s="19"/>
      <c r="E5" s="18"/>
      <c r="F5" s="18"/>
      <c r="G5" s="18"/>
      <c r="H5" s="18"/>
      <c r="I5" s="18"/>
      <c r="J5" s="18"/>
      <c r="K5" s="18"/>
      <c r="L5" s="18"/>
      <c r="M5" s="18"/>
      <c r="N5" s="19"/>
      <c r="O5" s="19"/>
      <c r="P5" s="18"/>
      <c r="Q5" s="18"/>
      <c r="R5" s="18"/>
      <c r="S5" s="18"/>
      <c r="T5" s="18"/>
      <c r="U5" s="18"/>
      <c r="V5" s="18"/>
      <c r="W5" s="18"/>
      <c r="X5" s="18"/>
      <c r="Y5" s="18"/>
      <c r="AB5" s="22" t="s">
        <v>1</v>
      </c>
      <c r="AC5" s="22"/>
      <c r="AU5" s="54"/>
      <c r="AW5" s="22" t="s">
        <v>1</v>
      </c>
      <c r="AX5" s="22"/>
      <c r="AY5" s="22"/>
      <c r="AZ5" s="19"/>
      <c r="BA5" s="18"/>
      <c r="BB5" s="18"/>
      <c r="BC5" s="18"/>
      <c r="BD5" s="18"/>
      <c r="BE5" s="20"/>
      <c r="BF5" s="19"/>
    </row>
    <row r="6" spans="1:62" ht="20" x14ac:dyDescent="0.4">
      <c r="A6" s="362" t="s">
        <v>18</v>
      </c>
      <c r="B6" s="362"/>
      <c r="C6" s="362"/>
      <c r="D6" s="362"/>
      <c r="E6" s="362"/>
      <c r="F6" s="362"/>
      <c r="G6" s="362"/>
      <c r="H6" s="362"/>
      <c r="I6" s="362"/>
      <c r="J6" s="362"/>
      <c r="K6" s="362"/>
      <c r="L6" s="362"/>
      <c r="M6" s="362"/>
      <c r="N6" s="362"/>
      <c r="O6" s="362"/>
      <c r="P6" s="362"/>
      <c r="Q6" s="362"/>
      <c r="R6" s="362"/>
      <c r="S6" s="362"/>
      <c r="T6" s="362"/>
      <c r="U6" s="362"/>
      <c r="V6" s="362"/>
      <c r="W6" s="362"/>
      <c r="X6" s="362"/>
      <c r="Y6" s="362"/>
      <c r="AF6" s="362" t="s">
        <v>16</v>
      </c>
      <c r="AG6" s="362"/>
      <c r="AH6" s="362"/>
      <c r="AI6" s="362"/>
      <c r="AJ6" s="362"/>
      <c r="AK6" s="362"/>
      <c r="AL6" s="362"/>
      <c r="AM6" s="362"/>
      <c r="AN6" s="362"/>
      <c r="AO6" s="24"/>
      <c r="AP6" s="24"/>
      <c r="AQ6" s="24"/>
      <c r="AR6" s="24"/>
      <c r="AS6" s="24"/>
      <c r="AT6" s="24"/>
      <c r="AY6" s="362" t="s">
        <v>30</v>
      </c>
      <c r="AZ6" s="362"/>
      <c r="BA6" s="362"/>
      <c r="BB6" s="362"/>
      <c r="BC6" s="362"/>
      <c r="BD6" s="362"/>
      <c r="BE6" s="362"/>
      <c r="BF6" s="362"/>
      <c r="BG6" s="362"/>
      <c r="BH6" s="362"/>
      <c r="BI6" s="362"/>
    </row>
    <row r="7" spans="1:62" ht="20.5" thickBot="1" x14ac:dyDescent="0.45">
      <c r="A7" s="363" t="s">
        <v>27</v>
      </c>
      <c r="B7" s="364"/>
      <c r="C7" s="364"/>
      <c r="D7" s="364"/>
      <c r="E7" s="363"/>
      <c r="F7" s="363"/>
      <c r="G7" s="363"/>
      <c r="H7" s="363"/>
      <c r="I7" s="363"/>
      <c r="J7" s="363"/>
      <c r="K7" s="363"/>
      <c r="L7" s="363"/>
      <c r="M7" s="363"/>
      <c r="N7" s="363"/>
      <c r="O7" s="363"/>
      <c r="P7" s="363"/>
      <c r="Q7" s="363"/>
      <c r="R7" s="363"/>
      <c r="S7" s="363"/>
      <c r="T7" s="364"/>
      <c r="U7" s="364"/>
      <c r="V7" s="364"/>
      <c r="W7" s="364"/>
      <c r="X7" s="364"/>
      <c r="Y7" s="364"/>
      <c r="AJ7" s="25" t="s">
        <v>31</v>
      </c>
      <c r="AK7" s="25"/>
      <c r="AL7" s="25"/>
      <c r="AN7" s="25"/>
      <c r="AO7" s="25"/>
      <c r="AP7" s="25"/>
      <c r="AQ7" s="25"/>
      <c r="AS7" s="25"/>
      <c r="AT7" s="25"/>
      <c r="BC7" s="25" t="s">
        <v>31</v>
      </c>
      <c r="BD7" s="25"/>
      <c r="BF7" s="25"/>
      <c r="BG7" s="25"/>
      <c r="BH7" s="25"/>
      <c r="BI7" s="25"/>
      <c r="BJ7" s="25"/>
    </row>
    <row r="8" spans="1:62" ht="41.5" customHeight="1" x14ac:dyDescent="0.35">
      <c r="A8" s="326" t="s">
        <v>24</v>
      </c>
      <c r="B8" s="365" t="s">
        <v>25</v>
      </c>
      <c r="C8" s="366" t="s">
        <v>11</v>
      </c>
      <c r="D8" s="366" t="s">
        <v>15</v>
      </c>
      <c r="E8" s="330" t="s">
        <v>5</v>
      </c>
      <c r="F8" s="330"/>
      <c r="G8" s="330"/>
      <c r="H8" s="330"/>
      <c r="I8" s="330"/>
      <c r="J8" s="330"/>
      <c r="K8" s="330" t="s">
        <v>7</v>
      </c>
      <c r="L8" s="330"/>
      <c r="M8" s="330"/>
      <c r="N8" s="330"/>
      <c r="O8" s="330"/>
      <c r="P8" s="330"/>
      <c r="Q8" s="356" t="s">
        <v>2</v>
      </c>
      <c r="R8" s="350"/>
      <c r="S8" s="358" t="s">
        <v>12</v>
      </c>
      <c r="T8" s="323" t="s">
        <v>8</v>
      </c>
      <c r="U8" s="323"/>
      <c r="V8" s="323" t="s">
        <v>9</v>
      </c>
      <c r="W8" s="323"/>
      <c r="X8" s="323" t="s">
        <v>20</v>
      </c>
      <c r="Y8" s="323"/>
      <c r="AB8" s="326" t="s">
        <v>24</v>
      </c>
      <c r="AC8" s="342" t="s">
        <v>28</v>
      </c>
      <c r="AD8" s="342" t="s">
        <v>14</v>
      </c>
      <c r="AE8" s="345" t="s">
        <v>45</v>
      </c>
      <c r="AF8" s="346"/>
      <c r="AG8" s="349" t="s">
        <v>10</v>
      </c>
      <c r="AH8" s="350"/>
      <c r="AI8" s="353" t="s">
        <v>46</v>
      </c>
      <c r="AJ8" s="336" t="s">
        <v>51</v>
      </c>
      <c r="AK8" s="336" t="s">
        <v>47</v>
      </c>
      <c r="AM8" s="339" t="s">
        <v>41</v>
      </c>
      <c r="AN8" s="341" t="s">
        <v>38</v>
      </c>
      <c r="AO8" s="341" t="s">
        <v>14</v>
      </c>
      <c r="AP8" s="341" t="s">
        <v>39</v>
      </c>
      <c r="AQ8" s="341"/>
      <c r="AR8" s="341" t="s">
        <v>50</v>
      </c>
      <c r="AS8" s="341"/>
      <c r="AT8" s="324" t="s">
        <v>40</v>
      </c>
      <c r="AU8" s="55"/>
      <c r="AW8" s="326" t="s">
        <v>28</v>
      </c>
      <c r="AX8" s="329" t="s">
        <v>48</v>
      </c>
      <c r="AY8" s="330"/>
      <c r="AZ8" s="330"/>
      <c r="BA8" s="330"/>
      <c r="BB8" s="330"/>
      <c r="BC8" s="331"/>
      <c r="BD8" s="332" t="s">
        <v>49</v>
      </c>
      <c r="BE8" s="330"/>
      <c r="BF8" s="330"/>
      <c r="BG8" s="330"/>
      <c r="BH8" s="330"/>
      <c r="BI8" s="331"/>
    </row>
    <row r="9" spans="1:62" ht="19.149999999999999" customHeight="1" x14ac:dyDescent="0.35">
      <c r="A9" s="327"/>
      <c r="B9" s="365"/>
      <c r="C9" s="366"/>
      <c r="D9" s="366"/>
      <c r="E9" s="333" t="s">
        <v>6</v>
      </c>
      <c r="F9" s="334"/>
      <c r="G9" s="335" t="s">
        <v>13</v>
      </c>
      <c r="H9" s="334"/>
      <c r="I9" s="323" t="s">
        <v>19</v>
      </c>
      <c r="J9" s="323"/>
      <c r="K9" s="333" t="s">
        <v>6</v>
      </c>
      <c r="L9" s="334"/>
      <c r="M9" s="335" t="s">
        <v>13</v>
      </c>
      <c r="N9" s="334"/>
      <c r="O9" s="323" t="s">
        <v>19</v>
      </c>
      <c r="P9" s="323"/>
      <c r="Q9" s="357"/>
      <c r="R9" s="352"/>
      <c r="S9" s="359"/>
      <c r="T9" s="323"/>
      <c r="U9" s="323"/>
      <c r="V9" s="323"/>
      <c r="W9" s="323"/>
      <c r="X9" s="323"/>
      <c r="Y9" s="323"/>
      <c r="AB9" s="327"/>
      <c r="AC9" s="343"/>
      <c r="AD9" s="343"/>
      <c r="AE9" s="347"/>
      <c r="AF9" s="348"/>
      <c r="AG9" s="351"/>
      <c r="AH9" s="352"/>
      <c r="AI9" s="354"/>
      <c r="AJ9" s="337"/>
      <c r="AK9" s="337"/>
      <c r="AM9" s="340"/>
      <c r="AN9" s="323"/>
      <c r="AO9" s="323"/>
      <c r="AP9" s="8" t="s">
        <v>3</v>
      </c>
      <c r="AQ9" s="8" t="s">
        <v>4</v>
      </c>
      <c r="AR9" s="43" t="s">
        <v>3</v>
      </c>
      <c r="AS9" s="43" t="s">
        <v>4</v>
      </c>
      <c r="AT9" s="325"/>
      <c r="AU9" s="55"/>
      <c r="AW9" s="327"/>
      <c r="AX9" s="314" t="s">
        <v>17</v>
      </c>
      <c r="AY9" s="314" t="s">
        <v>11</v>
      </c>
      <c r="AZ9" s="314" t="s">
        <v>32</v>
      </c>
      <c r="BA9" s="314" t="s">
        <v>37</v>
      </c>
      <c r="BB9" s="314" t="s">
        <v>34</v>
      </c>
      <c r="BC9" s="314" t="s">
        <v>12</v>
      </c>
      <c r="BD9" s="314" t="s">
        <v>33</v>
      </c>
      <c r="BE9" s="314" t="s">
        <v>11</v>
      </c>
      <c r="BF9" s="314" t="s">
        <v>35</v>
      </c>
      <c r="BG9" s="314" t="s">
        <v>37</v>
      </c>
      <c r="BH9" s="314" t="s">
        <v>34</v>
      </c>
      <c r="BI9" s="314" t="s">
        <v>12</v>
      </c>
    </row>
    <row r="10" spans="1:62" ht="53.5" customHeight="1" thickBot="1" x14ac:dyDescent="0.4">
      <c r="A10" s="328"/>
      <c r="B10" s="365"/>
      <c r="C10" s="366"/>
      <c r="D10" s="366"/>
      <c r="E10" s="7" t="s">
        <v>3</v>
      </c>
      <c r="F10" s="8" t="s">
        <v>4</v>
      </c>
      <c r="G10" s="7" t="s">
        <v>3</v>
      </c>
      <c r="H10" s="8" t="s">
        <v>4</v>
      </c>
      <c r="I10" s="8" t="s">
        <v>3</v>
      </c>
      <c r="J10" s="8" t="s">
        <v>4</v>
      </c>
      <c r="K10" s="7" t="s">
        <v>3</v>
      </c>
      <c r="L10" s="8" t="s">
        <v>4</v>
      </c>
      <c r="M10" s="7" t="s">
        <v>3</v>
      </c>
      <c r="N10" s="8" t="s">
        <v>4</v>
      </c>
      <c r="O10" s="8" t="s">
        <v>3</v>
      </c>
      <c r="P10" s="8" t="s">
        <v>4</v>
      </c>
      <c r="Q10" s="9" t="s">
        <v>3</v>
      </c>
      <c r="R10" s="9" t="s">
        <v>4</v>
      </c>
      <c r="S10" s="360"/>
      <c r="T10" s="8" t="s">
        <v>3</v>
      </c>
      <c r="U10" s="8" t="s">
        <v>4</v>
      </c>
      <c r="V10" s="8" t="s">
        <v>3</v>
      </c>
      <c r="W10" s="8" t="s">
        <v>4</v>
      </c>
      <c r="X10" s="8" t="s">
        <v>3</v>
      </c>
      <c r="Y10" s="8" t="s">
        <v>4</v>
      </c>
      <c r="AB10" s="361"/>
      <c r="AC10" s="344"/>
      <c r="AD10" s="344"/>
      <c r="AE10" s="49" t="s">
        <v>3</v>
      </c>
      <c r="AF10" s="50" t="s">
        <v>4</v>
      </c>
      <c r="AG10" s="51" t="s">
        <v>3</v>
      </c>
      <c r="AH10" s="52" t="s">
        <v>4</v>
      </c>
      <c r="AI10" s="355"/>
      <c r="AJ10" s="338"/>
      <c r="AK10" s="338"/>
      <c r="AM10" s="340"/>
      <c r="AN10" s="42" t="str">
        <f>'3'!AN10</f>
        <v>0124W120</v>
      </c>
      <c r="AO10" s="42">
        <f>'3'!AT10</f>
        <v>48</v>
      </c>
      <c r="AP10" s="42"/>
      <c r="AQ10" s="17">
        <f>AP10+'3'!AQ10</f>
        <v>73</v>
      </c>
      <c r="AR10" s="17"/>
      <c r="AS10" s="17">
        <f>AR10+'3'!AS10</f>
        <v>25</v>
      </c>
      <c r="AT10" s="44">
        <f>AO10+AP10-AR10</f>
        <v>48</v>
      </c>
      <c r="AU10" s="56"/>
      <c r="AW10" s="328"/>
      <c r="AX10" s="315"/>
      <c r="AY10" s="315"/>
      <c r="AZ10" s="315"/>
      <c r="BA10" s="315"/>
      <c r="BB10" s="315"/>
      <c r="BC10" s="315"/>
      <c r="BD10" s="315"/>
      <c r="BE10" s="315"/>
      <c r="BF10" s="315"/>
      <c r="BG10" s="315"/>
      <c r="BH10" s="315"/>
      <c r="BI10" s="315"/>
    </row>
    <row r="11" spans="1:62" ht="41.5" customHeight="1" x14ac:dyDescent="0.35">
      <c r="A11" s="5">
        <v>1</v>
      </c>
      <c r="B11" s="26" t="str">
        <f>'3'!B11</f>
        <v>مكتب الصحة</v>
      </c>
      <c r="C11" s="26">
        <f>'3'!C11</f>
        <v>12251</v>
      </c>
      <c r="D11" s="26"/>
      <c r="E11" s="12"/>
      <c r="F11" s="2">
        <f>E11+'3'!F11</f>
        <v>39</v>
      </c>
      <c r="G11" s="2"/>
      <c r="H11" s="2">
        <f>G11+'3'!H11</f>
        <v>1961</v>
      </c>
      <c r="I11" s="2"/>
      <c r="J11" s="2">
        <f>I11+'3'!J11</f>
        <v>5340</v>
      </c>
      <c r="K11" s="2"/>
      <c r="L11" s="2">
        <f>K11+'3'!L11</f>
        <v>0</v>
      </c>
      <c r="M11" s="2"/>
      <c r="N11" s="2">
        <f>M11+'3'!N11</f>
        <v>0</v>
      </c>
      <c r="O11" s="2"/>
      <c r="P11" s="2">
        <f>O11+'3'!P11</f>
        <v>0</v>
      </c>
      <c r="Q11" s="4">
        <f>O11+M11+K11+I11+G11+E11</f>
        <v>0</v>
      </c>
      <c r="R11" s="4">
        <f>Q11+'3'!R11</f>
        <v>7340</v>
      </c>
      <c r="S11" s="27">
        <f>R11/C11</f>
        <v>0.5991347645090197</v>
      </c>
      <c r="T11" s="12"/>
      <c r="U11" s="12">
        <f>T11+'3'!U11</f>
        <v>1397</v>
      </c>
      <c r="V11" s="12"/>
      <c r="W11" s="12">
        <f>V11+'3'!W11</f>
        <v>4</v>
      </c>
      <c r="X11" s="12"/>
      <c r="Y11" s="12">
        <f>X11+'3'!Y11</f>
        <v>1</v>
      </c>
      <c r="AB11" s="48">
        <v>1</v>
      </c>
      <c r="AC11" s="26" t="str">
        <f>'3'!AC11</f>
        <v>مكتب الصحة</v>
      </c>
      <c r="AD11" s="28">
        <f>'3'!AI11</f>
        <v>333</v>
      </c>
      <c r="AE11" s="3"/>
      <c r="AF11" s="28">
        <f>AE11+'3'!AF11</f>
        <v>1082</v>
      </c>
      <c r="AG11" s="4"/>
      <c r="AH11" s="28">
        <f>AG11+'3'!AH11</f>
        <v>749</v>
      </c>
      <c r="AI11" s="4">
        <f>AD11+AE11-AG11</f>
        <v>333</v>
      </c>
      <c r="AJ11" s="11" t="e">
        <f t="shared" ref="AJ11:AJ51" si="0">Q11/AG11</f>
        <v>#DIV/0!</v>
      </c>
      <c r="AK11" s="53">
        <f t="shared" ref="AK11:AK51" si="1">R11/AH11</f>
        <v>9.799732977303071</v>
      </c>
      <c r="AM11" s="340"/>
      <c r="AN11" s="42" t="str">
        <f>'3'!AN11</f>
        <v>420604325A</v>
      </c>
      <c r="AO11" s="42">
        <f>'3'!AT11</f>
        <v>3076</v>
      </c>
      <c r="AP11" s="16"/>
      <c r="AQ11" s="17">
        <f>AP11+'3'!AQ11</f>
        <v>8550</v>
      </c>
      <c r="AR11" s="16"/>
      <c r="AS11" s="17">
        <f>AR11+'3'!AS11</f>
        <v>5474</v>
      </c>
      <c r="AT11" s="44">
        <f>AO11+AP11-AR11</f>
        <v>3076</v>
      </c>
      <c r="AU11" s="56"/>
      <c r="AW11" s="26" t="str">
        <f>'3'!AW11</f>
        <v>مكتب الصحة</v>
      </c>
      <c r="AX11" s="12">
        <f>'3'!AX11</f>
        <v>11</v>
      </c>
      <c r="AY11" s="12">
        <f>'3'!AY11</f>
        <v>8411</v>
      </c>
      <c r="AZ11" s="12"/>
      <c r="BA11" s="12"/>
      <c r="BB11" s="12">
        <f>BA11+'3'!BB11</f>
        <v>5998</v>
      </c>
      <c r="BC11" s="30">
        <f t="shared" ref="BC11:BC51" si="2">BB11/AY11</f>
        <v>0.71311377957436695</v>
      </c>
      <c r="BD11" s="12">
        <f>'3'!BD11</f>
        <v>27</v>
      </c>
      <c r="BE11" s="12">
        <f>'3'!BE11</f>
        <v>1746</v>
      </c>
      <c r="BF11" s="12"/>
      <c r="BG11" s="12"/>
      <c r="BH11" s="12">
        <f>BG11+'3'!BH11</f>
        <v>477</v>
      </c>
      <c r="BI11" s="30">
        <f t="shared" ref="BI11:BI51" si="3">BH11/BE11</f>
        <v>0.27319587628865977</v>
      </c>
    </row>
    <row r="12" spans="1:62" ht="41.5" customHeight="1" x14ac:dyDescent="0.35">
      <c r="A12" s="5">
        <v>2</v>
      </c>
      <c r="B12" s="26" t="str">
        <f>'3'!B12</f>
        <v>شبرابخـــــــــــوم</v>
      </c>
      <c r="C12" s="26">
        <f>'3'!C12</f>
        <v>4445</v>
      </c>
      <c r="D12" s="26"/>
      <c r="E12" s="12"/>
      <c r="F12" s="2">
        <f>E12+'3'!F12</f>
        <v>14</v>
      </c>
      <c r="G12" s="2"/>
      <c r="H12" s="2">
        <f>G12+'3'!H12</f>
        <v>392</v>
      </c>
      <c r="I12" s="2"/>
      <c r="J12" s="2">
        <f>I12+'3'!J12</f>
        <v>1857</v>
      </c>
      <c r="K12" s="2"/>
      <c r="L12" s="2">
        <f>K12+'3'!L12</f>
        <v>0</v>
      </c>
      <c r="M12" s="2"/>
      <c r="N12" s="2">
        <f>M12+'3'!N12</f>
        <v>0</v>
      </c>
      <c r="O12" s="2"/>
      <c r="P12" s="2">
        <f>O12+'3'!P12</f>
        <v>0</v>
      </c>
      <c r="Q12" s="4">
        <f t="shared" ref="Q12:Q50" si="4">O12+M12+K12+I12+G12+E12</f>
        <v>0</v>
      </c>
      <c r="R12" s="4">
        <f>Q12+'3'!R12</f>
        <v>2263</v>
      </c>
      <c r="S12" s="27">
        <f t="shared" ref="S12:S50" si="5">R12/C12</f>
        <v>0.50911136107986499</v>
      </c>
      <c r="T12" s="12"/>
      <c r="U12" s="12">
        <f>T12+'3'!U12</f>
        <v>373</v>
      </c>
      <c r="V12" s="12"/>
      <c r="W12" s="12">
        <f>V12+'3'!W12</f>
        <v>15</v>
      </c>
      <c r="X12" s="12"/>
      <c r="Y12" s="12">
        <f>X12+'3'!Y12</f>
        <v>0</v>
      </c>
      <c r="AB12" s="5">
        <v>2</v>
      </c>
      <c r="AC12" s="26" t="str">
        <f>'3'!AC12</f>
        <v>شبرابخـــــــــــوم</v>
      </c>
      <c r="AD12" s="28">
        <f>'3'!AI12</f>
        <v>158</v>
      </c>
      <c r="AE12" s="3"/>
      <c r="AF12" s="28">
        <f>AE12+'3'!AF12</f>
        <v>390</v>
      </c>
      <c r="AG12" s="4"/>
      <c r="AH12" s="28">
        <f>AG12+'3'!AH12</f>
        <v>232</v>
      </c>
      <c r="AI12" s="4">
        <f>AD12+AE12-AG12</f>
        <v>158</v>
      </c>
      <c r="AJ12" s="11" t="e">
        <f t="shared" si="0"/>
        <v>#DIV/0!</v>
      </c>
      <c r="AK12" s="53">
        <f t="shared" si="1"/>
        <v>9.7543103448275854</v>
      </c>
      <c r="AM12" s="340"/>
      <c r="AN12" s="42" t="str">
        <f>'3'!AN12</f>
        <v>420604225A</v>
      </c>
      <c r="AO12" s="42">
        <f>'3'!AT12</f>
        <v>100</v>
      </c>
      <c r="AP12" s="16"/>
      <c r="AQ12" s="17">
        <f>AP12+'3'!AQ12</f>
        <v>100</v>
      </c>
      <c r="AR12" s="16"/>
      <c r="AS12" s="17">
        <f>AR12+'3'!AS12</f>
        <v>0</v>
      </c>
      <c r="AT12" s="44">
        <f>AO12+AP12-AR12</f>
        <v>100</v>
      </c>
      <c r="AU12" s="56"/>
      <c r="AW12" s="26" t="str">
        <f>'3'!AW12</f>
        <v>شبرابخـــــــــــوم</v>
      </c>
      <c r="AX12" s="12">
        <f>'3'!AX12</f>
        <v>6</v>
      </c>
      <c r="AY12" s="12">
        <f>'3'!AY12</f>
        <v>2215</v>
      </c>
      <c r="AZ12" s="12"/>
      <c r="BA12" s="12"/>
      <c r="BB12" s="12">
        <f>BA12+'3'!BB12</f>
        <v>2306</v>
      </c>
      <c r="BC12" s="30">
        <f t="shared" si="2"/>
        <v>1.0410835214446952</v>
      </c>
      <c r="BD12" s="12">
        <f>'3'!BD12</f>
        <v>16</v>
      </c>
      <c r="BE12" s="12">
        <f>'3'!BE12</f>
        <v>729</v>
      </c>
      <c r="BF12" s="12"/>
      <c r="BG12" s="12"/>
      <c r="BH12" s="12">
        <f>BG12+'3'!BH12</f>
        <v>224</v>
      </c>
      <c r="BI12" s="30">
        <f t="shared" si="3"/>
        <v>0.30727023319615915</v>
      </c>
    </row>
    <row r="13" spans="1:62" ht="41.5" customHeight="1" x14ac:dyDescent="0.35">
      <c r="A13" s="5">
        <v>3</v>
      </c>
      <c r="B13" s="26" t="str">
        <f>'3'!B13</f>
        <v>ميت بره</v>
      </c>
      <c r="C13" s="26">
        <f>'3'!C13</f>
        <v>11614</v>
      </c>
      <c r="D13" s="26"/>
      <c r="E13" s="12"/>
      <c r="F13" s="2">
        <f>E13+'3'!F13</f>
        <v>45</v>
      </c>
      <c r="G13" s="2"/>
      <c r="H13" s="2">
        <f>G13+'3'!H13</f>
        <v>465</v>
      </c>
      <c r="I13" s="2"/>
      <c r="J13" s="2">
        <f>I13+'3'!J13</f>
        <v>3703</v>
      </c>
      <c r="K13" s="2"/>
      <c r="L13" s="2">
        <f>K13+'3'!L13</f>
        <v>0</v>
      </c>
      <c r="M13" s="2"/>
      <c r="N13" s="2">
        <f>M13+'3'!N13</f>
        <v>0</v>
      </c>
      <c r="O13" s="2"/>
      <c r="P13" s="2">
        <f>O13+'3'!P13</f>
        <v>0</v>
      </c>
      <c r="Q13" s="4">
        <f t="shared" si="4"/>
        <v>0</v>
      </c>
      <c r="R13" s="4">
        <f>Q13+'3'!R13</f>
        <v>4213</v>
      </c>
      <c r="S13" s="27">
        <f t="shared" si="5"/>
        <v>0.36275185121405201</v>
      </c>
      <c r="T13" s="12"/>
      <c r="U13" s="12">
        <f>T13+'3'!U13</f>
        <v>641</v>
      </c>
      <c r="V13" s="12"/>
      <c r="W13" s="12">
        <f>V13+'3'!W13</f>
        <v>0</v>
      </c>
      <c r="X13" s="12"/>
      <c r="Y13" s="12">
        <f>X13+'3'!Y13</f>
        <v>0</v>
      </c>
      <c r="AB13" s="5">
        <v>3</v>
      </c>
      <c r="AC13" s="26" t="str">
        <f>'3'!AC13</f>
        <v>ميت بره</v>
      </c>
      <c r="AD13" s="28">
        <f>'3'!AI13</f>
        <v>584</v>
      </c>
      <c r="AE13" s="3"/>
      <c r="AF13" s="28">
        <f>AE13+'3'!AF13</f>
        <v>1020</v>
      </c>
      <c r="AG13" s="4"/>
      <c r="AH13" s="28">
        <f>AG13+'3'!AH13</f>
        <v>436</v>
      </c>
      <c r="AI13" s="4">
        <f t="shared" ref="AI13:AI50" si="6">AD13+AE13-AG13</f>
        <v>584</v>
      </c>
      <c r="AJ13" s="11" t="e">
        <f t="shared" si="0"/>
        <v>#DIV/0!</v>
      </c>
      <c r="AK13" s="53">
        <f t="shared" si="1"/>
        <v>9.6628440366972477</v>
      </c>
      <c r="AM13" s="340"/>
      <c r="AN13" s="46" t="s">
        <v>43</v>
      </c>
      <c r="AO13" s="45">
        <f t="shared" ref="AO13:AT13" si="7">SUM(AO10:AO12)</f>
        <v>3224</v>
      </c>
      <c r="AP13" s="45">
        <f t="shared" si="7"/>
        <v>0</v>
      </c>
      <c r="AQ13" s="45">
        <f t="shared" si="7"/>
        <v>8723</v>
      </c>
      <c r="AR13" s="45">
        <f t="shared" si="7"/>
        <v>0</v>
      </c>
      <c r="AS13" s="45">
        <f t="shared" si="7"/>
        <v>5499</v>
      </c>
      <c r="AT13" s="47">
        <f t="shared" si="7"/>
        <v>3224</v>
      </c>
      <c r="AU13" s="56"/>
      <c r="AW13" s="26" t="str">
        <f>'3'!AW13</f>
        <v>ميت بره</v>
      </c>
      <c r="AX13" s="12">
        <f>'3'!AX13</f>
        <v>8</v>
      </c>
      <c r="AY13" s="12">
        <f>'3'!AY13</f>
        <v>4849</v>
      </c>
      <c r="AZ13" s="12"/>
      <c r="BA13" s="12"/>
      <c r="BB13" s="12">
        <f>BA13+'3'!BB13</f>
        <v>4093</v>
      </c>
      <c r="BC13" s="30">
        <f t="shared" si="2"/>
        <v>0.84409156527118989</v>
      </c>
      <c r="BD13" s="12">
        <f>'3'!BD13</f>
        <v>21</v>
      </c>
      <c r="BE13" s="12">
        <f>'3'!BE13</f>
        <v>1129</v>
      </c>
      <c r="BF13" s="12"/>
      <c r="BG13" s="12"/>
      <c r="BH13" s="12">
        <f>BG13+'3'!BH13</f>
        <v>128</v>
      </c>
      <c r="BI13" s="30">
        <f t="shared" si="3"/>
        <v>0.11337466784765279</v>
      </c>
    </row>
    <row r="14" spans="1:62" ht="41.5" customHeight="1" thickBot="1" x14ac:dyDescent="0.4">
      <c r="A14" s="5">
        <v>4</v>
      </c>
      <c r="B14" s="26" t="str">
        <f>'3'!B14</f>
        <v>أبنــــــــــــــــهس</v>
      </c>
      <c r="C14" s="26">
        <f>'3'!C14</f>
        <v>5029</v>
      </c>
      <c r="D14" s="26"/>
      <c r="E14" s="12"/>
      <c r="F14" s="2">
        <f>E14+'3'!F14</f>
        <v>14</v>
      </c>
      <c r="G14" s="2"/>
      <c r="H14" s="2">
        <f>G14+'3'!H14</f>
        <v>349</v>
      </c>
      <c r="I14" s="2"/>
      <c r="J14" s="2">
        <f>I14+'3'!J14</f>
        <v>2016</v>
      </c>
      <c r="K14" s="2"/>
      <c r="L14" s="2">
        <f>K14+'3'!L14</f>
        <v>0</v>
      </c>
      <c r="M14" s="2"/>
      <c r="N14" s="2">
        <f>M14+'3'!N14</f>
        <v>0</v>
      </c>
      <c r="O14" s="2"/>
      <c r="P14" s="2">
        <f>O14+'3'!P14</f>
        <v>0</v>
      </c>
      <c r="Q14" s="4">
        <f t="shared" si="4"/>
        <v>0</v>
      </c>
      <c r="R14" s="4">
        <f>Q14+'3'!R14</f>
        <v>2379</v>
      </c>
      <c r="S14" s="27">
        <f t="shared" si="5"/>
        <v>0.47305627361304436</v>
      </c>
      <c r="T14" s="12"/>
      <c r="U14" s="12">
        <f>T14+'3'!U14</f>
        <v>341</v>
      </c>
      <c r="V14" s="12"/>
      <c r="W14" s="12">
        <f>V14+'3'!W14</f>
        <v>29</v>
      </c>
      <c r="X14" s="12"/>
      <c r="Y14" s="12">
        <f>X14+'3'!Y14</f>
        <v>0</v>
      </c>
      <c r="AB14" s="5">
        <v>4</v>
      </c>
      <c r="AC14" s="26" t="str">
        <f>'3'!AC14</f>
        <v>أبنــــــــــــــــهس</v>
      </c>
      <c r="AD14" s="28">
        <f>'3'!AI14</f>
        <v>196</v>
      </c>
      <c r="AE14" s="3"/>
      <c r="AF14" s="28">
        <f>AE14+'3'!AF14</f>
        <v>440</v>
      </c>
      <c r="AG14" s="4"/>
      <c r="AH14" s="28">
        <f>AG14+'3'!AH14</f>
        <v>244</v>
      </c>
      <c r="AI14" s="4">
        <f t="shared" si="6"/>
        <v>196</v>
      </c>
      <c r="AJ14" s="11" t="e">
        <f t="shared" si="0"/>
        <v>#DIV/0!</v>
      </c>
      <c r="AK14" s="53">
        <f t="shared" si="1"/>
        <v>9.75</v>
      </c>
      <c r="AM14" s="316" t="s">
        <v>42</v>
      </c>
      <c r="AN14" s="317"/>
      <c r="AO14" s="318"/>
      <c r="AP14" s="319"/>
      <c r="AQ14" s="319"/>
      <c r="AR14" s="319"/>
      <c r="AS14" s="320"/>
      <c r="AT14" s="39">
        <f>AT13+AI51</f>
        <v>6357</v>
      </c>
      <c r="AU14" s="57"/>
      <c r="AW14" s="26" t="str">
        <f>'3'!AW14</f>
        <v>أبنــــــــــــــــهس</v>
      </c>
      <c r="AX14" s="12">
        <f>'3'!AX14</f>
        <v>7</v>
      </c>
      <c r="AY14" s="12">
        <f>'3'!AY14</f>
        <v>2531</v>
      </c>
      <c r="AZ14" s="12"/>
      <c r="BA14" s="12"/>
      <c r="BB14" s="12">
        <f>BA14+'3'!BB14</f>
        <v>2092</v>
      </c>
      <c r="BC14" s="30">
        <f t="shared" si="2"/>
        <v>0.82655077044646386</v>
      </c>
      <c r="BD14" s="12">
        <f>'3'!BD14</f>
        <v>23</v>
      </c>
      <c r="BE14" s="12">
        <f>'3'!BE14</f>
        <v>921</v>
      </c>
      <c r="BF14" s="12"/>
      <c r="BG14" s="12"/>
      <c r="BH14" s="12">
        <f>BG14+'3'!BH14</f>
        <v>287</v>
      </c>
      <c r="BI14" s="30">
        <f t="shared" si="3"/>
        <v>0.31161780673181327</v>
      </c>
    </row>
    <row r="15" spans="1:62" ht="41.5" customHeight="1" x14ac:dyDescent="0.35">
      <c r="A15" s="5">
        <v>5</v>
      </c>
      <c r="B15" s="26" t="str">
        <f>'3'!B15</f>
        <v>ميت ســـــــــراج</v>
      </c>
      <c r="C15" s="26">
        <f>'3'!C15</f>
        <v>2369</v>
      </c>
      <c r="D15" s="26"/>
      <c r="E15" s="12"/>
      <c r="F15" s="2">
        <f>E15+'3'!F15</f>
        <v>4</v>
      </c>
      <c r="G15" s="2"/>
      <c r="H15" s="2">
        <f>G15+'3'!H15</f>
        <v>472</v>
      </c>
      <c r="I15" s="2"/>
      <c r="J15" s="2">
        <f>I15+'3'!J15</f>
        <v>839</v>
      </c>
      <c r="K15" s="2"/>
      <c r="L15" s="2">
        <f>K15+'3'!L15</f>
        <v>0</v>
      </c>
      <c r="M15" s="2"/>
      <c r="N15" s="2">
        <f>M15+'3'!N15</f>
        <v>0</v>
      </c>
      <c r="O15" s="2"/>
      <c r="P15" s="2">
        <f>O15+'3'!P15</f>
        <v>0</v>
      </c>
      <c r="Q15" s="4">
        <f t="shared" si="4"/>
        <v>0</v>
      </c>
      <c r="R15" s="4">
        <f>Q15+'3'!R15</f>
        <v>1315</v>
      </c>
      <c r="S15" s="27">
        <f t="shared" si="5"/>
        <v>0.55508653440270161</v>
      </c>
      <c r="T15" s="12"/>
      <c r="U15" s="12">
        <f>T15+'3'!U15</f>
        <v>105</v>
      </c>
      <c r="V15" s="12"/>
      <c r="W15" s="12">
        <f>V15+'3'!W15</f>
        <v>37</v>
      </c>
      <c r="X15" s="12"/>
      <c r="Y15" s="12">
        <f>X15+'3'!Y15</f>
        <v>0</v>
      </c>
      <c r="AB15" s="5">
        <v>5</v>
      </c>
      <c r="AC15" s="26" t="str">
        <f>'3'!AC15</f>
        <v>ميت ســـــــــراج</v>
      </c>
      <c r="AD15" s="28">
        <f>'3'!AI15</f>
        <v>74</v>
      </c>
      <c r="AE15" s="3"/>
      <c r="AF15" s="28">
        <f>AE15+'3'!AF15</f>
        <v>209</v>
      </c>
      <c r="AG15" s="4"/>
      <c r="AH15" s="28">
        <f>AG15+'3'!AH15</f>
        <v>135</v>
      </c>
      <c r="AI15" s="4">
        <f t="shared" si="6"/>
        <v>74</v>
      </c>
      <c r="AJ15" s="11" t="e">
        <f t="shared" si="0"/>
        <v>#DIV/0!</v>
      </c>
      <c r="AK15" s="53">
        <f t="shared" si="1"/>
        <v>9.7407407407407405</v>
      </c>
      <c r="AW15" s="26" t="str">
        <f>'3'!AW15</f>
        <v>ميت ســـــــــراج</v>
      </c>
      <c r="AX15" s="12">
        <f>'3'!AX15</f>
        <v>2</v>
      </c>
      <c r="AY15" s="12">
        <f>'3'!AY15</f>
        <v>1041</v>
      </c>
      <c r="AZ15" s="12"/>
      <c r="BA15" s="12"/>
      <c r="BB15" s="12">
        <f>BA15+'3'!BB15</f>
        <v>874</v>
      </c>
      <c r="BC15" s="30">
        <f t="shared" si="2"/>
        <v>0.83957732949087416</v>
      </c>
      <c r="BD15" s="12">
        <f>'3'!BD15</f>
        <v>5</v>
      </c>
      <c r="BE15" s="12">
        <f>'3'!BE15</f>
        <v>310</v>
      </c>
      <c r="BF15" s="12"/>
      <c r="BG15" s="12"/>
      <c r="BH15" s="12">
        <f>BG15+'3'!BH15</f>
        <v>385</v>
      </c>
      <c r="BI15" s="30">
        <f t="shared" si="3"/>
        <v>1.2419354838709677</v>
      </c>
    </row>
    <row r="16" spans="1:62" ht="41.5" customHeight="1" x14ac:dyDescent="0.35">
      <c r="A16" s="5">
        <v>6</v>
      </c>
      <c r="B16" s="26" t="str">
        <f>'3'!B16</f>
        <v>أم خــــــــــــــنان</v>
      </c>
      <c r="C16" s="26">
        <f>'3'!C16</f>
        <v>4900</v>
      </c>
      <c r="D16" s="26"/>
      <c r="E16" s="12"/>
      <c r="F16" s="2">
        <f>E16+'3'!F16</f>
        <v>11</v>
      </c>
      <c r="G16" s="2"/>
      <c r="H16" s="2">
        <f>G16+'3'!H16</f>
        <v>280</v>
      </c>
      <c r="I16" s="2"/>
      <c r="J16" s="2">
        <f>I16+'3'!J16</f>
        <v>1942</v>
      </c>
      <c r="K16" s="2"/>
      <c r="L16" s="2">
        <f>K16+'3'!L16</f>
        <v>0</v>
      </c>
      <c r="M16" s="2"/>
      <c r="N16" s="2">
        <f>M16+'3'!N16</f>
        <v>0</v>
      </c>
      <c r="O16" s="2"/>
      <c r="P16" s="2">
        <f>O16+'3'!P16</f>
        <v>0</v>
      </c>
      <c r="Q16" s="4">
        <f t="shared" si="4"/>
        <v>0</v>
      </c>
      <c r="R16" s="4">
        <f>Q16+'3'!R16</f>
        <v>2233</v>
      </c>
      <c r="S16" s="27">
        <f t="shared" si="5"/>
        <v>0.45571428571428574</v>
      </c>
      <c r="T16" s="12"/>
      <c r="U16" s="12">
        <f>T16+'3'!U16</f>
        <v>375</v>
      </c>
      <c r="V16" s="12"/>
      <c r="W16" s="12">
        <f>V16+'3'!W16</f>
        <v>0</v>
      </c>
      <c r="X16" s="12"/>
      <c r="Y16" s="12">
        <f>X16+'3'!Y16</f>
        <v>0</v>
      </c>
      <c r="AB16" s="5">
        <v>6</v>
      </c>
      <c r="AC16" s="26" t="str">
        <f>'3'!AC16</f>
        <v>أم خــــــــــــــنان</v>
      </c>
      <c r="AD16" s="28">
        <f>'3'!AI16</f>
        <v>204</v>
      </c>
      <c r="AE16" s="3"/>
      <c r="AF16" s="28">
        <f>AE16+'3'!AF16</f>
        <v>430</v>
      </c>
      <c r="AG16" s="4"/>
      <c r="AH16" s="28">
        <f>AG16+'3'!AH16</f>
        <v>226</v>
      </c>
      <c r="AI16" s="4">
        <f t="shared" si="6"/>
        <v>204</v>
      </c>
      <c r="AJ16" s="11" t="e">
        <f t="shared" si="0"/>
        <v>#DIV/0!</v>
      </c>
      <c r="AK16" s="53">
        <f t="shared" si="1"/>
        <v>9.8805309734513269</v>
      </c>
      <c r="AW16" s="26" t="str">
        <f>'3'!AW16</f>
        <v>أم خــــــــــــــنان</v>
      </c>
      <c r="AX16" s="12">
        <f>'3'!AX16</f>
        <v>8</v>
      </c>
      <c r="AY16" s="12">
        <f>'3'!AY16</f>
        <v>2981</v>
      </c>
      <c r="AZ16" s="12"/>
      <c r="BA16" s="12"/>
      <c r="BB16" s="12">
        <f>BA16+'3'!BB16</f>
        <v>2132</v>
      </c>
      <c r="BC16" s="30">
        <f t="shared" si="2"/>
        <v>0.71519624287151962</v>
      </c>
      <c r="BD16" s="12">
        <f>'3'!BD16</f>
        <v>12</v>
      </c>
      <c r="BE16" s="12">
        <f>'3'!BE16</f>
        <v>1313</v>
      </c>
      <c r="BF16" s="12"/>
      <c r="BG16" s="12"/>
      <c r="BH16" s="12">
        <f>BG16+'3'!BH16</f>
        <v>0</v>
      </c>
      <c r="BI16" s="30">
        <f t="shared" si="3"/>
        <v>0</v>
      </c>
    </row>
    <row r="17" spans="1:61" ht="41.5" customHeight="1" x14ac:dyDescent="0.35">
      <c r="A17" s="5">
        <v>7</v>
      </c>
      <c r="B17" s="26" t="str">
        <f>'3'!B17</f>
        <v>أجهور الرمل</v>
      </c>
      <c r="C17" s="26">
        <f>'3'!C17</f>
        <v>3590</v>
      </c>
      <c r="D17" s="26"/>
      <c r="E17" s="12"/>
      <c r="F17" s="2">
        <f>E17+'3'!F17</f>
        <v>17</v>
      </c>
      <c r="G17" s="2"/>
      <c r="H17" s="2">
        <f>G17+'3'!H17</f>
        <v>591</v>
      </c>
      <c r="I17" s="2"/>
      <c r="J17" s="2">
        <f>I17+'3'!J17</f>
        <v>1489</v>
      </c>
      <c r="K17" s="2"/>
      <c r="L17" s="2">
        <f>K17+'3'!L17</f>
        <v>0</v>
      </c>
      <c r="M17" s="2"/>
      <c r="N17" s="2">
        <f>M17+'3'!N17</f>
        <v>0</v>
      </c>
      <c r="O17" s="2"/>
      <c r="P17" s="2">
        <f>O17+'3'!P17</f>
        <v>0</v>
      </c>
      <c r="Q17" s="4">
        <f t="shared" si="4"/>
        <v>0</v>
      </c>
      <c r="R17" s="4">
        <f>Q17+'3'!R17</f>
        <v>2097</v>
      </c>
      <c r="S17" s="27">
        <f t="shared" si="5"/>
        <v>0.58412256267409468</v>
      </c>
      <c r="T17" s="12"/>
      <c r="U17" s="12">
        <f>T17+'3'!U17</f>
        <v>360</v>
      </c>
      <c r="V17" s="12"/>
      <c r="W17" s="12">
        <f>V17+'3'!W17</f>
        <v>121</v>
      </c>
      <c r="X17" s="12"/>
      <c r="Y17" s="12">
        <f>X17+'3'!Y17</f>
        <v>0</v>
      </c>
      <c r="AB17" s="5">
        <v>7</v>
      </c>
      <c r="AC17" s="26" t="str">
        <f>'3'!AC17</f>
        <v>أجهور الرمل</v>
      </c>
      <c r="AD17" s="28">
        <f>'3'!AI17</f>
        <v>100</v>
      </c>
      <c r="AE17" s="3"/>
      <c r="AF17" s="28">
        <f>AE17+'3'!AF17</f>
        <v>316</v>
      </c>
      <c r="AG17" s="4"/>
      <c r="AH17" s="28">
        <f>AG17+'3'!AH17</f>
        <v>216</v>
      </c>
      <c r="AI17" s="4">
        <f t="shared" si="6"/>
        <v>100</v>
      </c>
      <c r="AJ17" s="11" t="e">
        <f t="shared" si="0"/>
        <v>#DIV/0!</v>
      </c>
      <c r="AK17" s="53">
        <f t="shared" si="1"/>
        <v>9.7083333333333339</v>
      </c>
      <c r="AW17" s="26" t="str">
        <f>'3'!AW17</f>
        <v>أجهور الرمل</v>
      </c>
      <c r="AX17" s="12">
        <f>'3'!AX17</f>
        <v>4</v>
      </c>
      <c r="AY17" s="12">
        <f>'3'!AY17</f>
        <v>1796</v>
      </c>
      <c r="AZ17" s="12"/>
      <c r="BA17" s="12"/>
      <c r="BB17" s="12">
        <f>BA17+'3'!BB17</f>
        <v>1422</v>
      </c>
      <c r="BC17" s="30">
        <f t="shared" si="2"/>
        <v>0.79175946547884191</v>
      </c>
      <c r="BD17" s="12">
        <f>'3'!BD17</f>
        <v>3</v>
      </c>
      <c r="BE17" s="12">
        <f>'3'!BE17</f>
        <v>100</v>
      </c>
      <c r="BF17" s="12"/>
      <c r="BG17" s="12"/>
      <c r="BH17" s="12">
        <f>BG17+'3'!BH17</f>
        <v>441</v>
      </c>
      <c r="BI17" s="30">
        <f t="shared" si="3"/>
        <v>4.41</v>
      </c>
    </row>
    <row r="18" spans="1:61" ht="41.5" customHeight="1" x14ac:dyDescent="0.35">
      <c r="A18" s="5">
        <v>8</v>
      </c>
      <c r="B18" s="26" t="str">
        <f>'3'!B18</f>
        <v>منشأة دمــــــــــلو</v>
      </c>
      <c r="C18" s="26">
        <f>'3'!C18</f>
        <v>1320</v>
      </c>
      <c r="D18" s="26"/>
      <c r="E18" s="12"/>
      <c r="F18" s="2">
        <f>E18+'3'!F18</f>
        <v>18</v>
      </c>
      <c r="G18" s="2"/>
      <c r="H18" s="2">
        <f>G18+'3'!H18</f>
        <v>528</v>
      </c>
      <c r="I18" s="2"/>
      <c r="J18" s="2">
        <f>I18+'3'!J18</f>
        <v>704</v>
      </c>
      <c r="K18" s="2"/>
      <c r="L18" s="2">
        <f>K18+'3'!L18</f>
        <v>0</v>
      </c>
      <c r="M18" s="2"/>
      <c r="N18" s="2">
        <f>M18+'3'!N18</f>
        <v>0</v>
      </c>
      <c r="O18" s="2"/>
      <c r="P18" s="2">
        <f>O18+'3'!P18</f>
        <v>0</v>
      </c>
      <c r="Q18" s="4">
        <f t="shared" si="4"/>
        <v>0</v>
      </c>
      <c r="R18" s="4">
        <f>Q18+'3'!R18</f>
        <v>1250</v>
      </c>
      <c r="S18" s="27">
        <f t="shared" si="5"/>
        <v>0.94696969696969702</v>
      </c>
      <c r="T18" s="12"/>
      <c r="U18" s="12">
        <f>T18+'3'!U18</f>
        <v>175</v>
      </c>
      <c r="V18" s="12"/>
      <c r="W18" s="12">
        <f>V18+'3'!W18</f>
        <v>38</v>
      </c>
      <c r="X18" s="12"/>
      <c r="Y18" s="12">
        <f>X18+'3'!Y18</f>
        <v>0</v>
      </c>
      <c r="AB18" s="5">
        <v>8</v>
      </c>
      <c r="AC18" s="26" t="str">
        <f>'3'!AC18</f>
        <v>منشأة دمــــــــــلو</v>
      </c>
      <c r="AD18" s="28">
        <f>'3'!AI18</f>
        <v>4</v>
      </c>
      <c r="AE18" s="3"/>
      <c r="AF18" s="28">
        <f>AE18+'3'!AF18</f>
        <v>135</v>
      </c>
      <c r="AG18" s="4"/>
      <c r="AH18" s="28">
        <f>AG18+'3'!AH18</f>
        <v>131</v>
      </c>
      <c r="AI18" s="4">
        <f t="shared" si="6"/>
        <v>4</v>
      </c>
      <c r="AJ18" s="11" t="e">
        <f t="shared" si="0"/>
        <v>#DIV/0!</v>
      </c>
      <c r="AK18" s="53">
        <f t="shared" si="1"/>
        <v>9.5419847328244281</v>
      </c>
      <c r="AW18" s="26" t="str">
        <f>'3'!AW18</f>
        <v>منشأة دمــــــــــلو</v>
      </c>
      <c r="AX18" s="12">
        <f>'3'!AX18</f>
        <v>2</v>
      </c>
      <c r="AY18" s="12">
        <f>'3'!AY18</f>
        <v>896</v>
      </c>
      <c r="AZ18" s="12"/>
      <c r="BA18" s="12"/>
      <c r="BB18" s="12">
        <f>BA18+'3'!BB18</f>
        <v>748</v>
      </c>
      <c r="BC18" s="30">
        <f t="shared" si="2"/>
        <v>0.8348214285714286</v>
      </c>
      <c r="BD18" s="12">
        <f>'3'!BD18</f>
        <v>8</v>
      </c>
      <c r="BE18" s="12">
        <f>'3'!BE18</f>
        <v>340</v>
      </c>
      <c r="BF18" s="12"/>
      <c r="BG18" s="12"/>
      <c r="BH18" s="12">
        <f>BG18+'3'!BH18</f>
        <v>328</v>
      </c>
      <c r="BI18" s="30">
        <f t="shared" si="3"/>
        <v>0.96470588235294119</v>
      </c>
    </row>
    <row r="19" spans="1:61" ht="41.5" customHeight="1" x14ac:dyDescent="0.35">
      <c r="A19" s="5">
        <v>9</v>
      </c>
      <c r="B19" s="26" t="str">
        <f>'3'!B19</f>
        <v>شـــــــــــــرانيس</v>
      </c>
      <c r="C19" s="26">
        <f>'3'!C19</f>
        <v>1414</v>
      </c>
      <c r="D19" s="26"/>
      <c r="E19" s="12"/>
      <c r="F19" s="2">
        <f>E19+'3'!F19</f>
        <v>11</v>
      </c>
      <c r="G19" s="2"/>
      <c r="H19" s="2">
        <f>G19+'3'!H19</f>
        <v>359</v>
      </c>
      <c r="I19" s="2"/>
      <c r="J19" s="2">
        <f>I19+'3'!J19</f>
        <v>618</v>
      </c>
      <c r="K19" s="2"/>
      <c r="L19" s="2">
        <f>K19+'3'!L19</f>
        <v>0</v>
      </c>
      <c r="M19" s="2"/>
      <c r="N19" s="2">
        <f>M19+'3'!N19</f>
        <v>0</v>
      </c>
      <c r="O19" s="2"/>
      <c r="P19" s="2">
        <f>O19+'3'!P19</f>
        <v>0</v>
      </c>
      <c r="Q19" s="4">
        <f t="shared" si="4"/>
        <v>0</v>
      </c>
      <c r="R19" s="4">
        <f>Q19+'3'!R19</f>
        <v>988</v>
      </c>
      <c r="S19" s="27">
        <f t="shared" si="5"/>
        <v>0.69872701555869876</v>
      </c>
      <c r="T19" s="12"/>
      <c r="U19" s="12">
        <f>T19+'3'!U19</f>
        <v>143</v>
      </c>
      <c r="V19" s="12"/>
      <c r="W19" s="12">
        <f>V19+'3'!W19</f>
        <v>0</v>
      </c>
      <c r="X19" s="12"/>
      <c r="Y19" s="12">
        <f>X19+'3'!Y19</f>
        <v>0</v>
      </c>
      <c r="AB19" s="5">
        <v>9</v>
      </c>
      <c r="AC19" s="26" t="str">
        <f>'3'!AC19</f>
        <v>شـــــــــــــرانيس</v>
      </c>
      <c r="AD19" s="28">
        <f>'3'!AI19</f>
        <v>22</v>
      </c>
      <c r="AE19" s="3"/>
      <c r="AF19" s="28">
        <f>AE19+'3'!AF19</f>
        <v>125</v>
      </c>
      <c r="AG19" s="4"/>
      <c r="AH19" s="28">
        <f>AG19+'3'!AH19</f>
        <v>103</v>
      </c>
      <c r="AI19" s="4">
        <f t="shared" si="6"/>
        <v>22</v>
      </c>
      <c r="AJ19" s="11" t="e">
        <f t="shared" si="0"/>
        <v>#DIV/0!</v>
      </c>
      <c r="AK19" s="53">
        <f t="shared" si="1"/>
        <v>9.5922330097087372</v>
      </c>
      <c r="AW19" s="26" t="str">
        <f>'3'!AW19</f>
        <v>شـــــــــــــرانيس</v>
      </c>
      <c r="AX19" s="12">
        <f>'3'!AX19</f>
        <v>2</v>
      </c>
      <c r="AY19" s="12">
        <f>'3'!AY19</f>
        <v>675</v>
      </c>
      <c r="AZ19" s="12"/>
      <c r="BA19" s="12"/>
      <c r="BB19" s="12">
        <f>BA19+'3'!BB19</f>
        <v>569</v>
      </c>
      <c r="BC19" s="30">
        <f t="shared" si="2"/>
        <v>0.84296296296296291</v>
      </c>
      <c r="BD19" s="12">
        <f>'3'!BD19</f>
        <v>2</v>
      </c>
      <c r="BE19" s="12">
        <f>'3'!BE19</f>
        <v>397</v>
      </c>
      <c r="BF19" s="12"/>
      <c r="BG19" s="12"/>
      <c r="BH19" s="12">
        <f>BG19+'3'!BH19</f>
        <v>349</v>
      </c>
      <c r="BI19" s="30">
        <f t="shared" si="3"/>
        <v>0.87909319899244331</v>
      </c>
    </row>
    <row r="20" spans="1:61" ht="41.5" customHeight="1" x14ac:dyDescent="0.35">
      <c r="A20" s="5">
        <v>10</v>
      </c>
      <c r="B20" s="26" t="str">
        <f>'3'!B20</f>
        <v>قويســـــــــنا البلد</v>
      </c>
      <c r="C20" s="26">
        <f>'3'!C20</f>
        <v>4115</v>
      </c>
      <c r="D20" s="26"/>
      <c r="E20" s="12"/>
      <c r="F20" s="2">
        <f>E20+'3'!F20</f>
        <v>27</v>
      </c>
      <c r="G20" s="2"/>
      <c r="H20" s="2">
        <f>G20+'3'!H20</f>
        <v>406</v>
      </c>
      <c r="I20" s="2"/>
      <c r="J20" s="2">
        <f>I20+'3'!J20</f>
        <v>1286</v>
      </c>
      <c r="K20" s="2"/>
      <c r="L20" s="2">
        <f>K20+'3'!L20</f>
        <v>0</v>
      </c>
      <c r="M20" s="2"/>
      <c r="N20" s="2">
        <f>M20+'3'!N20</f>
        <v>0</v>
      </c>
      <c r="O20" s="2"/>
      <c r="P20" s="2">
        <f>O20+'3'!P20</f>
        <v>0</v>
      </c>
      <c r="Q20" s="4">
        <f t="shared" si="4"/>
        <v>0</v>
      </c>
      <c r="R20" s="4">
        <f>Q20+'3'!R20</f>
        <v>1719</v>
      </c>
      <c r="S20" s="27">
        <f t="shared" si="5"/>
        <v>0.41773997569866345</v>
      </c>
      <c r="T20" s="12"/>
      <c r="U20" s="12">
        <f>T20+'3'!U20</f>
        <v>405</v>
      </c>
      <c r="V20" s="12"/>
      <c r="W20" s="12">
        <f>V20+'3'!W20</f>
        <v>144</v>
      </c>
      <c r="X20" s="12"/>
      <c r="Y20" s="12">
        <f>X20+'3'!Y20</f>
        <v>0</v>
      </c>
      <c r="AB20" s="5">
        <v>10</v>
      </c>
      <c r="AC20" s="26" t="str">
        <f>'3'!AC20</f>
        <v>قويســـــــــنا البلد</v>
      </c>
      <c r="AD20" s="28">
        <f>'3'!AI20</f>
        <v>185</v>
      </c>
      <c r="AE20" s="3"/>
      <c r="AF20" s="28">
        <f>AE20+'3'!AF20</f>
        <v>360</v>
      </c>
      <c r="AG20" s="4"/>
      <c r="AH20" s="28">
        <f>AG20+'3'!AH20</f>
        <v>175</v>
      </c>
      <c r="AI20" s="4">
        <f t="shared" si="6"/>
        <v>185</v>
      </c>
      <c r="AJ20" s="11" t="e">
        <f t="shared" si="0"/>
        <v>#DIV/0!</v>
      </c>
      <c r="AK20" s="53">
        <f t="shared" si="1"/>
        <v>9.8228571428571421</v>
      </c>
      <c r="AW20" s="26" t="str">
        <f>'3'!AW20</f>
        <v>قويســـــــــنا البلد</v>
      </c>
      <c r="AX20" s="12">
        <f>'3'!AX20</f>
        <v>2</v>
      </c>
      <c r="AY20" s="12">
        <f>'3'!AY20</f>
        <v>1539</v>
      </c>
      <c r="AZ20" s="12"/>
      <c r="BA20" s="12"/>
      <c r="BB20" s="12">
        <f>BA20+'3'!BB20</f>
        <v>1355</v>
      </c>
      <c r="BC20" s="30">
        <f t="shared" si="2"/>
        <v>0.88044184535412606</v>
      </c>
      <c r="BD20" s="12">
        <f>'3'!BD20</f>
        <v>7</v>
      </c>
      <c r="BE20" s="12">
        <f>'3'!BE20</f>
        <v>580</v>
      </c>
      <c r="BF20" s="12"/>
      <c r="BG20" s="12"/>
      <c r="BH20" s="12">
        <f>BG20+'3'!BH20</f>
        <v>204</v>
      </c>
      <c r="BI20" s="30">
        <f t="shared" si="3"/>
        <v>0.35172413793103446</v>
      </c>
    </row>
    <row r="21" spans="1:61" ht="41.5" customHeight="1" x14ac:dyDescent="0.35">
      <c r="A21" s="5">
        <v>11</v>
      </c>
      <c r="B21" s="26" t="str">
        <f>'3'!B21</f>
        <v>بجيرم</v>
      </c>
      <c r="C21" s="26">
        <f>'3'!C21</f>
        <v>1782</v>
      </c>
      <c r="D21" s="26"/>
      <c r="E21" s="12"/>
      <c r="F21" s="2">
        <f>E21+'3'!F21</f>
        <v>8</v>
      </c>
      <c r="G21" s="2"/>
      <c r="H21" s="2">
        <f>G21+'3'!H21</f>
        <v>406</v>
      </c>
      <c r="I21" s="2"/>
      <c r="J21" s="2">
        <f>I21+'3'!J21</f>
        <v>755</v>
      </c>
      <c r="K21" s="2"/>
      <c r="L21" s="2">
        <f>K21+'3'!L21</f>
        <v>0</v>
      </c>
      <c r="M21" s="2"/>
      <c r="N21" s="2">
        <f>M21+'3'!N21</f>
        <v>0</v>
      </c>
      <c r="O21" s="2"/>
      <c r="P21" s="2">
        <f>O21+'3'!P21</f>
        <v>0</v>
      </c>
      <c r="Q21" s="4">
        <f t="shared" si="4"/>
        <v>0</v>
      </c>
      <c r="R21" s="4">
        <f>Q21+'3'!R21</f>
        <v>1169</v>
      </c>
      <c r="S21" s="27">
        <f t="shared" si="5"/>
        <v>0.65600448933782263</v>
      </c>
      <c r="T21" s="12"/>
      <c r="U21" s="12">
        <f>T21+'3'!U21</f>
        <v>126</v>
      </c>
      <c r="V21" s="12"/>
      <c r="W21" s="12">
        <f>V21+'3'!W21</f>
        <v>44</v>
      </c>
      <c r="X21" s="12"/>
      <c r="Y21" s="12">
        <f>X21+'3'!Y21</f>
        <v>0</v>
      </c>
      <c r="AB21" s="5">
        <v>11</v>
      </c>
      <c r="AC21" s="26" t="str">
        <f>'3'!AC21</f>
        <v>بجيرم</v>
      </c>
      <c r="AD21" s="28">
        <f>'3'!AI21</f>
        <v>37</v>
      </c>
      <c r="AE21" s="3"/>
      <c r="AF21" s="28">
        <f>AE21+'3'!AF21</f>
        <v>157</v>
      </c>
      <c r="AG21" s="4"/>
      <c r="AH21" s="28">
        <f>AG21+'3'!AH21</f>
        <v>120</v>
      </c>
      <c r="AI21" s="4">
        <f t="shared" si="6"/>
        <v>37</v>
      </c>
      <c r="AJ21" s="11" t="e">
        <f t="shared" si="0"/>
        <v>#DIV/0!</v>
      </c>
      <c r="AK21" s="53">
        <f t="shared" si="1"/>
        <v>9.7416666666666671</v>
      </c>
      <c r="AW21" s="26" t="str">
        <f>'3'!AW21</f>
        <v>بجيرم</v>
      </c>
      <c r="AX21" s="12">
        <f>'3'!AX21</f>
        <v>4</v>
      </c>
      <c r="AY21" s="12">
        <f>'3'!AY21</f>
        <v>946</v>
      </c>
      <c r="AZ21" s="12"/>
      <c r="BA21" s="12"/>
      <c r="BB21" s="12">
        <f>BA21+'3'!BB21</f>
        <v>823</v>
      </c>
      <c r="BC21" s="30">
        <f t="shared" si="2"/>
        <v>0.86997885835095135</v>
      </c>
      <c r="BD21" s="12">
        <f>'3'!BD21</f>
        <v>4</v>
      </c>
      <c r="BE21" s="12">
        <f>'3'!BE21</f>
        <v>99</v>
      </c>
      <c r="BF21" s="12"/>
      <c r="BG21" s="12"/>
      <c r="BH21" s="12">
        <f>BG21+'3'!BH21</f>
        <v>99</v>
      </c>
      <c r="BI21" s="30">
        <f t="shared" si="3"/>
        <v>1</v>
      </c>
    </row>
    <row r="22" spans="1:61" ht="30" customHeight="1" x14ac:dyDescent="0.35">
      <c r="A22" s="5">
        <v>12</v>
      </c>
      <c r="B22" s="26" t="str">
        <f>'3'!B22</f>
        <v>كفر بنى غريـــان</v>
      </c>
      <c r="C22" s="26">
        <f>'3'!C22</f>
        <v>2184</v>
      </c>
      <c r="D22" s="26"/>
      <c r="E22" s="12"/>
      <c r="F22" s="2">
        <f>E22+'3'!F22</f>
        <v>12</v>
      </c>
      <c r="G22" s="2"/>
      <c r="H22" s="2">
        <f>G22+'3'!H22</f>
        <v>471</v>
      </c>
      <c r="I22" s="2"/>
      <c r="J22" s="2">
        <f>I22+'3'!J22</f>
        <v>971</v>
      </c>
      <c r="K22" s="2"/>
      <c r="L22" s="2">
        <f>K22+'3'!L22</f>
        <v>0</v>
      </c>
      <c r="M22" s="2"/>
      <c r="N22" s="2">
        <f>M22+'3'!N22</f>
        <v>0</v>
      </c>
      <c r="O22" s="2"/>
      <c r="P22" s="2">
        <f>O22+'3'!P22</f>
        <v>0</v>
      </c>
      <c r="Q22" s="4">
        <f t="shared" si="4"/>
        <v>0</v>
      </c>
      <c r="R22" s="4">
        <f>Q22+'3'!R22</f>
        <v>1454</v>
      </c>
      <c r="S22" s="27">
        <f t="shared" si="5"/>
        <v>0.66575091575091572</v>
      </c>
      <c r="T22" s="12"/>
      <c r="U22" s="12">
        <f>T22+'3'!U22</f>
        <v>174</v>
      </c>
      <c r="V22" s="12"/>
      <c r="W22" s="12">
        <f>V22+'3'!W22</f>
        <v>7</v>
      </c>
      <c r="X22" s="12"/>
      <c r="Y22" s="12">
        <f>X22+'3'!Y22</f>
        <v>0</v>
      </c>
      <c r="AB22" s="5">
        <v>12</v>
      </c>
      <c r="AC22" s="26" t="str">
        <f>'3'!AC22</f>
        <v>كفر بنى غريـــان</v>
      </c>
      <c r="AD22" s="28">
        <f>'3'!AI22</f>
        <v>42</v>
      </c>
      <c r="AE22" s="3"/>
      <c r="AF22" s="28">
        <f>AE22+'3'!AF22</f>
        <v>192</v>
      </c>
      <c r="AG22" s="4"/>
      <c r="AH22" s="28">
        <f>AG22+'3'!AH22</f>
        <v>150</v>
      </c>
      <c r="AI22" s="4">
        <f t="shared" si="6"/>
        <v>42</v>
      </c>
      <c r="AJ22" s="11" t="e">
        <f t="shared" si="0"/>
        <v>#DIV/0!</v>
      </c>
      <c r="AK22" s="53">
        <f t="shared" si="1"/>
        <v>9.6933333333333334</v>
      </c>
      <c r="AW22" s="26" t="str">
        <f>'3'!AW22</f>
        <v>كفر بنى غريـــان</v>
      </c>
      <c r="AX22" s="12">
        <f>'3'!AX22</f>
        <v>3</v>
      </c>
      <c r="AY22" s="12">
        <f>'3'!AY22</f>
        <v>1327</v>
      </c>
      <c r="AZ22" s="12"/>
      <c r="BA22" s="12"/>
      <c r="BB22" s="12">
        <f>BA22+'3'!BB22</f>
        <v>994</v>
      </c>
      <c r="BC22" s="30">
        <f t="shared" si="2"/>
        <v>0.74905802562170309</v>
      </c>
      <c r="BD22" s="12">
        <f>'3'!BD22</f>
        <v>9</v>
      </c>
      <c r="BE22" s="12">
        <f>'3'!BE22</f>
        <v>381</v>
      </c>
      <c r="BF22" s="12"/>
      <c r="BG22" s="12"/>
      <c r="BH22" s="12">
        <f>BG22+'3'!BH22</f>
        <v>387</v>
      </c>
      <c r="BI22" s="30">
        <f t="shared" si="3"/>
        <v>1.015748031496063</v>
      </c>
    </row>
    <row r="23" spans="1:61" ht="30" customHeight="1" x14ac:dyDescent="0.35">
      <c r="A23" s="5">
        <v>13</v>
      </c>
      <c r="B23" s="26" t="str">
        <f>'3'!B23</f>
        <v>بــقســـــــــــــــــا</v>
      </c>
      <c r="C23" s="26">
        <f>'3'!C23</f>
        <v>862</v>
      </c>
      <c r="D23" s="26"/>
      <c r="E23" s="12"/>
      <c r="F23" s="2">
        <f>E23+'3'!F23</f>
        <v>8</v>
      </c>
      <c r="G23" s="2"/>
      <c r="H23" s="2">
        <f>G23+'3'!H23</f>
        <v>160</v>
      </c>
      <c r="I23" s="2"/>
      <c r="J23" s="2">
        <f>I23+'3'!J23</f>
        <v>359</v>
      </c>
      <c r="K23" s="2"/>
      <c r="L23" s="2">
        <f>K23+'3'!L23</f>
        <v>0</v>
      </c>
      <c r="M23" s="2"/>
      <c r="N23" s="2">
        <f>M23+'3'!N23</f>
        <v>0</v>
      </c>
      <c r="O23" s="2"/>
      <c r="P23" s="2">
        <f>O23+'3'!P23</f>
        <v>0</v>
      </c>
      <c r="Q23" s="4">
        <f t="shared" si="4"/>
        <v>0</v>
      </c>
      <c r="R23" s="4">
        <f>Q23+'3'!R23</f>
        <v>527</v>
      </c>
      <c r="S23" s="27">
        <f t="shared" si="5"/>
        <v>0.61136890951276102</v>
      </c>
      <c r="T23" s="12"/>
      <c r="U23" s="12">
        <f>T23+'3'!U23</f>
        <v>36</v>
      </c>
      <c r="V23" s="12"/>
      <c r="W23" s="12">
        <f>V23+'3'!W23</f>
        <v>14</v>
      </c>
      <c r="X23" s="12"/>
      <c r="Y23" s="12">
        <f>X23+'3'!Y23</f>
        <v>0</v>
      </c>
      <c r="AB23" s="5">
        <v>13</v>
      </c>
      <c r="AC23" s="26" t="str">
        <f>'3'!AC23</f>
        <v>بــقســـــــــــــــــا</v>
      </c>
      <c r="AD23" s="28">
        <f>'3'!AI23</f>
        <v>22</v>
      </c>
      <c r="AE23" s="3"/>
      <c r="AF23" s="28">
        <f>AE23+'3'!AF23</f>
        <v>75</v>
      </c>
      <c r="AG23" s="4"/>
      <c r="AH23" s="28">
        <f>AG23+'3'!AH23</f>
        <v>53</v>
      </c>
      <c r="AI23" s="4">
        <f t="shared" si="6"/>
        <v>22</v>
      </c>
      <c r="AJ23" s="11" t="e">
        <f t="shared" si="0"/>
        <v>#DIV/0!</v>
      </c>
      <c r="AK23" s="53">
        <f t="shared" si="1"/>
        <v>9.9433962264150946</v>
      </c>
      <c r="AW23" s="26" t="str">
        <f>'3'!AW23</f>
        <v>بــقســـــــــــــــــا</v>
      </c>
      <c r="AX23" s="12">
        <f>'3'!AX23</f>
        <v>1</v>
      </c>
      <c r="AY23" s="12">
        <f>'3'!AY23</f>
        <v>311</v>
      </c>
      <c r="AZ23" s="12"/>
      <c r="BA23" s="12"/>
      <c r="BB23" s="12">
        <f>BA23+'3'!BB23</f>
        <v>297</v>
      </c>
      <c r="BC23" s="30">
        <f t="shared" si="2"/>
        <v>0.954983922829582</v>
      </c>
      <c r="BD23" s="12">
        <f>'3'!BD23</f>
        <v>1</v>
      </c>
      <c r="BE23" s="12">
        <f>'3'!BE23</f>
        <v>40</v>
      </c>
      <c r="BF23" s="12"/>
      <c r="BG23" s="12"/>
      <c r="BH23" s="12">
        <f>BG23+'3'!BH23</f>
        <v>30</v>
      </c>
      <c r="BI23" s="30">
        <f t="shared" si="3"/>
        <v>0.75</v>
      </c>
    </row>
    <row r="24" spans="1:61" ht="37.15" customHeight="1" x14ac:dyDescent="0.35">
      <c r="A24" s="5">
        <v>14</v>
      </c>
      <c r="B24" s="26" t="str">
        <f>'3'!B24</f>
        <v>كفــــــــر الأكرم</v>
      </c>
      <c r="C24" s="26">
        <f>'3'!C24</f>
        <v>918</v>
      </c>
      <c r="D24" s="26"/>
      <c r="E24" s="12"/>
      <c r="F24" s="2">
        <f>E24+'3'!F24</f>
        <v>3</v>
      </c>
      <c r="G24" s="2"/>
      <c r="H24" s="2">
        <f>G24+'3'!H24</f>
        <v>233</v>
      </c>
      <c r="I24" s="2"/>
      <c r="J24" s="2">
        <f>I24+'3'!J24</f>
        <v>392</v>
      </c>
      <c r="K24" s="2"/>
      <c r="L24" s="2">
        <f>K24+'3'!L24</f>
        <v>0</v>
      </c>
      <c r="M24" s="2"/>
      <c r="N24" s="2">
        <f>M24+'3'!N24</f>
        <v>0</v>
      </c>
      <c r="O24" s="2"/>
      <c r="P24" s="2">
        <f>O24+'3'!P24</f>
        <v>0</v>
      </c>
      <c r="Q24" s="4">
        <f t="shared" si="4"/>
        <v>0</v>
      </c>
      <c r="R24" s="4">
        <f>Q24+'3'!R24</f>
        <v>628</v>
      </c>
      <c r="S24" s="27">
        <f t="shared" si="5"/>
        <v>0.68409586056644878</v>
      </c>
      <c r="T24" s="12"/>
      <c r="U24" s="12">
        <f>T24+'3'!U24</f>
        <v>87</v>
      </c>
      <c r="V24" s="12"/>
      <c r="W24" s="12">
        <f>V24+'3'!W24</f>
        <v>9</v>
      </c>
      <c r="X24" s="12"/>
      <c r="Y24" s="12">
        <f>X24+'3'!Y24</f>
        <v>0</v>
      </c>
      <c r="AB24" s="5">
        <v>14</v>
      </c>
      <c r="AC24" s="26" t="str">
        <f>'3'!AC24</f>
        <v>كفــــــــر الأكرم</v>
      </c>
      <c r="AD24" s="28">
        <f>'3'!AI24</f>
        <v>15</v>
      </c>
      <c r="AE24" s="3"/>
      <c r="AF24" s="28">
        <f>AE24+'3'!AF24</f>
        <v>80</v>
      </c>
      <c r="AG24" s="4"/>
      <c r="AH24" s="28">
        <f>AG24+'3'!AH24</f>
        <v>65</v>
      </c>
      <c r="AI24" s="4">
        <f t="shared" si="6"/>
        <v>15</v>
      </c>
      <c r="AJ24" s="11" t="e">
        <f t="shared" si="0"/>
        <v>#DIV/0!</v>
      </c>
      <c r="AK24" s="53">
        <f t="shared" si="1"/>
        <v>9.661538461538461</v>
      </c>
      <c r="AW24" s="26" t="str">
        <f>'3'!AW24</f>
        <v>كفــــــــر الأكرم</v>
      </c>
      <c r="AX24" s="12">
        <f>'3'!AX24</f>
        <v>2</v>
      </c>
      <c r="AY24" s="12">
        <f>'3'!AY24</f>
        <v>540</v>
      </c>
      <c r="AZ24" s="12"/>
      <c r="BA24" s="12"/>
      <c r="BB24" s="12">
        <f>BA24+'3'!BB24</f>
        <v>380</v>
      </c>
      <c r="BC24" s="30">
        <f t="shared" si="2"/>
        <v>0.70370370370370372</v>
      </c>
      <c r="BD24" s="12">
        <f>'3'!BD24</f>
        <v>2</v>
      </c>
      <c r="BE24" s="12">
        <f>'3'!BE24</f>
        <v>115</v>
      </c>
      <c r="BF24" s="12"/>
      <c r="BG24" s="12"/>
      <c r="BH24" s="12">
        <f>BG24+'3'!BH24</f>
        <v>160</v>
      </c>
      <c r="BI24" s="30">
        <f t="shared" si="3"/>
        <v>1.3913043478260869</v>
      </c>
    </row>
    <row r="25" spans="1:61" ht="28.9" customHeight="1" x14ac:dyDescent="0.35">
      <c r="A25" s="5">
        <v>15</v>
      </c>
      <c r="B25" s="26" t="str">
        <f>'3'!B25</f>
        <v>كفـــــــــر إبنهس</v>
      </c>
      <c r="C25" s="26">
        <f>'3'!C25</f>
        <v>2072</v>
      </c>
      <c r="D25" s="26"/>
      <c r="E25" s="12"/>
      <c r="F25" s="2">
        <f>E25+'3'!F25</f>
        <v>6</v>
      </c>
      <c r="G25" s="2"/>
      <c r="H25" s="2">
        <f>G25+'3'!H25</f>
        <v>345</v>
      </c>
      <c r="I25" s="2"/>
      <c r="J25" s="2">
        <f>I25+'3'!J25</f>
        <v>974</v>
      </c>
      <c r="K25" s="2"/>
      <c r="L25" s="2">
        <f>K25+'3'!L25</f>
        <v>0</v>
      </c>
      <c r="M25" s="2"/>
      <c r="N25" s="2">
        <f>M25+'3'!N25</f>
        <v>0</v>
      </c>
      <c r="O25" s="2"/>
      <c r="P25" s="2">
        <f>O25+'3'!P25</f>
        <v>0</v>
      </c>
      <c r="Q25" s="4">
        <f t="shared" si="4"/>
        <v>0</v>
      </c>
      <c r="R25" s="4">
        <f>Q25+'3'!R25</f>
        <v>1325</v>
      </c>
      <c r="S25" s="27">
        <f t="shared" si="5"/>
        <v>0.63947876447876451</v>
      </c>
      <c r="T25" s="12"/>
      <c r="U25" s="12">
        <f>T25+'3'!U25</f>
        <v>173</v>
      </c>
      <c r="V25" s="12"/>
      <c r="W25" s="12">
        <f>V25+'3'!W25</f>
        <v>50</v>
      </c>
      <c r="X25" s="12"/>
      <c r="Y25" s="12">
        <f>X25+'3'!Y25</f>
        <v>0</v>
      </c>
      <c r="AB25" s="5">
        <v>15</v>
      </c>
      <c r="AC25" s="26" t="str">
        <f>'3'!AC25</f>
        <v>كفـــــــــر إبنهس</v>
      </c>
      <c r="AD25" s="28">
        <f>'3'!AI25</f>
        <v>31</v>
      </c>
      <c r="AE25" s="3"/>
      <c r="AF25" s="28">
        <f>AE25+'3'!AF25</f>
        <v>180</v>
      </c>
      <c r="AG25" s="4"/>
      <c r="AH25" s="28">
        <f>AG25+'3'!AH25</f>
        <v>149</v>
      </c>
      <c r="AI25" s="4">
        <f t="shared" si="6"/>
        <v>31</v>
      </c>
      <c r="AJ25" s="11" t="e">
        <f t="shared" si="0"/>
        <v>#DIV/0!</v>
      </c>
      <c r="AK25" s="53">
        <f t="shared" si="1"/>
        <v>8.8926174496644297</v>
      </c>
      <c r="AW25" s="26" t="str">
        <f>'3'!AW25</f>
        <v>كفـــــــــر إبنهس</v>
      </c>
      <c r="AX25" s="12">
        <f>'3'!AX25</f>
        <v>3</v>
      </c>
      <c r="AY25" s="12">
        <f>'3'!AY25</f>
        <v>1013</v>
      </c>
      <c r="AZ25" s="12"/>
      <c r="BA25" s="12"/>
      <c r="BB25" s="12">
        <f>BA25+'3'!BB25</f>
        <v>838</v>
      </c>
      <c r="BC25" s="30">
        <f t="shared" si="2"/>
        <v>0.82724580454096741</v>
      </c>
      <c r="BD25" s="12">
        <f>'3'!BD25</f>
        <v>4</v>
      </c>
      <c r="BE25" s="12">
        <f>'3'!BE25</f>
        <v>620</v>
      </c>
      <c r="BF25" s="12"/>
      <c r="BG25" s="12"/>
      <c r="BH25" s="12">
        <f>BG25+'3'!BH25</f>
        <v>507</v>
      </c>
      <c r="BI25" s="30">
        <f t="shared" si="3"/>
        <v>0.81774193548387097</v>
      </c>
    </row>
    <row r="26" spans="1:61" ht="28.9" customHeight="1" x14ac:dyDescent="0.35">
      <c r="A26" s="5">
        <v>16</v>
      </c>
      <c r="B26" s="26" t="str">
        <f>'3'!B26</f>
        <v>الرمــــــــــــــالى</v>
      </c>
      <c r="C26" s="26">
        <f>'3'!C26</f>
        <v>2699</v>
      </c>
      <c r="D26" s="26"/>
      <c r="E26" s="12"/>
      <c r="F26" s="2">
        <f>E26+'3'!F26</f>
        <v>27</v>
      </c>
      <c r="G26" s="2"/>
      <c r="H26" s="2">
        <f>G26+'3'!H26</f>
        <v>312</v>
      </c>
      <c r="I26" s="2"/>
      <c r="J26" s="2">
        <f>I26+'3'!J26</f>
        <v>993</v>
      </c>
      <c r="K26" s="2"/>
      <c r="L26" s="2">
        <f>K26+'3'!L26</f>
        <v>0</v>
      </c>
      <c r="M26" s="2"/>
      <c r="N26" s="2">
        <f>M26+'3'!N26</f>
        <v>0</v>
      </c>
      <c r="O26" s="2"/>
      <c r="P26" s="2">
        <f>O26+'3'!P26</f>
        <v>0</v>
      </c>
      <c r="Q26" s="4">
        <f t="shared" si="4"/>
        <v>0</v>
      </c>
      <c r="R26" s="4">
        <f>Q26+'3'!R26</f>
        <v>1332</v>
      </c>
      <c r="S26" s="27">
        <f t="shared" si="5"/>
        <v>0.49351611708040016</v>
      </c>
      <c r="T26" s="12"/>
      <c r="U26" s="12">
        <f>T26+'3'!U26</f>
        <v>114</v>
      </c>
      <c r="V26" s="12"/>
      <c r="W26" s="12">
        <f>V26+'3'!W26</f>
        <v>108</v>
      </c>
      <c r="X26" s="12"/>
      <c r="Y26" s="12">
        <f>X26+'3'!Y26</f>
        <v>1</v>
      </c>
      <c r="Z26" s="38"/>
      <c r="AB26" s="5">
        <v>16</v>
      </c>
      <c r="AC26" s="26" t="str">
        <f>'3'!AC26</f>
        <v>الرمــــــــــــــالى</v>
      </c>
      <c r="AD26" s="28">
        <f>'3'!AI26</f>
        <v>96</v>
      </c>
      <c r="AE26" s="3"/>
      <c r="AF26" s="28">
        <f>AE26+'3'!AF26</f>
        <v>235</v>
      </c>
      <c r="AG26" s="4"/>
      <c r="AH26" s="28">
        <f>AG26+'3'!AH26</f>
        <v>139</v>
      </c>
      <c r="AI26" s="4">
        <f t="shared" si="6"/>
        <v>96</v>
      </c>
      <c r="AJ26" s="11" t="e">
        <f t="shared" si="0"/>
        <v>#DIV/0!</v>
      </c>
      <c r="AK26" s="53">
        <f t="shared" si="1"/>
        <v>9.5827338129496411</v>
      </c>
      <c r="AV26" s="38"/>
      <c r="AW26" s="26" t="str">
        <f>'3'!AW26</f>
        <v>الرمــــــــــــــالى</v>
      </c>
      <c r="AX26" s="12">
        <f>'3'!AX26</f>
        <v>3</v>
      </c>
      <c r="AY26" s="12">
        <f>'3'!AY26</f>
        <v>1486</v>
      </c>
      <c r="AZ26" s="12"/>
      <c r="BA26" s="12"/>
      <c r="BB26" s="12">
        <f>BA26+'3'!BB26</f>
        <v>1149</v>
      </c>
      <c r="BC26" s="30">
        <f t="shared" si="2"/>
        <v>0.77321668909825036</v>
      </c>
      <c r="BD26" s="12">
        <f>'3'!BD26</f>
        <v>3</v>
      </c>
      <c r="BE26" s="12">
        <f>'3'!BE26</f>
        <v>98</v>
      </c>
      <c r="BF26" s="12"/>
      <c r="BG26" s="12"/>
      <c r="BH26" s="12">
        <f>BG26+'3'!BH26</f>
        <v>0</v>
      </c>
      <c r="BI26" s="30">
        <f t="shared" si="3"/>
        <v>0</v>
      </c>
    </row>
    <row r="27" spans="1:61" ht="28.9" customHeight="1" x14ac:dyDescent="0.35">
      <c r="A27" s="5">
        <v>17</v>
      </c>
      <c r="B27" s="26" t="str">
        <f>'3'!B27</f>
        <v>مصطــــــــــــاى</v>
      </c>
      <c r="C27" s="26">
        <f>'3'!C27</f>
        <v>2666</v>
      </c>
      <c r="D27" s="26"/>
      <c r="E27" s="12"/>
      <c r="F27" s="2">
        <f>E27+'3'!F27</f>
        <v>54</v>
      </c>
      <c r="G27" s="2"/>
      <c r="H27" s="2">
        <f>G27+'3'!H27</f>
        <v>364</v>
      </c>
      <c r="I27" s="2"/>
      <c r="J27" s="2">
        <f>I27+'3'!J27</f>
        <v>1154</v>
      </c>
      <c r="K27" s="2"/>
      <c r="L27" s="2">
        <f>K27+'3'!L27</f>
        <v>0</v>
      </c>
      <c r="M27" s="2"/>
      <c r="N27" s="2">
        <f>M27+'3'!N27</f>
        <v>0</v>
      </c>
      <c r="O27" s="2"/>
      <c r="P27" s="2">
        <f>O27+'3'!P27</f>
        <v>0</v>
      </c>
      <c r="Q27" s="4">
        <f t="shared" si="4"/>
        <v>0</v>
      </c>
      <c r="R27" s="4">
        <f>Q27+'3'!R27</f>
        <v>1572</v>
      </c>
      <c r="S27" s="27">
        <f t="shared" si="5"/>
        <v>0.58964741185296321</v>
      </c>
      <c r="T27" s="12"/>
      <c r="U27" s="12">
        <f>T27+'3'!U27</f>
        <v>45</v>
      </c>
      <c r="V27" s="12"/>
      <c r="W27" s="12">
        <f>V27+'3'!W27</f>
        <v>15</v>
      </c>
      <c r="X27" s="12"/>
      <c r="Y27" s="12">
        <f>X27+'3'!Y27</f>
        <v>0</v>
      </c>
      <c r="AB27" s="5">
        <v>17</v>
      </c>
      <c r="AC27" s="26" t="str">
        <f>'3'!AC27</f>
        <v>مصطــــــــــــاى</v>
      </c>
      <c r="AD27" s="28">
        <f>'3'!AI27</f>
        <v>74</v>
      </c>
      <c r="AE27" s="3"/>
      <c r="AF27" s="28">
        <f>AE27+'3'!AF27</f>
        <v>234</v>
      </c>
      <c r="AG27" s="4"/>
      <c r="AH27" s="28">
        <f>AG27+'3'!AH27</f>
        <v>160</v>
      </c>
      <c r="AI27" s="4">
        <f t="shared" si="6"/>
        <v>74</v>
      </c>
      <c r="AJ27" s="11" t="e">
        <f t="shared" si="0"/>
        <v>#DIV/0!</v>
      </c>
      <c r="AK27" s="53">
        <f t="shared" si="1"/>
        <v>9.8249999999999993</v>
      </c>
      <c r="AW27" s="26" t="str">
        <f>'3'!AW27</f>
        <v>مصطــــــــــــاى</v>
      </c>
      <c r="AX27" s="12">
        <f>'3'!AX27</f>
        <v>3</v>
      </c>
      <c r="AY27" s="12">
        <f>'3'!AY27</f>
        <v>1709</v>
      </c>
      <c r="AZ27" s="12"/>
      <c r="BA27" s="12"/>
      <c r="BB27" s="12">
        <f>BA27+'3'!BB27</f>
        <v>1252</v>
      </c>
      <c r="BC27" s="30">
        <f t="shared" si="2"/>
        <v>0.73259215915740195</v>
      </c>
      <c r="BD27" s="12">
        <f>'3'!BD27</f>
        <v>6</v>
      </c>
      <c r="BE27" s="12">
        <f>'3'!BE27</f>
        <v>696</v>
      </c>
      <c r="BF27" s="12"/>
      <c r="BG27" s="12"/>
      <c r="BH27" s="12">
        <f>BG27+'3'!BH27</f>
        <v>120</v>
      </c>
      <c r="BI27" s="30">
        <f t="shared" si="3"/>
        <v>0.17241379310344829</v>
      </c>
    </row>
    <row r="28" spans="1:61" ht="28.9" customHeight="1" x14ac:dyDescent="0.35">
      <c r="A28" s="5">
        <v>18</v>
      </c>
      <c r="B28" s="26" t="str">
        <f>'3'!B28</f>
        <v>كفر طـــــــه شبرا</v>
      </c>
      <c r="C28" s="26">
        <f>'3'!C28</f>
        <v>1795</v>
      </c>
      <c r="D28" s="26"/>
      <c r="E28" s="12"/>
      <c r="F28" s="2">
        <f>E28+'3'!F28</f>
        <v>8</v>
      </c>
      <c r="G28" s="2"/>
      <c r="H28" s="2">
        <f>G28+'3'!H28</f>
        <v>294</v>
      </c>
      <c r="I28" s="2"/>
      <c r="J28" s="2">
        <f>I28+'3'!J28</f>
        <v>940</v>
      </c>
      <c r="K28" s="2"/>
      <c r="L28" s="2">
        <f>K28+'3'!L28</f>
        <v>0</v>
      </c>
      <c r="M28" s="2"/>
      <c r="N28" s="2">
        <f>M28+'3'!N28</f>
        <v>0</v>
      </c>
      <c r="O28" s="2"/>
      <c r="P28" s="2">
        <f>O28+'3'!P28</f>
        <v>0</v>
      </c>
      <c r="Q28" s="4">
        <f t="shared" si="4"/>
        <v>0</v>
      </c>
      <c r="R28" s="4">
        <f>Q28+'3'!R28</f>
        <v>1242</v>
      </c>
      <c r="S28" s="27">
        <f t="shared" si="5"/>
        <v>0.69192200557103067</v>
      </c>
      <c r="T28" s="12"/>
      <c r="U28" s="12">
        <f>T28+'3'!U28</f>
        <v>136</v>
      </c>
      <c r="V28" s="12"/>
      <c r="W28" s="12">
        <f>V28+'3'!W28</f>
        <v>33</v>
      </c>
      <c r="X28" s="12"/>
      <c r="Y28" s="12">
        <f>X28+'3'!Y28</f>
        <v>0</v>
      </c>
      <c r="AB28" s="5">
        <v>18</v>
      </c>
      <c r="AC28" s="26" t="str">
        <f>'3'!AC28</f>
        <v>كفر طـــــــه شبرا</v>
      </c>
      <c r="AD28" s="28">
        <f>'3'!AI28</f>
        <v>28</v>
      </c>
      <c r="AE28" s="3"/>
      <c r="AF28" s="28">
        <f>AE28+'3'!AF28</f>
        <v>158</v>
      </c>
      <c r="AG28" s="4"/>
      <c r="AH28" s="28">
        <f>AG28+'3'!AH28</f>
        <v>130</v>
      </c>
      <c r="AI28" s="4">
        <f t="shared" si="6"/>
        <v>28</v>
      </c>
      <c r="AJ28" s="11" t="e">
        <f t="shared" si="0"/>
        <v>#DIV/0!</v>
      </c>
      <c r="AK28" s="53">
        <f t="shared" si="1"/>
        <v>9.5538461538461537</v>
      </c>
      <c r="AW28" s="26" t="str">
        <f>'3'!AW28</f>
        <v>كفر طـــــــه شبرا</v>
      </c>
      <c r="AX28" s="12">
        <f>'3'!AX28</f>
        <v>4</v>
      </c>
      <c r="AY28" s="12">
        <f>'3'!AY28</f>
        <v>948</v>
      </c>
      <c r="AZ28" s="12"/>
      <c r="BA28" s="12"/>
      <c r="BB28" s="12">
        <f>BA28+'3'!BB28</f>
        <v>827</v>
      </c>
      <c r="BC28" s="30">
        <f t="shared" si="2"/>
        <v>0.87236286919831219</v>
      </c>
      <c r="BD28" s="12">
        <f>'3'!BD28</f>
        <v>7</v>
      </c>
      <c r="BE28" s="12">
        <f>'3'!BE28</f>
        <v>300</v>
      </c>
      <c r="BF28" s="12"/>
      <c r="BG28" s="12"/>
      <c r="BH28" s="12">
        <f>BG28+'3'!BH28</f>
        <v>403</v>
      </c>
      <c r="BI28" s="30">
        <f t="shared" si="3"/>
        <v>1.3433333333333333</v>
      </c>
    </row>
    <row r="29" spans="1:61" ht="28.9" customHeight="1" x14ac:dyDescent="0.35">
      <c r="A29" s="5">
        <v>19</v>
      </c>
      <c r="B29" s="26" t="str">
        <f>'3'!B29</f>
        <v>كفر أبـــو الحسن</v>
      </c>
      <c r="C29" s="26">
        <f>'3'!C29</f>
        <v>1397</v>
      </c>
      <c r="D29" s="26"/>
      <c r="E29" s="12"/>
      <c r="F29" s="2">
        <f>E29+'3'!F29</f>
        <v>4</v>
      </c>
      <c r="G29" s="2"/>
      <c r="H29" s="2">
        <f>G29+'3'!H29</f>
        <v>238</v>
      </c>
      <c r="I29" s="2"/>
      <c r="J29" s="2">
        <f>I29+'3'!J29</f>
        <v>841</v>
      </c>
      <c r="K29" s="2"/>
      <c r="L29" s="2">
        <f>K29+'3'!L29</f>
        <v>0</v>
      </c>
      <c r="M29" s="2"/>
      <c r="N29" s="2">
        <f>M29+'3'!N29</f>
        <v>0</v>
      </c>
      <c r="O29" s="2"/>
      <c r="P29" s="2">
        <f>O29+'3'!P29</f>
        <v>0</v>
      </c>
      <c r="Q29" s="4">
        <f t="shared" si="4"/>
        <v>0</v>
      </c>
      <c r="R29" s="4">
        <f>Q29+'3'!R29</f>
        <v>1083</v>
      </c>
      <c r="S29" s="27">
        <f t="shared" si="5"/>
        <v>0.77523264137437364</v>
      </c>
      <c r="T29" s="12"/>
      <c r="U29" s="12">
        <f>T29+'3'!U29</f>
        <v>205</v>
      </c>
      <c r="V29" s="12"/>
      <c r="W29" s="12">
        <f>V29+'3'!W29</f>
        <v>18</v>
      </c>
      <c r="X29" s="12"/>
      <c r="Y29" s="12">
        <f>X29+'3'!Y29</f>
        <v>0</v>
      </c>
      <c r="AB29" s="5">
        <v>19</v>
      </c>
      <c r="AC29" s="26" t="str">
        <f>'3'!AC29</f>
        <v>كفر أبـــو الحسن</v>
      </c>
      <c r="AD29" s="28">
        <f>'3'!AI29</f>
        <v>22</v>
      </c>
      <c r="AE29" s="3"/>
      <c r="AF29" s="28">
        <f>AE29+'3'!AF29</f>
        <v>133</v>
      </c>
      <c r="AG29" s="4"/>
      <c r="AH29" s="28">
        <f>AG29+'3'!AH29</f>
        <v>111</v>
      </c>
      <c r="AI29" s="4">
        <f t="shared" si="6"/>
        <v>22</v>
      </c>
      <c r="AJ29" s="11" t="e">
        <f t="shared" si="0"/>
        <v>#DIV/0!</v>
      </c>
      <c r="AK29" s="53">
        <f t="shared" si="1"/>
        <v>9.7567567567567561</v>
      </c>
      <c r="AW29" s="26" t="str">
        <f>'3'!AW29</f>
        <v>كفر أبـــو الحسن</v>
      </c>
      <c r="AX29" s="12">
        <f>'3'!AX29</f>
        <v>3</v>
      </c>
      <c r="AY29" s="12">
        <f>'3'!AY29</f>
        <v>912</v>
      </c>
      <c r="AZ29" s="12"/>
      <c r="BA29" s="12"/>
      <c r="BB29" s="12">
        <f>BA29+'3'!BB29</f>
        <v>760</v>
      </c>
      <c r="BC29" s="30">
        <f t="shared" si="2"/>
        <v>0.83333333333333337</v>
      </c>
      <c r="BD29" s="12">
        <f>'3'!BD29</f>
        <v>9</v>
      </c>
      <c r="BE29" s="12">
        <f>'3'!BE29</f>
        <v>258</v>
      </c>
      <c r="BF29" s="12"/>
      <c r="BG29" s="12"/>
      <c r="BH29" s="12">
        <f>BG29+'3'!BH29</f>
        <v>351</v>
      </c>
      <c r="BI29" s="30">
        <f t="shared" si="3"/>
        <v>1.3604651162790697</v>
      </c>
    </row>
    <row r="30" spans="1:61" ht="28.9" customHeight="1" x14ac:dyDescent="0.35">
      <c r="A30" s="5">
        <v>20</v>
      </c>
      <c r="B30" s="26" t="str">
        <f>'3'!B30</f>
        <v>ميت أبـــــوشيخه</v>
      </c>
      <c r="C30" s="26">
        <f>'3'!C30</f>
        <v>1134</v>
      </c>
      <c r="D30" s="26"/>
      <c r="E30" s="12"/>
      <c r="F30" s="2">
        <f>E30+'3'!F30</f>
        <v>10</v>
      </c>
      <c r="G30" s="2"/>
      <c r="H30" s="2">
        <f>G30+'3'!H30</f>
        <v>144</v>
      </c>
      <c r="I30" s="2"/>
      <c r="J30" s="2">
        <f>I30+'3'!J30</f>
        <v>435</v>
      </c>
      <c r="K30" s="2"/>
      <c r="L30" s="2">
        <f>K30+'3'!L30</f>
        <v>0</v>
      </c>
      <c r="M30" s="2"/>
      <c r="N30" s="2">
        <f>M30+'3'!N30</f>
        <v>0</v>
      </c>
      <c r="O30" s="2"/>
      <c r="P30" s="2">
        <f>O30+'3'!P30</f>
        <v>0</v>
      </c>
      <c r="Q30" s="4">
        <f t="shared" si="4"/>
        <v>0</v>
      </c>
      <c r="R30" s="4">
        <f>Q30+'3'!R30</f>
        <v>589</v>
      </c>
      <c r="S30" s="27">
        <f t="shared" si="5"/>
        <v>0.51940035273368612</v>
      </c>
      <c r="T30" s="12"/>
      <c r="U30" s="12">
        <f>T30+'3'!U30</f>
        <v>68</v>
      </c>
      <c r="V30" s="12"/>
      <c r="W30" s="12">
        <f>V30+'3'!W30</f>
        <v>10</v>
      </c>
      <c r="X30" s="12"/>
      <c r="Y30" s="12">
        <f>X30+'3'!Y30</f>
        <v>0</v>
      </c>
      <c r="AB30" s="5">
        <v>20</v>
      </c>
      <c r="AC30" s="26" t="str">
        <f>'3'!AC30</f>
        <v>ميت أبـــــوشيخه</v>
      </c>
      <c r="AD30" s="28">
        <f>'3'!AI30</f>
        <v>40</v>
      </c>
      <c r="AE30" s="3"/>
      <c r="AF30" s="28">
        <f>AE30+'3'!AF30</f>
        <v>100</v>
      </c>
      <c r="AG30" s="4"/>
      <c r="AH30" s="28">
        <f>AG30+'3'!AH30</f>
        <v>60</v>
      </c>
      <c r="AI30" s="4">
        <f t="shared" si="6"/>
        <v>40</v>
      </c>
      <c r="AJ30" s="11" t="e">
        <f t="shared" si="0"/>
        <v>#DIV/0!</v>
      </c>
      <c r="AK30" s="53">
        <f t="shared" si="1"/>
        <v>9.8166666666666664</v>
      </c>
      <c r="AW30" s="26" t="str">
        <f>'3'!AW30</f>
        <v>ميت أبـــــوشيخه</v>
      </c>
      <c r="AX30" s="12">
        <f>'3'!AX30</f>
        <v>2</v>
      </c>
      <c r="AY30" s="12">
        <f>'3'!AY30</f>
        <v>560</v>
      </c>
      <c r="AZ30" s="12"/>
      <c r="BA30" s="12"/>
      <c r="BB30" s="12">
        <f>BA30+'3'!BB30</f>
        <v>459</v>
      </c>
      <c r="BC30" s="30">
        <f t="shared" si="2"/>
        <v>0.81964285714285712</v>
      </c>
      <c r="BD30" s="12">
        <f>'3'!BD30</f>
        <v>2</v>
      </c>
      <c r="BE30" s="12">
        <f>'3'!BE30</f>
        <v>107</v>
      </c>
      <c r="BF30" s="12"/>
      <c r="BG30" s="12"/>
      <c r="BH30" s="12">
        <f>BG30+'3'!BH30</f>
        <v>85</v>
      </c>
      <c r="BI30" s="30">
        <f t="shared" si="3"/>
        <v>0.79439252336448596</v>
      </c>
    </row>
    <row r="31" spans="1:61" ht="28.9" customHeight="1" x14ac:dyDescent="0.35">
      <c r="A31" s="5">
        <v>21</v>
      </c>
      <c r="B31" s="26" t="str">
        <f>'3'!B31</f>
        <v>طــــــــــــه شبرا</v>
      </c>
      <c r="C31" s="26">
        <f>'3'!C31</f>
        <v>5149</v>
      </c>
      <c r="D31" s="26"/>
      <c r="E31" s="12"/>
      <c r="F31" s="2">
        <f>E31+'3'!F31</f>
        <v>22</v>
      </c>
      <c r="G31" s="2"/>
      <c r="H31" s="2">
        <f>G31+'3'!H31</f>
        <v>967</v>
      </c>
      <c r="I31" s="2"/>
      <c r="J31" s="2">
        <f>I31+'3'!J31</f>
        <v>1288</v>
      </c>
      <c r="K31" s="2"/>
      <c r="L31" s="2">
        <f>K31+'3'!L31</f>
        <v>0</v>
      </c>
      <c r="M31" s="2"/>
      <c r="N31" s="2">
        <f>M31+'3'!N31</f>
        <v>0</v>
      </c>
      <c r="O31" s="2"/>
      <c r="P31" s="2">
        <f>O31+'3'!P31</f>
        <v>0</v>
      </c>
      <c r="Q31" s="4">
        <f t="shared" si="4"/>
        <v>0</v>
      </c>
      <c r="R31" s="4">
        <f>Q31+'3'!R31</f>
        <v>2277</v>
      </c>
      <c r="S31" s="27">
        <f t="shared" si="5"/>
        <v>0.442221790638959</v>
      </c>
      <c r="T31" s="12"/>
      <c r="U31" s="12">
        <f>T31+'3'!U31</f>
        <v>277</v>
      </c>
      <c r="V31" s="12"/>
      <c r="W31" s="12">
        <f>V31+'3'!W31</f>
        <v>3</v>
      </c>
      <c r="X31" s="12"/>
      <c r="Y31" s="12">
        <f>X31+'3'!Y31</f>
        <v>0</v>
      </c>
      <c r="AB31" s="5">
        <v>21</v>
      </c>
      <c r="AC31" s="26" t="str">
        <f>'3'!AC31</f>
        <v>طــــــــــــه شبرا</v>
      </c>
      <c r="AD31" s="28">
        <f>'3'!AI31</f>
        <v>216</v>
      </c>
      <c r="AE31" s="3"/>
      <c r="AF31" s="28">
        <f>AE31+'3'!AF31</f>
        <v>452</v>
      </c>
      <c r="AG31" s="4"/>
      <c r="AH31" s="28">
        <f>AG31+'3'!AH31</f>
        <v>236</v>
      </c>
      <c r="AI31" s="4">
        <f t="shared" si="6"/>
        <v>216</v>
      </c>
      <c r="AJ31" s="11" t="e">
        <f t="shared" si="0"/>
        <v>#DIV/0!</v>
      </c>
      <c r="AK31" s="53">
        <f t="shared" si="1"/>
        <v>9.648305084745763</v>
      </c>
      <c r="AW31" s="26" t="str">
        <f>'3'!AW31</f>
        <v>طــــــــــــه شبرا</v>
      </c>
      <c r="AX31" s="12">
        <f>'3'!AX31</f>
        <v>6</v>
      </c>
      <c r="AY31" s="12">
        <f>'3'!AY31</f>
        <v>2219</v>
      </c>
      <c r="AZ31" s="12"/>
      <c r="BA31" s="12"/>
      <c r="BB31" s="12">
        <f>BA31+'3'!BB31</f>
        <v>1367</v>
      </c>
      <c r="BC31" s="30">
        <f t="shared" si="2"/>
        <v>0.61604326273095988</v>
      </c>
      <c r="BD31" s="12">
        <f>'3'!BD31</f>
        <v>8</v>
      </c>
      <c r="BE31" s="12">
        <f>'3'!BE31</f>
        <v>748</v>
      </c>
      <c r="BF31" s="12"/>
      <c r="BG31" s="12"/>
      <c r="BH31" s="12">
        <f>BG31+'3'!BH31</f>
        <v>690</v>
      </c>
      <c r="BI31" s="30">
        <f t="shared" si="3"/>
        <v>0.92245989304812837</v>
      </c>
    </row>
    <row r="32" spans="1:61" ht="28.9" customHeight="1" x14ac:dyDescent="0.35">
      <c r="A32" s="5">
        <v>22</v>
      </c>
      <c r="B32" s="26" t="str">
        <f>'3'!B32</f>
        <v>أشـــــــــــــــــليم</v>
      </c>
      <c r="C32" s="26">
        <f>'3'!C32</f>
        <v>2638</v>
      </c>
      <c r="D32" s="26"/>
      <c r="E32" s="12"/>
      <c r="F32" s="2">
        <f>E32+'3'!F32</f>
        <v>19</v>
      </c>
      <c r="G32" s="2"/>
      <c r="H32" s="2">
        <f>G32+'3'!H32</f>
        <v>606</v>
      </c>
      <c r="I32" s="2"/>
      <c r="J32" s="2">
        <f>I32+'3'!J32</f>
        <v>1522</v>
      </c>
      <c r="K32" s="2"/>
      <c r="L32" s="2">
        <f>K32+'3'!L32</f>
        <v>0</v>
      </c>
      <c r="M32" s="2"/>
      <c r="N32" s="2">
        <f>M32+'3'!N32</f>
        <v>0</v>
      </c>
      <c r="O32" s="2"/>
      <c r="P32" s="2">
        <f>O32+'3'!P32</f>
        <v>0</v>
      </c>
      <c r="Q32" s="4">
        <f t="shared" si="4"/>
        <v>0</v>
      </c>
      <c r="R32" s="4">
        <f>Q32+'3'!R32</f>
        <v>2147</v>
      </c>
      <c r="S32" s="27">
        <f t="shared" si="5"/>
        <v>0.81387414708112205</v>
      </c>
      <c r="T32" s="12"/>
      <c r="U32" s="12">
        <f>T32+'3'!U32</f>
        <v>149</v>
      </c>
      <c r="V32" s="12"/>
      <c r="W32" s="12">
        <f>V32+'3'!W32</f>
        <v>119</v>
      </c>
      <c r="X32" s="12"/>
      <c r="Y32" s="12">
        <f>X32+'3'!Y32</f>
        <v>0</v>
      </c>
      <c r="AB32" s="5">
        <v>22</v>
      </c>
      <c r="AC32" s="26" t="str">
        <f>'3'!AC32</f>
        <v>أشـــــــــــــــــليم</v>
      </c>
      <c r="AD32" s="28">
        <f>'3'!AI32</f>
        <v>31</v>
      </c>
      <c r="AE32" s="3"/>
      <c r="AF32" s="28">
        <f>AE32+'3'!AF32</f>
        <v>252</v>
      </c>
      <c r="AG32" s="4"/>
      <c r="AH32" s="28">
        <f>AG32+'3'!AH32</f>
        <v>221</v>
      </c>
      <c r="AI32" s="4">
        <f t="shared" si="6"/>
        <v>31</v>
      </c>
      <c r="AJ32" s="11" t="e">
        <f t="shared" si="0"/>
        <v>#DIV/0!</v>
      </c>
      <c r="AK32" s="53">
        <f t="shared" si="1"/>
        <v>9.7149321266968318</v>
      </c>
      <c r="AW32" s="26" t="str">
        <f>'3'!AW32</f>
        <v>أشـــــــــــــــــليم</v>
      </c>
      <c r="AX32" s="12">
        <f>'3'!AX32</f>
        <v>8</v>
      </c>
      <c r="AY32" s="12">
        <f>'3'!AY32</f>
        <v>1819</v>
      </c>
      <c r="AZ32" s="12"/>
      <c r="BA32" s="12"/>
      <c r="BB32" s="12">
        <f>BA32+'3'!BB32</f>
        <v>1506</v>
      </c>
      <c r="BC32" s="30">
        <f t="shared" si="2"/>
        <v>0.82792743265530511</v>
      </c>
      <c r="BD32" s="12">
        <f>'3'!BD32</f>
        <v>7</v>
      </c>
      <c r="BE32" s="12">
        <f>'3'!BE32</f>
        <v>176</v>
      </c>
      <c r="BF32" s="12"/>
      <c r="BG32" s="12"/>
      <c r="BH32" s="12">
        <f>BG32+'3'!BH32</f>
        <v>531</v>
      </c>
      <c r="BI32" s="30">
        <f t="shared" si="3"/>
        <v>3.0170454545454546</v>
      </c>
    </row>
    <row r="33" spans="1:61" ht="28.9" customHeight="1" x14ac:dyDescent="0.35">
      <c r="A33" s="5">
        <v>23</v>
      </c>
      <c r="B33" s="26" t="str">
        <f>'3'!B33</f>
        <v>شبرا قبالــــــــــه</v>
      </c>
      <c r="C33" s="26">
        <f>'3'!C33</f>
        <v>2050</v>
      </c>
      <c r="D33" s="26"/>
      <c r="E33" s="12"/>
      <c r="F33" s="2">
        <f>E33+'3'!F33</f>
        <v>23</v>
      </c>
      <c r="G33" s="2"/>
      <c r="H33" s="2">
        <f>G33+'3'!H33</f>
        <v>644</v>
      </c>
      <c r="I33" s="2"/>
      <c r="J33" s="2">
        <f>I33+'3'!J33</f>
        <v>773</v>
      </c>
      <c r="K33" s="2"/>
      <c r="L33" s="2">
        <f>K33+'3'!L33</f>
        <v>0</v>
      </c>
      <c r="M33" s="2"/>
      <c r="N33" s="2">
        <f>M33+'3'!N33</f>
        <v>0</v>
      </c>
      <c r="O33" s="2"/>
      <c r="P33" s="2">
        <f>O33+'3'!P33</f>
        <v>0</v>
      </c>
      <c r="Q33" s="4">
        <f t="shared" si="4"/>
        <v>0</v>
      </c>
      <c r="R33" s="4">
        <f>Q33+'3'!R33</f>
        <v>1440</v>
      </c>
      <c r="S33" s="27">
        <f t="shared" si="5"/>
        <v>0.70243902439024386</v>
      </c>
      <c r="T33" s="12"/>
      <c r="U33" s="12">
        <f>T33+'3'!U33</f>
        <v>96</v>
      </c>
      <c r="V33" s="12"/>
      <c r="W33" s="12">
        <f>V33+'3'!W33</f>
        <v>64</v>
      </c>
      <c r="X33" s="12"/>
      <c r="Y33" s="12">
        <f>X33+'3'!Y33</f>
        <v>0</v>
      </c>
      <c r="AB33" s="5">
        <v>23</v>
      </c>
      <c r="AC33" s="26" t="str">
        <f>'3'!AC33</f>
        <v>شبرا قبالــــــــــه</v>
      </c>
      <c r="AD33" s="28">
        <f>'3'!AI33</f>
        <v>36</v>
      </c>
      <c r="AE33" s="3"/>
      <c r="AF33" s="28">
        <f>AE33+'3'!AF33</f>
        <v>180</v>
      </c>
      <c r="AG33" s="4"/>
      <c r="AH33" s="28">
        <f>AG33+'3'!AH33</f>
        <v>144</v>
      </c>
      <c r="AI33" s="4">
        <f t="shared" si="6"/>
        <v>36</v>
      </c>
      <c r="AJ33" s="11" t="e">
        <f t="shared" si="0"/>
        <v>#DIV/0!</v>
      </c>
      <c r="AK33" s="53">
        <f t="shared" si="1"/>
        <v>10</v>
      </c>
      <c r="AW33" s="26" t="str">
        <f>'3'!AW33</f>
        <v>شبرا قبالــــــــــه</v>
      </c>
      <c r="AX33" s="12">
        <f>'3'!AX33</f>
        <v>1</v>
      </c>
      <c r="AY33" s="12">
        <f>'3'!AY33</f>
        <v>918</v>
      </c>
      <c r="AZ33" s="12"/>
      <c r="BA33" s="12"/>
      <c r="BB33" s="12">
        <f>BA33+'3'!BB33</f>
        <v>780</v>
      </c>
      <c r="BC33" s="30">
        <f t="shared" si="2"/>
        <v>0.84967320261437906</v>
      </c>
      <c r="BD33" s="12">
        <f>'3'!BD33</f>
        <v>5</v>
      </c>
      <c r="BE33" s="12">
        <f>'3'!BE33</f>
        <v>375</v>
      </c>
      <c r="BF33" s="12"/>
      <c r="BG33" s="12"/>
      <c r="BH33" s="12">
        <f>BG33+'3'!BH33</f>
        <v>430</v>
      </c>
      <c r="BI33" s="30">
        <f t="shared" si="3"/>
        <v>1.1466666666666667</v>
      </c>
    </row>
    <row r="34" spans="1:61" ht="28.9" customHeight="1" x14ac:dyDescent="0.35">
      <c r="A34" s="5">
        <v>24</v>
      </c>
      <c r="B34" s="26" t="str">
        <f>'3'!B34</f>
        <v>عرب الرمـــــــل</v>
      </c>
      <c r="C34" s="26">
        <f>'3'!C34</f>
        <v>5755</v>
      </c>
      <c r="D34" s="26"/>
      <c r="E34" s="12"/>
      <c r="F34" s="2">
        <f>E34+'3'!F34</f>
        <v>22</v>
      </c>
      <c r="G34" s="2"/>
      <c r="H34" s="2">
        <f>G34+'3'!H34</f>
        <v>1011</v>
      </c>
      <c r="I34" s="2"/>
      <c r="J34" s="2">
        <f>I34+'3'!J34</f>
        <v>1364</v>
      </c>
      <c r="K34" s="2"/>
      <c r="L34" s="2">
        <f>K34+'3'!L34</f>
        <v>0</v>
      </c>
      <c r="M34" s="2"/>
      <c r="N34" s="2">
        <f>M34+'3'!N34</f>
        <v>0</v>
      </c>
      <c r="O34" s="2"/>
      <c r="P34" s="2">
        <f>O34+'3'!P34</f>
        <v>0</v>
      </c>
      <c r="Q34" s="4">
        <f t="shared" si="4"/>
        <v>0</v>
      </c>
      <c r="R34" s="4">
        <f>Q34+'3'!R34</f>
        <v>2397</v>
      </c>
      <c r="S34" s="27">
        <f t="shared" si="5"/>
        <v>0.41650738488271066</v>
      </c>
      <c r="T34" s="12"/>
      <c r="U34" s="12">
        <f>T34+'3'!U34</f>
        <v>562</v>
      </c>
      <c r="V34" s="12"/>
      <c r="W34" s="12">
        <f>V34+'3'!W34</f>
        <v>41</v>
      </c>
      <c r="X34" s="12"/>
      <c r="Y34" s="12">
        <f>X34+'3'!Y34</f>
        <v>0</v>
      </c>
      <c r="AB34" s="5">
        <v>24</v>
      </c>
      <c r="AC34" s="26" t="str">
        <f>'3'!AC34</f>
        <v>عرب الرمـــــــل</v>
      </c>
      <c r="AD34" s="28">
        <f>'3'!AI34</f>
        <v>263</v>
      </c>
      <c r="AE34" s="3"/>
      <c r="AF34" s="28">
        <f>AE34+'3'!AF34</f>
        <v>505</v>
      </c>
      <c r="AG34" s="4"/>
      <c r="AH34" s="28">
        <f>AG34+'3'!AH34</f>
        <v>242</v>
      </c>
      <c r="AI34" s="4">
        <f t="shared" si="6"/>
        <v>263</v>
      </c>
      <c r="AJ34" s="11" t="e">
        <f t="shared" si="0"/>
        <v>#DIV/0!</v>
      </c>
      <c r="AK34" s="53">
        <f t="shared" si="1"/>
        <v>9.9049586776859506</v>
      </c>
      <c r="AW34" s="26" t="str">
        <f>'3'!AW34</f>
        <v>عرب الرمـــــــل</v>
      </c>
      <c r="AX34" s="12">
        <f>'3'!AX34</f>
        <v>6</v>
      </c>
      <c r="AY34" s="12">
        <f>'3'!AY34</f>
        <v>2210</v>
      </c>
      <c r="AZ34" s="12"/>
      <c r="BA34" s="12"/>
      <c r="BB34" s="12">
        <f>BA34+'3'!BB34</f>
        <v>1456</v>
      </c>
      <c r="BC34" s="30">
        <f t="shared" si="2"/>
        <v>0.6588235294117647</v>
      </c>
      <c r="BD34" s="12">
        <f>'3'!BD34</f>
        <v>9</v>
      </c>
      <c r="BE34" s="12">
        <f>'3'!BE34</f>
        <v>932</v>
      </c>
      <c r="BF34" s="12"/>
      <c r="BG34" s="12"/>
      <c r="BH34" s="12">
        <f>BG34+'3'!BH34</f>
        <v>941</v>
      </c>
      <c r="BI34" s="30">
        <f t="shared" si="3"/>
        <v>1.0096566523605151</v>
      </c>
    </row>
    <row r="35" spans="1:61" ht="28.9" customHeight="1" x14ac:dyDescent="0.35">
      <c r="A35" s="5">
        <v>25</v>
      </c>
      <c r="B35" s="26" t="str">
        <f>'3'!B35</f>
        <v>كفر ميت سراج</v>
      </c>
      <c r="C35" s="26">
        <f>'3'!C35</f>
        <v>1840</v>
      </c>
      <c r="D35" s="26"/>
      <c r="E35" s="12"/>
      <c r="F35" s="2">
        <f>E35+'3'!F35</f>
        <v>8</v>
      </c>
      <c r="G35" s="2"/>
      <c r="H35" s="2">
        <f>G35+'3'!H35</f>
        <v>386</v>
      </c>
      <c r="I35" s="2"/>
      <c r="J35" s="2">
        <f>I35+'3'!J35</f>
        <v>773</v>
      </c>
      <c r="K35" s="2"/>
      <c r="L35" s="2">
        <f>K35+'3'!L35</f>
        <v>0</v>
      </c>
      <c r="M35" s="2"/>
      <c r="N35" s="2">
        <f>M35+'3'!N35</f>
        <v>0</v>
      </c>
      <c r="O35" s="2"/>
      <c r="P35" s="2">
        <f>O35+'3'!P35</f>
        <v>0</v>
      </c>
      <c r="Q35" s="4">
        <f t="shared" si="4"/>
        <v>0</v>
      </c>
      <c r="R35" s="4">
        <f>Q35+'3'!R35</f>
        <v>1167</v>
      </c>
      <c r="S35" s="27">
        <f t="shared" si="5"/>
        <v>0.63423913043478264</v>
      </c>
      <c r="T35" s="12"/>
      <c r="U35" s="12">
        <f>T35+'3'!U35</f>
        <v>174</v>
      </c>
      <c r="V35" s="12"/>
      <c r="W35" s="12">
        <f>V35+'3'!W35</f>
        <v>11</v>
      </c>
      <c r="X35" s="12"/>
      <c r="Y35" s="12">
        <f>X35+'3'!Y35</f>
        <v>0</v>
      </c>
      <c r="AB35" s="5">
        <v>25</v>
      </c>
      <c r="AC35" s="26" t="str">
        <f>'3'!AC35</f>
        <v>كفر ميت سراج</v>
      </c>
      <c r="AD35" s="28">
        <f>'3'!AI35</f>
        <v>41</v>
      </c>
      <c r="AE35" s="3"/>
      <c r="AF35" s="28">
        <f>AE35+'3'!AF35</f>
        <v>162</v>
      </c>
      <c r="AG35" s="4"/>
      <c r="AH35" s="28">
        <f>AG35+'3'!AH35</f>
        <v>121</v>
      </c>
      <c r="AI35" s="4">
        <f t="shared" si="6"/>
        <v>41</v>
      </c>
      <c r="AJ35" s="11" t="e">
        <f t="shared" si="0"/>
        <v>#DIV/0!</v>
      </c>
      <c r="AK35" s="53">
        <f t="shared" si="1"/>
        <v>9.6446280991735538</v>
      </c>
      <c r="AW35" s="26" t="str">
        <f>'3'!AW35</f>
        <v>كفر ميت سراج</v>
      </c>
      <c r="AX35" s="12">
        <f>'3'!AX35</f>
        <v>3</v>
      </c>
      <c r="AY35" s="12">
        <f>'3'!AY35</f>
        <v>1011</v>
      </c>
      <c r="AZ35" s="12"/>
      <c r="BA35" s="12"/>
      <c r="BB35" s="12">
        <f>BA35+'3'!BB35</f>
        <v>773</v>
      </c>
      <c r="BC35" s="30">
        <f t="shared" si="2"/>
        <v>0.76458951533135511</v>
      </c>
      <c r="BD35" s="12">
        <f>'3'!BD35</f>
        <v>4</v>
      </c>
      <c r="BE35" s="12">
        <f>'3'!BE35</f>
        <v>413</v>
      </c>
      <c r="BF35" s="12"/>
      <c r="BG35" s="12"/>
      <c r="BH35" s="12">
        <f>BG35+'3'!BH35</f>
        <v>232</v>
      </c>
      <c r="BI35" s="30">
        <f t="shared" si="3"/>
        <v>0.56174334140435833</v>
      </c>
    </row>
    <row r="36" spans="1:61" ht="28.9" customHeight="1" x14ac:dyDescent="0.35">
      <c r="A36" s="5">
        <v>26</v>
      </c>
      <c r="B36" s="26" t="str">
        <f>'3'!B36</f>
        <v>كفر أبشيش</v>
      </c>
      <c r="C36" s="26">
        <f>'3'!C36</f>
        <v>1345</v>
      </c>
      <c r="D36" s="26"/>
      <c r="E36" s="12"/>
      <c r="F36" s="2">
        <f>E36+'3'!F36</f>
        <v>14</v>
      </c>
      <c r="G36" s="2"/>
      <c r="H36" s="2">
        <f>G36+'3'!H36</f>
        <v>207</v>
      </c>
      <c r="I36" s="2"/>
      <c r="J36" s="2">
        <f>I36+'3'!J36</f>
        <v>725</v>
      </c>
      <c r="K36" s="2"/>
      <c r="L36" s="2">
        <f>K36+'3'!L36</f>
        <v>0</v>
      </c>
      <c r="M36" s="2"/>
      <c r="N36" s="2">
        <f>M36+'3'!N36</f>
        <v>0</v>
      </c>
      <c r="O36" s="2"/>
      <c r="P36" s="2">
        <f>O36+'3'!P36</f>
        <v>0</v>
      </c>
      <c r="Q36" s="4">
        <f t="shared" si="4"/>
        <v>0</v>
      </c>
      <c r="R36" s="4">
        <f>Q36+'3'!R36</f>
        <v>946</v>
      </c>
      <c r="S36" s="27">
        <f t="shared" si="5"/>
        <v>0.70334572490706315</v>
      </c>
      <c r="T36" s="12"/>
      <c r="U36" s="12">
        <f>T36+'3'!U36</f>
        <v>113</v>
      </c>
      <c r="V36" s="12"/>
      <c r="W36" s="12">
        <f>V36+'3'!W36</f>
        <v>4</v>
      </c>
      <c r="X36" s="12"/>
      <c r="Y36" s="12">
        <f>X36+'3'!Y36</f>
        <v>0</v>
      </c>
      <c r="AB36" s="5">
        <v>26</v>
      </c>
      <c r="AC36" s="26" t="str">
        <f>'3'!AC36</f>
        <v>كفر أبشيش</v>
      </c>
      <c r="AD36" s="28">
        <f>'3'!AI36</f>
        <v>24</v>
      </c>
      <c r="AE36" s="3"/>
      <c r="AF36" s="28">
        <f>AE36+'3'!AF36</f>
        <v>119</v>
      </c>
      <c r="AG36" s="4"/>
      <c r="AH36" s="28">
        <f>AG36+'3'!AH36</f>
        <v>95</v>
      </c>
      <c r="AI36" s="4">
        <f t="shared" si="6"/>
        <v>24</v>
      </c>
      <c r="AJ36" s="11" t="e">
        <f t="shared" si="0"/>
        <v>#DIV/0!</v>
      </c>
      <c r="AK36" s="53">
        <f t="shared" si="1"/>
        <v>9.9578947368421051</v>
      </c>
      <c r="AW36" s="26" t="str">
        <f>'3'!AW36</f>
        <v>كفر أبشيش</v>
      </c>
      <c r="AX36" s="12">
        <f>'3'!AX36</f>
        <v>1</v>
      </c>
      <c r="AY36" s="12">
        <f>'3'!AY36</f>
        <v>860</v>
      </c>
      <c r="AZ36" s="12"/>
      <c r="BA36" s="12"/>
      <c r="BB36" s="12">
        <f>BA36+'3'!BB36</f>
        <v>730</v>
      </c>
      <c r="BC36" s="30">
        <f t="shared" si="2"/>
        <v>0.84883720930232553</v>
      </c>
      <c r="BD36" s="12">
        <f>'3'!BD36</f>
        <v>4</v>
      </c>
      <c r="BE36" s="12">
        <f>'3'!BE36</f>
        <v>194</v>
      </c>
      <c r="BF36" s="12"/>
      <c r="BG36" s="12"/>
      <c r="BH36" s="12">
        <f>BG36+'3'!BH36</f>
        <v>0</v>
      </c>
      <c r="BI36" s="30">
        <f t="shared" si="3"/>
        <v>0</v>
      </c>
    </row>
    <row r="37" spans="1:61" ht="28.9" customHeight="1" x14ac:dyDescent="0.35">
      <c r="A37" s="5">
        <v>27</v>
      </c>
      <c r="B37" s="26" t="str">
        <f>'3'!B37</f>
        <v>كفر ميت العبسى</v>
      </c>
      <c r="C37" s="26">
        <f>'3'!C37</f>
        <v>1180</v>
      </c>
      <c r="D37" s="26"/>
      <c r="E37" s="12"/>
      <c r="F37" s="2">
        <f>E37+'3'!F37</f>
        <v>12</v>
      </c>
      <c r="G37" s="2"/>
      <c r="H37" s="2">
        <f>G37+'3'!H37</f>
        <v>248</v>
      </c>
      <c r="I37" s="2"/>
      <c r="J37" s="2">
        <f>I37+'3'!J37</f>
        <v>443</v>
      </c>
      <c r="K37" s="2"/>
      <c r="L37" s="2">
        <f>K37+'3'!L37</f>
        <v>0</v>
      </c>
      <c r="M37" s="2"/>
      <c r="N37" s="2">
        <f>M37+'3'!N37</f>
        <v>0</v>
      </c>
      <c r="O37" s="2"/>
      <c r="P37" s="2">
        <f>O37+'3'!P37</f>
        <v>0</v>
      </c>
      <c r="Q37" s="4">
        <f t="shared" si="4"/>
        <v>0</v>
      </c>
      <c r="R37" s="4">
        <f>Q37+'3'!R37</f>
        <v>703</v>
      </c>
      <c r="S37" s="27">
        <f t="shared" si="5"/>
        <v>0.59576271186440677</v>
      </c>
      <c r="T37" s="12"/>
      <c r="U37" s="12">
        <f>T37+'3'!U37</f>
        <v>53</v>
      </c>
      <c r="V37" s="12"/>
      <c r="W37" s="12">
        <f>V37+'3'!W37</f>
        <v>11</v>
      </c>
      <c r="X37" s="12"/>
      <c r="Y37" s="12">
        <f>X37+'3'!Y37</f>
        <v>0</v>
      </c>
      <c r="AB37" s="5">
        <v>27</v>
      </c>
      <c r="AC37" s="26" t="str">
        <f>'3'!AC37</f>
        <v>كفر ميت العبسى</v>
      </c>
      <c r="AD37" s="28">
        <f>'3'!AI37</f>
        <v>33</v>
      </c>
      <c r="AE37" s="3"/>
      <c r="AF37" s="28">
        <f>AE37+'3'!AF37</f>
        <v>104</v>
      </c>
      <c r="AG37" s="4"/>
      <c r="AH37" s="28">
        <f>AG37+'3'!AH37</f>
        <v>71</v>
      </c>
      <c r="AI37" s="4">
        <f t="shared" si="6"/>
        <v>33</v>
      </c>
      <c r="AJ37" s="11" t="e">
        <f t="shared" si="0"/>
        <v>#DIV/0!</v>
      </c>
      <c r="AK37" s="53">
        <f t="shared" si="1"/>
        <v>9.9014084507042259</v>
      </c>
      <c r="AW37" s="26" t="str">
        <f>'3'!AW37</f>
        <v>كفر ميت العبسى</v>
      </c>
      <c r="AX37" s="12">
        <f>'3'!AX37</f>
        <v>2</v>
      </c>
      <c r="AY37" s="12">
        <f>'3'!AY37</f>
        <v>494</v>
      </c>
      <c r="AZ37" s="12"/>
      <c r="BA37" s="12"/>
      <c r="BB37" s="12">
        <f>BA37+'3'!BB37</f>
        <v>418</v>
      </c>
      <c r="BC37" s="30">
        <f t="shared" si="2"/>
        <v>0.84615384615384615</v>
      </c>
      <c r="BD37" s="12">
        <f>'3'!BD37</f>
        <v>4</v>
      </c>
      <c r="BE37" s="12">
        <f>'3'!BE37</f>
        <v>114</v>
      </c>
      <c r="BF37" s="12"/>
      <c r="BG37" s="12"/>
      <c r="BH37" s="12">
        <f>BG37+'3'!BH37</f>
        <v>73</v>
      </c>
      <c r="BI37" s="30">
        <f t="shared" si="3"/>
        <v>0.64035087719298245</v>
      </c>
    </row>
    <row r="38" spans="1:61" ht="28.9" customHeight="1" x14ac:dyDescent="0.35">
      <c r="A38" s="5">
        <v>28</v>
      </c>
      <c r="B38" s="26" t="str">
        <f>'3'!B38</f>
        <v>كفر وهــــــــــب</v>
      </c>
      <c r="C38" s="26">
        <f>'3'!C38</f>
        <v>1854.9999999999998</v>
      </c>
      <c r="D38" s="26"/>
      <c r="E38" s="12"/>
      <c r="F38" s="2">
        <f>E38+'3'!F38</f>
        <v>7</v>
      </c>
      <c r="G38" s="2"/>
      <c r="H38" s="2">
        <f>G38+'3'!H38</f>
        <v>265</v>
      </c>
      <c r="I38" s="2"/>
      <c r="J38" s="2">
        <f>I38+'3'!J38</f>
        <v>618</v>
      </c>
      <c r="K38" s="2"/>
      <c r="L38" s="2">
        <f>K38+'3'!L38</f>
        <v>0</v>
      </c>
      <c r="M38" s="2"/>
      <c r="N38" s="2">
        <f>M38+'3'!N38</f>
        <v>0</v>
      </c>
      <c r="O38" s="2"/>
      <c r="P38" s="2">
        <f>O38+'3'!P38</f>
        <v>0</v>
      </c>
      <c r="Q38" s="4">
        <f t="shared" si="4"/>
        <v>0</v>
      </c>
      <c r="R38" s="4">
        <f>Q38+'3'!R38</f>
        <v>890</v>
      </c>
      <c r="S38" s="27">
        <f t="shared" si="5"/>
        <v>0.47978436657681944</v>
      </c>
      <c r="T38" s="12"/>
      <c r="U38" s="12">
        <f>T38+'3'!U38</f>
        <v>123</v>
      </c>
      <c r="V38" s="12"/>
      <c r="W38" s="12">
        <f>V38+'3'!W38</f>
        <v>7</v>
      </c>
      <c r="X38" s="12"/>
      <c r="Y38" s="12">
        <f>X38+'3'!Y38</f>
        <v>0</v>
      </c>
      <c r="AB38" s="5">
        <v>28</v>
      </c>
      <c r="AC38" s="26" t="str">
        <f>'3'!AC38</f>
        <v>كفر وهــــــــــب</v>
      </c>
      <c r="AD38" s="28">
        <f>'3'!AI38</f>
        <v>72</v>
      </c>
      <c r="AE38" s="3"/>
      <c r="AF38" s="28">
        <f>AE38+'3'!AF38</f>
        <v>163</v>
      </c>
      <c r="AG38" s="4"/>
      <c r="AH38" s="28">
        <f>AG38+'3'!AH38</f>
        <v>91</v>
      </c>
      <c r="AI38" s="4">
        <f t="shared" si="6"/>
        <v>72</v>
      </c>
      <c r="AJ38" s="11" t="e">
        <f t="shared" si="0"/>
        <v>#DIV/0!</v>
      </c>
      <c r="AK38" s="53">
        <f t="shared" si="1"/>
        <v>9.780219780219781</v>
      </c>
      <c r="AW38" s="26" t="str">
        <f>'3'!AW38</f>
        <v>كفر وهــــــــــب</v>
      </c>
      <c r="AX38" s="12">
        <f>'3'!AX38</f>
        <v>2</v>
      </c>
      <c r="AY38" s="12">
        <f>'3'!AY38</f>
        <v>793</v>
      </c>
      <c r="AZ38" s="12"/>
      <c r="BA38" s="12"/>
      <c r="BB38" s="12">
        <f>BA38+'3'!BB38</f>
        <v>623</v>
      </c>
      <c r="BC38" s="30">
        <f t="shared" si="2"/>
        <v>0.78562421185372</v>
      </c>
      <c r="BD38" s="12">
        <f>'3'!BD38</f>
        <v>3</v>
      </c>
      <c r="BE38" s="12">
        <f>'3'!BE38</f>
        <v>180</v>
      </c>
      <c r="BF38" s="12"/>
      <c r="BG38" s="12"/>
      <c r="BH38" s="12">
        <f>BG38+'3'!BH38</f>
        <v>160</v>
      </c>
      <c r="BI38" s="30">
        <f t="shared" si="3"/>
        <v>0.88888888888888884</v>
      </c>
    </row>
    <row r="39" spans="1:61" ht="28.9" customHeight="1" x14ac:dyDescent="0.35">
      <c r="A39" s="5">
        <v>29</v>
      </c>
      <c r="B39" s="26" t="str">
        <f>'3'!B39</f>
        <v>دمــــــــــــــهوج</v>
      </c>
      <c r="C39" s="26">
        <f>'3'!C39</f>
        <v>2738</v>
      </c>
      <c r="D39" s="26"/>
      <c r="E39" s="12"/>
      <c r="F39" s="2">
        <f>E39+'3'!F39</f>
        <v>11</v>
      </c>
      <c r="G39" s="2"/>
      <c r="H39" s="2">
        <f>G39+'3'!H39</f>
        <v>437</v>
      </c>
      <c r="I39" s="2"/>
      <c r="J39" s="2">
        <f>I39+'3'!J39</f>
        <v>832</v>
      </c>
      <c r="K39" s="2"/>
      <c r="L39" s="2">
        <f>K39+'3'!L39</f>
        <v>0</v>
      </c>
      <c r="M39" s="2"/>
      <c r="N39" s="2">
        <f>M39+'3'!N39</f>
        <v>0</v>
      </c>
      <c r="O39" s="2"/>
      <c r="P39" s="2">
        <f>O39+'3'!P39</f>
        <v>0</v>
      </c>
      <c r="Q39" s="4">
        <f t="shared" si="4"/>
        <v>0</v>
      </c>
      <c r="R39" s="4">
        <f>Q39+'3'!R39</f>
        <v>1280</v>
      </c>
      <c r="S39" s="27">
        <f t="shared" si="5"/>
        <v>0.46749452154857563</v>
      </c>
      <c r="T39" s="12"/>
      <c r="U39" s="12">
        <f>T39+'3'!U39</f>
        <v>158</v>
      </c>
      <c r="V39" s="12"/>
      <c r="W39" s="12">
        <f>V39+'3'!W39</f>
        <v>7</v>
      </c>
      <c r="X39" s="12"/>
      <c r="Y39" s="12">
        <f>X39+'3'!Y39</f>
        <v>0</v>
      </c>
      <c r="AB39" s="5">
        <v>29</v>
      </c>
      <c r="AC39" s="26" t="str">
        <f>'3'!AC39</f>
        <v>دمــــــــــــــهوج</v>
      </c>
      <c r="AD39" s="28">
        <f>'3'!AI39</f>
        <v>109</v>
      </c>
      <c r="AE39" s="3"/>
      <c r="AF39" s="28">
        <f>AE39+'3'!AF39</f>
        <v>240</v>
      </c>
      <c r="AG39" s="4"/>
      <c r="AH39" s="28">
        <f>AG39+'3'!AH39</f>
        <v>131</v>
      </c>
      <c r="AI39" s="4">
        <f t="shared" si="6"/>
        <v>109</v>
      </c>
      <c r="AJ39" s="11" t="e">
        <f t="shared" si="0"/>
        <v>#DIV/0!</v>
      </c>
      <c r="AK39" s="53">
        <f t="shared" si="1"/>
        <v>9.770992366412214</v>
      </c>
      <c r="AW39" s="26" t="str">
        <f>'3'!AW39</f>
        <v>دمــــــــــــــهوج</v>
      </c>
      <c r="AX39" s="12">
        <f>'3'!AX39</f>
        <v>2</v>
      </c>
      <c r="AY39" s="12">
        <f>'3'!AY39</f>
        <v>1086</v>
      </c>
      <c r="AZ39" s="12"/>
      <c r="BA39" s="12"/>
      <c r="BB39" s="12">
        <f>BA39+'3'!BB39</f>
        <v>834</v>
      </c>
      <c r="BC39" s="30">
        <f t="shared" si="2"/>
        <v>0.76795580110497241</v>
      </c>
      <c r="BD39" s="12">
        <f>'3'!BD39</f>
        <v>10</v>
      </c>
      <c r="BE39" s="12">
        <f>'3'!BE39</f>
        <v>455</v>
      </c>
      <c r="BF39" s="12"/>
      <c r="BG39" s="12"/>
      <c r="BH39" s="12">
        <f>BG39+'3'!BH39</f>
        <v>439</v>
      </c>
      <c r="BI39" s="30">
        <f t="shared" si="3"/>
        <v>0.96483516483516485</v>
      </c>
    </row>
    <row r="40" spans="1:61" ht="28.9" customHeight="1" x14ac:dyDescent="0.35">
      <c r="A40" s="5">
        <v>30</v>
      </c>
      <c r="B40" s="26" t="str">
        <f>'3'!B40</f>
        <v>كفر زين الدين</v>
      </c>
      <c r="C40" s="26">
        <f>'3'!C40</f>
        <v>819</v>
      </c>
      <c r="D40" s="26"/>
      <c r="E40" s="12"/>
      <c r="F40" s="2">
        <f>E40+'3'!F40</f>
        <v>9</v>
      </c>
      <c r="G40" s="2"/>
      <c r="H40" s="2">
        <f>G40+'3'!H40</f>
        <v>266</v>
      </c>
      <c r="I40" s="2"/>
      <c r="J40" s="2">
        <f>I40+'3'!J40</f>
        <v>430</v>
      </c>
      <c r="K40" s="2"/>
      <c r="L40" s="2">
        <f>K40+'3'!L40</f>
        <v>0</v>
      </c>
      <c r="M40" s="2"/>
      <c r="N40" s="2">
        <f>M40+'3'!N40</f>
        <v>0</v>
      </c>
      <c r="O40" s="2"/>
      <c r="P40" s="2">
        <f>O40+'3'!P40</f>
        <v>0</v>
      </c>
      <c r="Q40" s="4">
        <f t="shared" si="4"/>
        <v>0</v>
      </c>
      <c r="R40" s="4">
        <f>Q40+'3'!R40</f>
        <v>705</v>
      </c>
      <c r="S40" s="27">
        <f t="shared" si="5"/>
        <v>0.86080586080586086</v>
      </c>
      <c r="T40" s="12"/>
      <c r="U40" s="12">
        <f>T40+'3'!U40</f>
        <v>76</v>
      </c>
      <c r="V40" s="12"/>
      <c r="W40" s="12">
        <f>V40+'3'!W40</f>
        <v>26</v>
      </c>
      <c r="X40" s="12"/>
      <c r="Y40" s="12">
        <f>X40+'3'!Y40</f>
        <v>0</v>
      </c>
      <c r="AB40" s="5">
        <v>30</v>
      </c>
      <c r="AC40" s="26" t="str">
        <f>'3'!AC40</f>
        <v>كفر زين الدين</v>
      </c>
      <c r="AD40" s="28">
        <f>'3'!AI40</f>
        <v>9</v>
      </c>
      <c r="AE40" s="3"/>
      <c r="AF40" s="28">
        <f>AE40+'3'!AF40</f>
        <v>80</v>
      </c>
      <c r="AG40" s="4"/>
      <c r="AH40" s="28">
        <f>AG40+'3'!AH40</f>
        <v>71</v>
      </c>
      <c r="AI40" s="4">
        <f t="shared" si="6"/>
        <v>9</v>
      </c>
      <c r="AJ40" s="11" t="e">
        <f t="shared" si="0"/>
        <v>#DIV/0!</v>
      </c>
      <c r="AK40" s="53">
        <f t="shared" si="1"/>
        <v>9.929577464788732</v>
      </c>
      <c r="AW40" s="26" t="str">
        <f>'3'!AW40</f>
        <v>كفر زين الدين</v>
      </c>
      <c r="AX40" s="12">
        <f>'3'!AX40</f>
        <v>1</v>
      </c>
      <c r="AY40" s="12">
        <f>'3'!AY40</f>
        <v>563</v>
      </c>
      <c r="AZ40" s="12"/>
      <c r="BA40" s="12"/>
      <c r="BB40" s="12">
        <f>BA40+'3'!BB40</f>
        <v>364</v>
      </c>
      <c r="BC40" s="30">
        <f t="shared" si="2"/>
        <v>0.64653641207815271</v>
      </c>
      <c r="BD40" s="12">
        <f>'3'!BD40</f>
        <v>2</v>
      </c>
      <c r="BE40" s="12">
        <f>'3'!BE40</f>
        <v>87</v>
      </c>
      <c r="BF40" s="12"/>
      <c r="BG40" s="12"/>
      <c r="BH40" s="12">
        <f>BG40+'3'!BH40</f>
        <v>166</v>
      </c>
      <c r="BI40" s="30">
        <f t="shared" si="3"/>
        <v>1.9080459770114941</v>
      </c>
    </row>
    <row r="41" spans="1:61" ht="28.9" customHeight="1" x14ac:dyDescent="0.35">
      <c r="A41" s="5">
        <v>31</v>
      </c>
      <c r="B41" s="26" t="str">
        <f>'3'!B41</f>
        <v>عزبــة أبوالنصر</v>
      </c>
      <c r="C41" s="26">
        <f>'3'!C41</f>
        <v>410</v>
      </c>
      <c r="D41" s="26"/>
      <c r="E41" s="12"/>
      <c r="F41" s="2">
        <f>E41+'3'!F41</f>
        <v>10</v>
      </c>
      <c r="G41" s="2"/>
      <c r="H41" s="2">
        <f>G41+'3'!H41</f>
        <v>229</v>
      </c>
      <c r="I41" s="2"/>
      <c r="J41" s="2">
        <f>I41+'3'!J41</f>
        <v>120</v>
      </c>
      <c r="K41" s="2"/>
      <c r="L41" s="2">
        <f>K41+'3'!L41</f>
        <v>0</v>
      </c>
      <c r="M41" s="2"/>
      <c r="N41" s="2">
        <f>M41+'3'!N41</f>
        <v>0</v>
      </c>
      <c r="O41" s="2"/>
      <c r="P41" s="2">
        <f>O41+'3'!P41</f>
        <v>0</v>
      </c>
      <c r="Q41" s="4">
        <f t="shared" si="4"/>
        <v>0</v>
      </c>
      <c r="R41" s="4">
        <f>Q41+'3'!R41</f>
        <v>359</v>
      </c>
      <c r="S41" s="27">
        <f t="shared" si="5"/>
        <v>0.87560975609756098</v>
      </c>
      <c r="T41" s="12"/>
      <c r="U41" s="12">
        <f>T41+'3'!U41</f>
        <v>0</v>
      </c>
      <c r="V41" s="12"/>
      <c r="W41" s="12">
        <f>V41+'3'!W41</f>
        <v>0</v>
      </c>
      <c r="X41" s="12"/>
      <c r="Y41" s="12">
        <f>X41+'3'!Y41</f>
        <v>0</v>
      </c>
      <c r="AB41" s="5">
        <v>31</v>
      </c>
      <c r="AC41" s="26" t="str">
        <f>'3'!AC41</f>
        <v>عزبــة أبوالنصر</v>
      </c>
      <c r="AD41" s="28">
        <f>'3'!AI41</f>
        <v>4</v>
      </c>
      <c r="AE41" s="3"/>
      <c r="AF41" s="28">
        <f>AE41+'3'!AF41</f>
        <v>41</v>
      </c>
      <c r="AG41" s="4"/>
      <c r="AH41" s="28">
        <f>AG41+'3'!AH41</f>
        <v>37</v>
      </c>
      <c r="AI41" s="4">
        <f t="shared" si="6"/>
        <v>4</v>
      </c>
      <c r="AJ41" s="11" t="e">
        <f t="shared" si="0"/>
        <v>#DIV/0!</v>
      </c>
      <c r="AK41" s="53">
        <f t="shared" si="1"/>
        <v>9.7027027027027035</v>
      </c>
      <c r="AW41" s="26" t="str">
        <f>'3'!AW41</f>
        <v>عزبــة أبوالنصر</v>
      </c>
      <c r="AX41" s="12">
        <f>'3'!AX41</f>
        <v>2</v>
      </c>
      <c r="AY41" s="12">
        <f>'3'!AY41</f>
        <v>70</v>
      </c>
      <c r="AZ41" s="12"/>
      <c r="BA41" s="12"/>
      <c r="BB41" s="12">
        <f>BA41+'3'!BB41</f>
        <v>65</v>
      </c>
      <c r="BC41" s="30">
        <f t="shared" si="2"/>
        <v>0.9285714285714286</v>
      </c>
      <c r="BD41" s="12">
        <f>'3'!BD41</f>
        <v>3</v>
      </c>
      <c r="BE41" s="12">
        <f>'3'!BE41</f>
        <v>75</v>
      </c>
      <c r="BF41" s="12"/>
      <c r="BG41" s="12"/>
      <c r="BH41" s="12">
        <f>BG41+'3'!BH41</f>
        <v>36</v>
      </c>
      <c r="BI41" s="30">
        <f t="shared" si="3"/>
        <v>0.48</v>
      </c>
    </row>
    <row r="42" spans="1:61" ht="28.9" customHeight="1" x14ac:dyDescent="0.35">
      <c r="A42" s="5">
        <v>32</v>
      </c>
      <c r="B42" s="26" t="str">
        <f>'3'!B42</f>
        <v>شمنديــــــــــــــل</v>
      </c>
      <c r="C42" s="26">
        <f>'3'!C42</f>
        <v>880</v>
      </c>
      <c r="D42" s="26"/>
      <c r="E42" s="12"/>
      <c r="F42" s="2">
        <f>E42+'3'!F42</f>
        <v>7</v>
      </c>
      <c r="G42" s="2"/>
      <c r="H42" s="2">
        <f>G42+'3'!H42</f>
        <v>219</v>
      </c>
      <c r="I42" s="2"/>
      <c r="J42" s="2">
        <f>I42+'3'!J42</f>
        <v>421</v>
      </c>
      <c r="K42" s="2"/>
      <c r="L42" s="2">
        <f>K42+'3'!L42</f>
        <v>0</v>
      </c>
      <c r="M42" s="2"/>
      <c r="N42" s="2">
        <f>M42+'3'!N42</f>
        <v>0</v>
      </c>
      <c r="O42" s="2"/>
      <c r="P42" s="2">
        <f>O42+'3'!P42</f>
        <v>0</v>
      </c>
      <c r="Q42" s="4">
        <f t="shared" si="4"/>
        <v>0</v>
      </c>
      <c r="R42" s="4">
        <f>Q42+'3'!R42</f>
        <v>647</v>
      </c>
      <c r="S42" s="27">
        <f t="shared" si="5"/>
        <v>0.73522727272727273</v>
      </c>
      <c r="T42" s="12"/>
      <c r="U42" s="12">
        <f>T42+'3'!U42</f>
        <v>69</v>
      </c>
      <c r="V42" s="12"/>
      <c r="W42" s="12">
        <f>V42+'3'!W42</f>
        <v>11</v>
      </c>
      <c r="X42" s="12"/>
      <c r="Y42" s="12">
        <f>X42+'3'!Y42</f>
        <v>0</v>
      </c>
      <c r="AB42" s="5">
        <v>32</v>
      </c>
      <c r="AC42" s="26" t="str">
        <f>'3'!AC42</f>
        <v>شمنديــــــــــــــل</v>
      </c>
      <c r="AD42" s="28">
        <f>'3'!AI42</f>
        <v>9</v>
      </c>
      <c r="AE42" s="3"/>
      <c r="AF42" s="28">
        <f>AE42+'3'!AF42</f>
        <v>78</v>
      </c>
      <c r="AG42" s="4"/>
      <c r="AH42" s="28">
        <f>AG42+'3'!AH42</f>
        <v>69</v>
      </c>
      <c r="AI42" s="4">
        <f t="shared" si="6"/>
        <v>9</v>
      </c>
      <c r="AJ42" s="11" t="e">
        <f t="shared" si="0"/>
        <v>#DIV/0!</v>
      </c>
      <c r="AK42" s="53">
        <f t="shared" si="1"/>
        <v>9.3768115942028984</v>
      </c>
      <c r="AW42" s="26" t="str">
        <f>'3'!AW42</f>
        <v>شمنديــــــــــــــل</v>
      </c>
      <c r="AX42" s="12">
        <f>'3'!AX42</f>
        <v>2</v>
      </c>
      <c r="AY42" s="12">
        <f>'3'!AY42</f>
        <v>569</v>
      </c>
      <c r="AZ42" s="12"/>
      <c r="BA42" s="12"/>
      <c r="BB42" s="12">
        <f>BA42+'3'!BB42</f>
        <v>453</v>
      </c>
      <c r="BC42" s="30">
        <f t="shared" si="2"/>
        <v>0.79613356766256593</v>
      </c>
      <c r="BD42" s="12">
        <f>'3'!BD42</f>
        <v>1</v>
      </c>
      <c r="BE42" s="12">
        <f>'3'!BE42</f>
        <v>39</v>
      </c>
      <c r="BF42" s="12"/>
      <c r="BG42" s="12"/>
      <c r="BH42" s="12">
        <f>BG42+'3'!BH42</f>
        <v>82</v>
      </c>
      <c r="BI42" s="30">
        <f t="shared" si="3"/>
        <v>2.1025641025641026</v>
      </c>
    </row>
    <row r="43" spans="1:61" ht="28.9" customHeight="1" x14ac:dyDescent="0.35">
      <c r="A43" s="5">
        <v>33</v>
      </c>
      <c r="B43" s="26" t="str">
        <f>'3'!B43</f>
        <v>كفور الرمل</v>
      </c>
      <c r="C43" s="26">
        <f>'3'!C43</f>
        <v>1721</v>
      </c>
      <c r="D43" s="26"/>
      <c r="E43" s="12"/>
      <c r="F43" s="2">
        <f>E43+'3'!F43</f>
        <v>17</v>
      </c>
      <c r="G43" s="2"/>
      <c r="H43" s="2">
        <f>G43+'3'!H43</f>
        <v>505</v>
      </c>
      <c r="I43" s="2"/>
      <c r="J43" s="2">
        <f>I43+'3'!J43</f>
        <v>718</v>
      </c>
      <c r="K43" s="2"/>
      <c r="L43" s="2">
        <f>K43+'3'!L43</f>
        <v>0</v>
      </c>
      <c r="M43" s="2"/>
      <c r="N43" s="2">
        <f>M43+'3'!N43</f>
        <v>0</v>
      </c>
      <c r="O43" s="2"/>
      <c r="P43" s="2">
        <f>O43+'3'!P43</f>
        <v>0</v>
      </c>
      <c r="Q43" s="4">
        <f t="shared" si="4"/>
        <v>0</v>
      </c>
      <c r="R43" s="4">
        <f>Q43+'3'!R43</f>
        <v>1240</v>
      </c>
      <c r="S43" s="27">
        <f t="shared" si="5"/>
        <v>0.72051133062173156</v>
      </c>
      <c r="T43" s="12"/>
      <c r="U43" s="12">
        <f>T43+'3'!U43</f>
        <v>192</v>
      </c>
      <c r="V43" s="12"/>
      <c r="W43" s="12">
        <f>V43+'3'!W43</f>
        <v>100</v>
      </c>
      <c r="X43" s="12"/>
      <c r="Y43" s="12">
        <f>X43+'3'!Y43</f>
        <v>0</v>
      </c>
      <c r="AB43" s="5">
        <v>33</v>
      </c>
      <c r="AC43" s="26" t="str">
        <f>'3'!AC43</f>
        <v>كفور الرمل</v>
      </c>
      <c r="AD43" s="28">
        <f>'3'!AI43</f>
        <v>15</v>
      </c>
      <c r="AE43" s="3"/>
      <c r="AF43" s="28">
        <f>AE43+'3'!AF43</f>
        <v>150</v>
      </c>
      <c r="AG43" s="4"/>
      <c r="AH43" s="28">
        <f>AG43+'3'!AH43</f>
        <v>135</v>
      </c>
      <c r="AI43" s="4">
        <f t="shared" si="6"/>
        <v>15</v>
      </c>
      <c r="AJ43" s="11" t="e">
        <f t="shared" si="0"/>
        <v>#DIV/0!</v>
      </c>
      <c r="AK43" s="53">
        <f t="shared" si="1"/>
        <v>9.1851851851851851</v>
      </c>
      <c r="AW43" s="26" t="str">
        <f>'3'!AW43</f>
        <v>كفور الرمل</v>
      </c>
      <c r="AX43" s="12">
        <f>'3'!AX43</f>
        <v>4</v>
      </c>
      <c r="AY43" s="12">
        <f>'3'!AY43</f>
        <v>1335</v>
      </c>
      <c r="AZ43" s="12"/>
      <c r="BA43" s="12"/>
      <c r="BB43" s="12">
        <f>BA43+'3'!BB43</f>
        <v>918</v>
      </c>
      <c r="BC43" s="30">
        <f t="shared" si="2"/>
        <v>0.68764044943820224</v>
      </c>
      <c r="BD43" s="12">
        <f>'3'!BD43</f>
        <v>7</v>
      </c>
      <c r="BE43" s="12">
        <f>'3'!BE43</f>
        <v>753</v>
      </c>
      <c r="BF43" s="12"/>
      <c r="BG43" s="12"/>
      <c r="BH43" s="12">
        <f>BG43+'3'!BH43</f>
        <v>414</v>
      </c>
      <c r="BI43" s="30">
        <f t="shared" si="3"/>
        <v>0.54980079681274896</v>
      </c>
    </row>
    <row r="44" spans="1:61" ht="28.9" customHeight="1" x14ac:dyDescent="0.35">
      <c r="A44" s="5">
        <v>34</v>
      </c>
      <c r="B44" s="26" t="str">
        <f>'3'!B44</f>
        <v>منشأة أم خنان</v>
      </c>
      <c r="C44" s="26">
        <f>'3'!C44</f>
        <v>510</v>
      </c>
      <c r="D44" s="26"/>
      <c r="E44" s="12"/>
      <c r="F44" s="2">
        <f>E44+'3'!F44</f>
        <v>12</v>
      </c>
      <c r="G44" s="2"/>
      <c r="H44" s="2">
        <f>G44+'3'!H44</f>
        <v>194</v>
      </c>
      <c r="I44" s="2"/>
      <c r="J44" s="2">
        <f>I44+'3'!J44</f>
        <v>291</v>
      </c>
      <c r="K44" s="2"/>
      <c r="L44" s="2">
        <f>K44+'3'!L44</f>
        <v>0</v>
      </c>
      <c r="M44" s="2"/>
      <c r="N44" s="2">
        <f>M44+'3'!N44</f>
        <v>0</v>
      </c>
      <c r="O44" s="2"/>
      <c r="P44" s="2">
        <f>O44+'3'!P44</f>
        <v>0</v>
      </c>
      <c r="Q44" s="4">
        <f t="shared" si="4"/>
        <v>0</v>
      </c>
      <c r="R44" s="4">
        <f>Q44+'3'!R44</f>
        <v>497</v>
      </c>
      <c r="S44" s="27">
        <f t="shared" si="5"/>
        <v>0.97450980392156861</v>
      </c>
      <c r="T44" s="12"/>
      <c r="U44" s="12">
        <f>T44+'3'!U44</f>
        <v>11</v>
      </c>
      <c r="V44" s="12"/>
      <c r="W44" s="12">
        <f>V44+'3'!W44</f>
        <v>7</v>
      </c>
      <c r="X44" s="12"/>
      <c r="Y44" s="12">
        <f>X44+'3'!Y44</f>
        <v>0</v>
      </c>
      <c r="AB44" s="5">
        <v>34</v>
      </c>
      <c r="AC44" s="26" t="str">
        <f>'3'!AC44</f>
        <v>منشأة أم خنان</v>
      </c>
      <c r="AD44" s="28">
        <f>'3'!AI44</f>
        <v>4</v>
      </c>
      <c r="AE44" s="3"/>
      <c r="AF44" s="28">
        <f>AE44+'3'!AF44</f>
        <v>55</v>
      </c>
      <c r="AG44" s="4"/>
      <c r="AH44" s="28">
        <f>AG44+'3'!AH44</f>
        <v>51</v>
      </c>
      <c r="AI44" s="4">
        <f t="shared" si="6"/>
        <v>4</v>
      </c>
      <c r="AJ44" s="11" t="e">
        <f t="shared" si="0"/>
        <v>#DIV/0!</v>
      </c>
      <c r="AK44" s="53">
        <f t="shared" si="1"/>
        <v>9.7450980392156854</v>
      </c>
      <c r="AW44" s="26" t="str">
        <f>'3'!AW44</f>
        <v>منشأة أم خنان</v>
      </c>
      <c r="AX44" s="12">
        <f>'3'!AX44</f>
        <v>1</v>
      </c>
      <c r="AY44" s="12">
        <f>'3'!AY44</f>
        <v>277</v>
      </c>
      <c r="AZ44" s="12"/>
      <c r="BA44" s="12"/>
      <c r="BB44" s="12">
        <f>BA44+'3'!BB44</f>
        <v>269</v>
      </c>
      <c r="BC44" s="30">
        <f t="shared" si="2"/>
        <v>0.97111913357400725</v>
      </c>
      <c r="BD44" s="12">
        <f>'3'!BD44</f>
        <v>3</v>
      </c>
      <c r="BE44" s="12">
        <f>'3'!BE44</f>
        <v>170</v>
      </c>
      <c r="BF44" s="12"/>
      <c r="BG44" s="12"/>
      <c r="BH44" s="12">
        <f>BG44+'3'!BH44</f>
        <v>115</v>
      </c>
      <c r="BI44" s="30">
        <f t="shared" si="3"/>
        <v>0.67647058823529416</v>
      </c>
    </row>
    <row r="45" spans="1:61" ht="28.9" customHeight="1" x14ac:dyDescent="0.35">
      <c r="A45" s="5">
        <v>35</v>
      </c>
      <c r="B45" s="26">
        <f>'3'!B45</f>
        <v>0</v>
      </c>
      <c r="C45" s="26">
        <f>'3'!C45</f>
        <v>0</v>
      </c>
      <c r="D45" s="26"/>
      <c r="E45" s="12"/>
      <c r="F45" s="2">
        <f>E45+'3'!F45</f>
        <v>0</v>
      </c>
      <c r="G45" s="2"/>
      <c r="H45" s="2">
        <f>G45+'3'!H45</f>
        <v>0</v>
      </c>
      <c r="I45" s="2"/>
      <c r="J45" s="2">
        <f>I45+'3'!J45</f>
        <v>0</v>
      </c>
      <c r="K45" s="2"/>
      <c r="L45" s="2">
        <f>K45+'3'!L45</f>
        <v>0</v>
      </c>
      <c r="M45" s="2"/>
      <c r="N45" s="2">
        <f>M45+'3'!N45</f>
        <v>0</v>
      </c>
      <c r="O45" s="2"/>
      <c r="P45" s="2">
        <f>O45+'3'!P45</f>
        <v>0</v>
      </c>
      <c r="Q45" s="4">
        <f t="shared" si="4"/>
        <v>0</v>
      </c>
      <c r="R45" s="4">
        <f>Q45+'3'!R45</f>
        <v>0</v>
      </c>
      <c r="S45" s="27" t="e">
        <f t="shared" si="5"/>
        <v>#DIV/0!</v>
      </c>
      <c r="T45" s="12"/>
      <c r="U45" s="12">
        <f>T45+'3'!U45</f>
        <v>0</v>
      </c>
      <c r="V45" s="12"/>
      <c r="W45" s="12">
        <f>V45+'3'!W45</f>
        <v>0</v>
      </c>
      <c r="X45" s="12"/>
      <c r="Y45" s="12">
        <f>X45+'3'!Y45</f>
        <v>0</v>
      </c>
      <c r="AB45" s="5">
        <v>35</v>
      </c>
      <c r="AC45" s="26">
        <f>'3'!AC45</f>
        <v>0</v>
      </c>
      <c r="AD45" s="28">
        <f>'3'!AI45</f>
        <v>0</v>
      </c>
      <c r="AE45" s="3"/>
      <c r="AF45" s="28">
        <f>AE45+'3'!AF45</f>
        <v>0</v>
      </c>
      <c r="AG45" s="4"/>
      <c r="AH45" s="28">
        <f>AG45+'3'!AH45</f>
        <v>0</v>
      </c>
      <c r="AI45" s="4">
        <f t="shared" si="6"/>
        <v>0</v>
      </c>
      <c r="AJ45" s="11" t="e">
        <f t="shared" si="0"/>
        <v>#DIV/0!</v>
      </c>
      <c r="AK45" s="53" t="e">
        <f t="shared" si="1"/>
        <v>#DIV/0!</v>
      </c>
      <c r="AW45" s="26">
        <f>'3'!AW45</f>
        <v>0</v>
      </c>
      <c r="AX45" s="12">
        <f>'3'!AX45</f>
        <v>0</v>
      </c>
      <c r="AY45" s="12">
        <f>'3'!AY45</f>
        <v>0</v>
      </c>
      <c r="AZ45" s="12"/>
      <c r="BA45" s="12"/>
      <c r="BB45" s="12">
        <f>BA45+'3'!BB45</f>
        <v>0</v>
      </c>
      <c r="BC45" s="30" t="e">
        <f t="shared" si="2"/>
        <v>#DIV/0!</v>
      </c>
      <c r="BD45" s="12">
        <f>'3'!BD45</f>
        <v>0</v>
      </c>
      <c r="BE45" s="12">
        <f>'3'!BE45</f>
        <v>0</v>
      </c>
      <c r="BF45" s="12"/>
      <c r="BG45" s="12"/>
      <c r="BH45" s="12">
        <f>BG45+'3'!BH45</f>
        <v>0</v>
      </c>
      <c r="BI45" s="30" t="e">
        <f t="shared" si="3"/>
        <v>#DIV/0!</v>
      </c>
    </row>
    <row r="46" spans="1:61" ht="28.9" customHeight="1" x14ac:dyDescent="0.35">
      <c r="A46" s="5">
        <v>36</v>
      </c>
      <c r="B46" s="26">
        <f>'3'!B46</f>
        <v>0</v>
      </c>
      <c r="C46" s="26">
        <f>'3'!C46</f>
        <v>0</v>
      </c>
      <c r="D46" s="26"/>
      <c r="E46" s="12"/>
      <c r="F46" s="2">
        <f>E46+'3'!F46</f>
        <v>0</v>
      </c>
      <c r="G46" s="2"/>
      <c r="H46" s="2">
        <f>G46+'3'!H46</f>
        <v>0</v>
      </c>
      <c r="I46" s="2"/>
      <c r="J46" s="2">
        <f>I46+'3'!J46</f>
        <v>0</v>
      </c>
      <c r="K46" s="2"/>
      <c r="L46" s="2">
        <f>K46+'3'!L46</f>
        <v>0</v>
      </c>
      <c r="M46" s="2"/>
      <c r="N46" s="2">
        <f>M46+'3'!N46</f>
        <v>0</v>
      </c>
      <c r="O46" s="2"/>
      <c r="P46" s="2">
        <f>O46+'3'!P46</f>
        <v>0</v>
      </c>
      <c r="Q46" s="4">
        <f t="shared" si="4"/>
        <v>0</v>
      </c>
      <c r="R46" s="4">
        <f>Q46+'3'!R46</f>
        <v>0</v>
      </c>
      <c r="S46" s="27" t="e">
        <f t="shared" si="5"/>
        <v>#DIV/0!</v>
      </c>
      <c r="T46" s="12"/>
      <c r="U46" s="12">
        <f>T46+'3'!U46</f>
        <v>0</v>
      </c>
      <c r="V46" s="12"/>
      <c r="W46" s="12">
        <f>V46+'3'!W46</f>
        <v>0</v>
      </c>
      <c r="X46" s="12"/>
      <c r="Y46" s="12">
        <f>X46+'3'!Y46</f>
        <v>0</v>
      </c>
      <c r="AB46" s="5">
        <v>36</v>
      </c>
      <c r="AC46" s="26">
        <f>'3'!AC46</f>
        <v>0</v>
      </c>
      <c r="AD46" s="28">
        <f>'3'!AI46</f>
        <v>0</v>
      </c>
      <c r="AE46" s="3"/>
      <c r="AF46" s="28">
        <f>AE46+'3'!AF46</f>
        <v>0</v>
      </c>
      <c r="AG46" s="4"/>
      <c r="AH46" s="28">
        <f>AG46+'3'!AH46</f>
        <v>0</v>
      </c>
      <c r="AI46" s="4">
        <f t="shared" si="6"/>
        <v>0</v>
      </c>
      <c r="AJ46" s="11" t="e">
        <f t="shared" si="0"/>
        <v>#DIV/0!</v>
      </c>
      <c r="AK46" s="53" t="e">
        <f t="shared" si="1"/>
        <v>#DIV/0!</v>
      </c>
      <c r="AW46" s="26">
        <f>'3'!AW46</f>
        <v>0</v>
      </c>
      <c r="AX46" s="12">
        <f>'3'!AX46</f>
        <v>0</v>
      </c>
      <c r="AY46" s="12">
        <f>'3'!AY46</f>
        <v>0</v>
      </c>
      <c r="AZ46" s="12"/>
      <c r="BA46" s="12"/>
      <c r="BB46" s="12">
        <f>BA46+'3'!BB46</f>
        <v>0</v>
      </c>
      <c r="BC46" s="30" t="e">
        <f t="shared" si="2"/>
        <v>#DIV/0!</v>
      </c>
      <c r="BD46" s="12">
        <f>'3'!BD46</f>
        <v>0</v>
      </c>
      <c r="BE46" s="12">
        <f>'3'!BE46</f>
        <v>0</v>
      </c>
      <c r="BF46" s="12"/>
      <c r="BG46" s="12"/>
      <c r="BH46" s="12">
        <f>BG46+'3'!BH46</f>
        <v>0</v>
      </c>
      <c r="BI46" s="30" t="e">
        <f t="shared" si="3"/>
        <v>#DIV/0!</v>
      </c>
    </row>
    <row r="47" spans="1:61" ht="28.9" customHeight="1" x14ac:dyDescent="0.35">
      <c r="A47" s="5">
        <v>37</v>
      </c>
      <c r="B47" s="26">
        <f>'3'!B47</f>
        <v>0</v>
      </c>
      <c r="C47" s="26">
        <f>'3'!C47</f>
        <v>0</v>
      </c>
      <c r="D47" s="26"/>
      <c r="E47" s="12"/>
      <c r="F47" s="2">
        <f>E47+'3'!F47</f>
        <v>0</v>
      </c>
      <c r="G47" s="2"/>
      <c r="H47" s="2">
        <f>G47+'3'!H47</f>
        <v>0</v>
      </c>
      <c r="I47" s="2"/>
      <c r="J47" s="2">
        <f>I47+'3'!J47</f>
        <v>0</v>
      </c>
      <c r="K47" s="2"/>
      <c r="L47" s="2">
        <f>K47+'3'!L47</f>
        <v>0</v>
      </c>
      <c r="M47" s="2"/>
      <c r="N47" s="2">
        <f>M47+'3'!N47</f>
        <v>0</v>
      </c>
      <c r="O47" s="2"/>
      <c r="P47" s="2">
        <f>O47+'3'!P47</f>
        <v>0</v>
      </c>
      <c r="Q47" s="4">
        <f t="shared" si="4"/>
        <v>0</v>
      </c>
      <c r="R47" s="4">
        <f>Q47+'3'!R47</f>
        <v>0</v>
      </c>
      <c r="S47" s="27" t="e">
        <f t="shared" si="5"/>
        <v>#DIV/0!</v>
      </c>
      <c r="T47" s="12"/>
      <c r="U47" s="12">
        <f>T47+'3'!U47</f>
        <v>0</v>
      </c>
      <c r="V47" s="12"/>
      <c r="W47" s="12">
        <f>V47+'3'!W47</f>
        <v>0</v>
      </c>
      <c r="X47" s="12"/>
      <c r="Y47" s="12">
        <f>X47+'3'!Y47</f>
        <v>0</v>
      </c>
      <c r="AB47" s="5">
        <v>37</v>
      </c>
      <c r="AC47" s="26">
        <f>'3'!AC47</f>
        <v>0</v>
      </c>
      <c r="AD47" s="28">
        <f>'3'!AI47</f>
        <v>0</v>
      </c>
      <c r="AE47" s="3"/>
      <c r="AF47" s="28">
        <f>AE47+'3'!AF47</f>
        <v>0</v>
      </c>
      <c r="AG47" s="4"/>
      <c r="AH47" s="28">
        <f>AG47+'3'!AH47</f>
        <v>0</v>
      </c>
      <c r="AI47" s="4">
        <f t="shared" si="6"/>
        <v>0</v>
      </c>
      <c r="AJ47" s="11" t="e">
        <f t="shared" si="0"/>
        <v>#DIV/0!</v>
      </c>
      <c r="AK47" s="53" t="e">
        <f t="shared" si="1"/>
        <v>#DIV/0!</v>
      </c>
      <c r="AW47" s="26">
        <f>'3'!AW47</f>
        <v>0</v>
      </c>
      <c r="AX47" s="12">
        <f>'3'!AX47</f>
        <v>0</v>
      </c>
      <c r="AY47" s="12">
        <f>'3'!AY47</f>
        <v>0</v>
      </c>
      <c r="AZ47" s="12"/>
      <c r="BA47" s="12"/>
      <c r="BB47" s="12">
        <f>BA47+'3'!BB47</f>
        <v>0</v>
      </c>
      <c r="BC47" s="30" t="e">
        <f t="shared" si="2"/>
        <v>#DIV/0!</v>
      </c>
      <c r="BD47" s="12">
        <f>'3'!BD47</f>
        <v>0</v>
      </c>
      <c r="BE47" s="12">
        <f>'3'!BE47</f>
        <v>0</v>
      </c>
      <c r="BF47" s="12"/>
      <c r="BG47" s="12"/>
      <c r="BH47" s="12">
        <f>BG47+'3'!BH47</f>
        <v>0</v>
      </c>
      <c r="BI47" s="30" t="e">
        <f t="shared" si="3"/>
        <v>#DIV/0!</v>
      </c>
    </row>
    <row r="48" spans="1:61" ht="28.9" customHeight="1" x14ac:dyDescent="0.35">
      <c r="A48" s="5">
        <v>38</v>
      </c>
      <c r="B48" s="26">
        <f>'3'!B48</f>
        <v>0</v>
      </c>
      <c r="C48" s="26">
        <f>'3'!C48</f>
        <v>0</v>
      </c>
      <c r="D48" s="26"/>
      <c r="E48" s="12"/>
      <c r="F48" s="2">
        <f>E48+'3'!F48</f>
        <v>0</v>
      </c>
      <c r="G48" s="2"/>
      <c r="H48" s="2">
        <f>G48+'3'!H48</f>
        <v>0</v>
      </c>
      <c r="I48" s="2"/>
      <c r="J48" s="2">
        <f>I48+'3'!J48</f>
        <v>0</v>
      </c>
      <c r="K48" s="2"/>
      <c r="L48" s="2">
        <f>K48+'3'!L48</f>
        <v>0</v>
      </c>
      <c r="M48" s="2"/>
      <c r="N48" s="2">
        <f>M48+'3'!N48</f>
        <v>0</v>
      </c>
      <c r="O48" s="2"/>
      <c r="P48" s="2">
        <f>O48+'3'!P48</f>
        <v>0</v>
      </c>
      <c r="Q48" s="4">
        <f t="shared" si="4"/>
        <v>0</v>
      </c>
      <c r="R48" s="4">
        <f>Q48+'3'!R48</f>
        <v>0</v>
      </c>
      <c r="S48" s="27" t="e">
        <f t="shared" si="5"/>
        <v>#DIV/0!</v>
      </c>
      <c r="T48" s="12"/>
      <c r="U48" s="12">
        <f>T48+'3'!U48</f>
        <v>0</v>
      </c>
      <c r="V48" s="12"/>
      <c r="W48" s="12">
        <f>V48+'3'!W48</f>
        <v>0</v>
      </c>
      <c r="X48" s="12"/>
      <c r="Y48" s="12">
        <f>X48+'3'!Y48</f>
        <v>0</v>
      </c>
      <c r="AB48" s="5">
        <v>38</v>
      </c>
      <c r="AC48" s="26">
        <f>'3'!AC48</f>
        <v>0</v>
      </c>
      <c r="AD48" s="28">
        <f>'3'!AI48</f>
        <v>0</v>
      </c>
      <c r="AE48" s="3"/>
      <c r="AF48" s="28">
        <f>AE48+'3'!AF48</f>
        <v>0</v>
      </c>
      <c r="AG48" s="4"/>
      <c r="AH48" s="28">
        <f>AG48+'3'!AH48</f>
        <v>0</v>
      </c>
      <c r="AI48" s="4">
        <f t="shared" si="6"/>
        <v>0</v>
      </c>
      <c r="AJ48" s="11" t="e">
        <f t="shared" si="0"/>
        <v>#DIV/0!</v>
      </c>
      <c r="AK48" s="53" t="e">
        <f t="shared" si="1"/>
        <v>#DIV/0!</v>
      </c>
      <c r="AW48" s="26">
        <f>'3'!AW48</f>
        <v>0</v>
      </c>
      <c r="AX48" s="12">
        <f>'3'!AX48</f>
        <v>0</v>
      </c>
      <c r="AY48" s="12">
        <f>'3'!AY48</f>
        <v>0</v>
      </c>
      <c r="AZ48" s="12"/>
      <c r="BA48" s="12"/>
      <c r="BB48" s="12">
        <f>BA48+'3'!BB48</f>
        <v>0</v>
      </c>
      <c r="BC48" s="30" t="e">
        <f t="shared" si="2"/>
        <v>#DIV/0!</v>
      </c>
      <c r="BD48" s="12">
        <f>'3'!BD48</f>
        <v>0</v>
      </c>
      <c r="BE48" s="12">
        <f>'3'!BE48</f>
        <v>0</v>
      </c>
      <c r="BF48" s="12"/>
      <c r="BG48" s="12"/>
      <c r="BH48" s="12">
        <f>BG48+'3'!BH48</f>
        <v>0</v>
      </c>
      <c r="BI48" s="30" t="e">
        <f t="shared" si="3"/>
        <v>#DIV/0!</v>
      </c>
    </row>
    <row r="49" spans="1:61" ht="28.9" customHeight="1" x14ac:dyDescent="0.35">
      <c r="A49" s="5">
        <v>39</v>
      </c>
      <c r="B49" s="26">
        <f>'3'!B49</f>
        <v>0</v>
      </c>
      <c r="C49" s="26">
        <f>'3'!C49</f>
        <v>0</v>
      </c>
      <c r="D49" s="26"/>
      <c r="E49" s="12"/>
      <c r="F49" s="2">
        <f>E49+'3'!F49</f>
        <v>0</v>
      </c>
      <c r="G49" s="2"/>
      <c r="H49" s="2">
        <f>G49+'3'!H49</f>
        <v>0</v>
      </c>
      <c r="I49" s="2"/>
      <c r="J49" s="2">
        <f>I49+'3'!J49</f>
        <v>0</v>
      </c>
      <c r="K49" s="2"/>
      <c r="L49" s="2">
        <f>K49+'3'!L49</f>
        <v>0</v>
      </c>
      <c r="M49" s="2"/>
      <c r="N49" s="2">
        <f>M49+'3'!N49</f>
        <v>0</v>
      </c>
      <c r="O49" s="2"/>
      <c r="P49" s="2">
        <f>O49+'3'!P49</f>
        <v>0</v>
      </c>
      <c r="Q49" s="4">
        <f t="shared" si="4"/>
        <v>0</v>
      </c>
      <c r="R49" s="4">
        <f>Q49+'3'!R49</f>
        <v>0</v>
      </c>
      <c r="S49" s="27" t="e">
        <f t="shared" si="5"/>
        <v>#DIV/0!</v>
      </c>
      <c r="T49" s="12"/>
      <c r="U49" s="12">
        <f>T49+'3'!U49</f>
        <v>0</v>
      </c>
      <c r="V49" s="12"/>
      <c r="W49" s="12">
        <f>V49+'3'!W49</f>
        <v>0</v>
      </c>
      <c r="X49" s="12"/>
      <c r="Y49" s="12">
        <f>X49+'3'!Y49</f>
        <v>0</v>
      </c>
      <c r="AB49" s="5">
        <v>39</v>
      </c>
      <c r="AC49" s="26">
        <f>'3'!AC49</f>
        <v>0</v>
      </c>
      <c r="AD49" s="28">
        <f>'3'!AI49</f>
        <v>0</v>
      </c>
      <c r="AE49" s="3"/>
      <c r="AF49" s="28">
        <f>AE49+'3'!AF49</f>
        <v>0</v>
      </c>
      <c r="AG49" s="4"/>
      <c r="AH49" s="28">
        <f>AG49+'3'!AH49</f>
        <v>0</v>
      </c>
      <c r="AI49" s="4">
        <f t="shared" si="6"/>
        <v>0</v>
      </c>
      <c r="AJ49" s="11" t="e">
        <f t="shared" si="0"/>
        <v>#DIV/0!</v>
      </c>
      <c r="AK49" s="53" t="e">
        <f t="shared" si="1"/>
        <v>#DIV/0!</v>
      </c>
      <c r="AW49" s="26">
        <f>'3'!AW49</f>
        <v>0</v>
      </c>
      <c r="AX49" s="12">
        <f>'3'!AX49</f>
        <v>0</v>
      </c>
      <c r="AY49" s="12">
        <f>'3'!AY49</f>
        <v>0</v>
      </c>
      <c r="AZ49" s="12"/>
      <c r="BA49" s="12"/>
      <c r="BB49" s="12">
        <f>BA49+'3'!BB49</f>
        <v>0</v>
      </c>
      <c r="BC49" s="30" t="e">
        <f t="shared" si="2"/>
        <v>#DIV/0!</v>
      </c>
      <c r="BD49" s="12">
        <f>'3'!BD49</f>
        <v>0</v>
      </c>
      <c r="BE49" s="12">
        <f>'3'!BE49</f>
        <v>0</v>
      </c>
      <c r="BF49" s="12"/>
      <c r="BG49" s="12"/>
      <c r="BH49" s="12">
        <f>BG49+'3'!BH49</f>
        <v>0</v>
      </c>
      <c r="BI49" s="30" t="e">
        <f t="shared" si="3"/>
        <v>#DIV/0!</v>
      </c>
    </row>
    <row r="50" spans="1:61" ht="28.9" customHeight="1" x14ac:dyDescent="0.35">
      <c r="A50" s="5">
        <v>40</v>
      </c>
      <c r="B50" s="26">
        <f>'3'!B50</f>
        <v>0</v>
      </c>
      <c r="C50" s="26">
        <f>'3'!C50</f>
        <v>0</v>
      </c>
      <c r="D50" s="26"/>
      <c r="E50" s="12"/>
      <c r="F50" s="2">
        <f>E50+'3'!F50</f>
        <v>0</v>
      </c>
      <c r="G50" s="2"/>
      <c r="H50" s="2">
        <f>G50+'3'!H50</f>
        <v>0</v>
      </c>
      <c r="I50" s="2"/>
      <c r="J50" s="2">
        <f>I50+'3'!J50</f>
        <v>0</v>
      </c>
      <c r="K50" s="2"/>
      <c r="L50" s="2">
        <f>K50+'3'!L50</f>
        <v>0</v>
      </c>
      <c r="M50" s="2"/>
      <c r="N50" s="2">
        <f>M50+'3'!N50</f>
        <v>0</v>
      </c>
      <c r="O50" s="2"/>
      <c r="P50" s="2">
        <f>O50+'3'!P50</f>
        <v>0</v>
      </c>
      <c r="Q50" s="4">
        <f t="shared" si="4"/>
        <v>0</v>
      </c>
      <c r="R50" s="4">
        <f>Q50+'3'!R50</f>
        <v>0</v>
      </c>
      <c r="S50" s="27" t="e">
        <f t="shared" si="5"/>
        <v>#DIV/0!</v>
      </c>
      <c r="T50" s="12"/>
      <c r="U50" s="12">
        <f>T50+'3'!U50</f>
        <v>0</v>
      </c>
      <c r="V50" s="12"/>
      <c r="W50" s="12">
        <f>V50+'3'!W50</f>
        <v>0</v>
      </c>
      <c r="X50" s="12"/>
      <c r="Y50" s="12">
        <f>X50+'3'!Y50</f>
        <v>0</v>
      </c>
      <c r="AB50" s="5">
        <v>40</v>
      </c>
      <c r="AC50" s="26">
        <f>'3'!AC50</f>
        <v>0</v>
      </c>
      <c r="AD50" s="28">
        <f>'3'!AI50</f>
        <v>0</v>
      </c>
      <c r="AE50" s="3"/>
      <c r="AF50" s="28">
        <f>AE50+'3'!AF50</f>
        <v>0</v>
      </c>
      <c r="AG50" s="4"/>
      <c r="AH50" s="28">
        <f>AG50+'3'!AH50</f>
        <v>0</v>
      </c>
      <c r="AI50" s="4">
        <f t="shared" si="6"/>
        <v>0</v>
      </c>
      <c r="AJ50" s="11" t="e">
        <f t="shared" si="0"/>
        <v>#DIV/0!</v>
      </c>
      <c r="AK50" s="53" t="e">
        <f t="shared" si="1"/>
        <v>#DIV/0!</v>
      </c>
      <c r="AW50" s="26">
        <f>'3'!AW50</f>
        <v>0</v>
      </c>
      <c r="AX50" s="12">
        <f>'3'!AX50</f>
        <v>0</v>
      </c>
      <c r="AY50" s="12">
        <f>'3'!AY50</f>
        <v>0</v>
      </c>
      <c r="AZ50" s="12"/>
      <c r="BA50" s="12"/>
      <c r="BB50" s="12">
        <f>BA50+'3'!BB50</f>
        <v>0</v>
      </c>
      <c r="BC50" s="30" t="e">
        <f t="shared" si="2"/>
        <v>#DIV/0!</v>
      </c>
      <c r="BD50" s="12">
        <f>'3'!BD50</f>
        <v>0</v>
      </c>
      <c r="BE50" s="12">
        <f>'3'!BE50</f>
        <v>0</v>
      </c>
      <c r="BF50" s="12"/>
      <c r="BG50" s="12"/>
      <c r="BH50" s="12">
        <f>BG50+'3'!BH50</f>
        <v>0</v>
      </c>
      <c r="BI50" s="30" t="e">
        <f t="shared" si="3"/>
        <v>#DIV/0!</v>
      </c>
    </row>
    <row r="51" spans="1:61" ht="25.5" thickBot="1" x14ac:dyDescent="0.4">
      <c r="A51" s="321" t="s">
        <v>26</v>
      </c>
      <c r="B51" s="321"/>
      <c r="C51" s="35">
        <f>SUM(C11:C50)</f>
        <v>97446</v>
      </c>
      <c r="D51" s="35">
        <f>SUM(D11:D50)</f>
        <v>0</v>
      </c>
      <c r="E51" s="6">
        <f>SUM(E11:E50)</f>
        <v>0</v>
      </c>
      <c r="F51" s="6">
        <f>SUM(F11:F50)</f>
        <v>533</v>
      </c>
      <c r="G51" s="6">
        <f t="shared" ref="G51:R51" si="8">SUM(G11:G50)</f>
        <v>0</v>
      </c>
      <c r="H51" s="6">
        <f t="shared" si="8"/>
        <v>14954</v>
      </c>
      <c r="I51" s="6">
        <f t="shared" si="8"/>
        <v>0</v>
      </c>
      <c r="J51" s="6">
        <f t="shared" si="8"/>
        <v>37926</v>
      </c>
      <c r="K51" s="6">
        <f t="shared" si="8"/>
        <v>0</v>
      </c>
      <c r="L51" s="6">
        <f t="shared" si="8"/>
        <v>0</v>
      </c>
      <c r="M51" s="6">
        <f t="shared" si="8"/>
        <v>0</v>
      </c>
      <c r="N51" s="6">
        <f t="shared" si="8"/>
        <v>0</v>
      </c>
      <c r="O51" s="6">
        <f t="shared" si="8"/>
        <v>0</v>
      </c>
      <c r="P51" s="6">
        <f t="shared" si="8"/>
        <v>0</v>
      </c>
      <c r="Q51" s="6">
        <f t="shared" si="8"/>
        <v>0</v>
      </c>
      <c r="R51" s="6">
        <f t="shared" si="8"/>
        <v>53413</v>
      </c>
      <c r="S51" s="10">
        <f>R51/C51</f>
        <v>0.54812922028610722</v>
      </c>
      <c r="T51" s="23">
        <f t="shared" ref="T51:Y51" si="9">SUM(T11:T50)</f>
        <v>0</v>
      </c>
      <c r="U51" s="23">
        <f t="shared" si="9"/>
        <v>7532</v>
      </c>
      <c r="V51" s="23">
        <f t="shared" si="9"/>
        <v>0</v>
      </c>
      <c r="W51" s="23">
        <f t="shared" si="9"/>
        <v>1107</v>
      </c>
      <c r="X51" s="23">
        <f t="shared" si="9"/>
        <v>0</v>
      </c>
      <c r="Y51" s="23">
        <f t="shared" si="9"/>
        <v>2</v>
      </c>
      <c r="AB51" s="37" t="s">
        <v>29</v>
      </c>
      <c r="AC51" s="37"/>
      <c r="AD51" s="34">
        <f t="shared" ref="AD51:AI51" si="10">SUM(AD11:AD50)</f>
        <v>3133</v>
      </c>
      <c r="AE51" s="23">
        <f t="shared" si="10"/>
        <v>0</v>
      </c>
      <c r="AF51" s="14">
        <f t="shared" si="10"/>
        <v>8632</v>
      </c>
      <c r="AG51" s="14">
        <f t="shared" si="10"/>
        <v>0</v>
      </c>
      <c r="AH51" s="14">
        <f t="shared" si="10"/>
        <v>5499</v>
      </c>
      <c r="AI51" s="14">
        <f t="shared" si="10"/>
        <v>3133</v>
      </c>
      <c r="AJ51" s="11" t="e">
        <f t="shared" si="0"/>
        <v>#DIV/0!</v>
      </c>
      <c r="AK51" s="53">
        <f t="shared" si="1"/>
        <v>9.713220585561011</v>
      </c>
      <c r="AW51" s="33" t="s">
        <v>26</v>
      </c>
      <c r="AX51" s="13">
        <f>SUM(AX11:AX50)</f>
        <v>121</v>
      </c>
      <c r="AY51" s="13">
        <f>SUM(AY11:AY50)</f>
        <v>50910</v>
      </c>
      <c r="AZ51" s="13">
        <f>SUM(AZ11:AZ50)</f>
        <v>0</v>
      </c>
      <c r="BA51" s="13">
        <f>SUM(BA11:BA50)</f>
        <v>0</v>
      </c>
      <c r="BB51" s="13">
        <f>SUM(BB11:BB50)</f>
        <v>39924</v>
      </c>
      <c r="BC51" s="31">
        <f t="shared" si="2"/>
        <v>0.78420742486741313</v>
      </c>
      <c r="BD51" s="32">
        <f>SUM(BD11:BD50)</f>
        <v>241</v>
      </c>
      <c r="BE51" s="32">
        <f>SUM(BE11:BE50)</f>
        <v>14990</v>
      </c>
      <c r="BF51" s="32">
        <f>SUM(BF11:BF50)</f>
        <v>0</v>
      </c>
      <c r="BG51" s="32">
        <f>SUM(BG11:BG50)</f>
        <v>0</v>
      </c>
      <c r="BH51" s="32">
        <f>SUM(BH11:BH50)</f>
        <v>9274</v>
      </c>
      <c r="BI51" s="31">
        <f t="shared" si="3"/>
        <v>0.61867911941294196</v>
      </c>
    </row>
    <row r="52" spans="1:61" ht="17.5" x14ac:dyDescent="0.35">
      <c r="AB52" s="36"/>
      <c r="AC52" s="36"/>
      <c r="AD52" s="36"/>
      <c r="AE52" s="36"/>
      <c r="AF52" s="40"/>
      <c r="AG52" s="40"/>
      <c r="AH52" s="40"/>
      <c r="AI52" s="41"/>
      <c r="AJ52" s="15"/>
      <c r="AK52" s="15"/>
    </row>
    <row r="54" spans="1:61" ht="18.5" x14ac:dyDescent="0.45">
      <c r="G54" s="322" t="s">
        <v>36</v>
      </c>
      <c r="H54" s="322"/>
      <c r="I54" s="322"/>
      <c r="J54" s="322"/>
      <c r="K54" s="322"/>
      <c r="L54" s="322"/>
      <c r="M54" s="322"/>
      <c r="N54" s="322"/>
      <c r="O54" s="322"/>
      <c r="P54" s="322"/>
      <c r="Q54" s="322"/>
      <c r="R54" s="322"/>
      <c r="S54" s="322"/>
      <c r="AB54" s="313" t="s">
        <v>44</v>
      </c>
      <c r="AC54" s="313"/>
      <c r="AD54" s="313"/>
      <c r="AE54" s="313"/>
      <c r="AF54" s="313"/>
      <c r="AG54" s="313"/>
      <c r="AH54" s="313"/>
      <c r="AI54" s="313"/>
      <c r="AJ54" s="313"/>
      <c r="AK54" s="313"/>
      <c r="AL54" s="313"/>
      <c r="AM54" s="313"/>
      <c r="AN54" s="313"/>
    </row>
    <row r="55" spans="1:61" ht="18.5" x14ac:dyDescent="0.45">
      <c r="AX55" s="313" t="s">
        <v>44</v>
      </c>
      <c r="AY55" s="313"/>
      <c r="AZ55" s="313"/>
      <c r="BA55" s="313"/>
      <c r="BB55" s="313"/>
      <c r="BC55" s="313"/>
      <c r="BD55" s="313"/>
      <c r="BE55" s="313"/>
      <c r="BF55" s="313"/>
      <c r="BG55" s="313"/>
      <c r="BH55" s="313"/>
      <c r="BI55" s="313"/>
    </row>
    <row r="56" spans="1:61" ht="15.5" x14ac:dyDescent="0.35">
      <c r="AG56" s="38"/>
      <c r="AH56" s="38"/>
      <c r="AI56" s="38"/>
    </row>
  </sheetData>
  <mergeCells count="56">
    <mergeCell ref="A6:Y6"/>
    <mergeCell ref="AF6:AN6"/>
    <mergeCell ref="AY6:BI6"/>
    <mergeCell ref="A7:Y7"/>
    <mergeCell ref="A8:A10"/>
    <mergeCell ref="B8:B10"/>
    <mergeCell ref="C8:C10"/>
    <mergeCell ref="D8:D10"/>
    <mergeCell ref="E8:J8"/>
    <mergeCell ref="K8:P8"/>
    <mergeCell ref="Q8:R9"/>
    <mergeCell ref="S8:S10"/>
    <mergeCell ref="T8:U9"/>
    <mergeCell ref="V8:W9"/>
    <mergeCell ref="X8:Y9"/>
    <mergeCell ref="AB8:AB10"/>
    <mergeCell ref="AN8:AN9"/>
    <mergeCell ref="AO8:AO9"/>
    <mergeCell ref="AP8:AQ8"/>
    <mergeCell ref="AR8:AS8"/>
    <mergeCell ref="AC8:AC10"/>
    <mergeCell ref="AD8:AD10"/>
    <mergeCell ref="AE8:AF9"/>
    <mergeCell ref="AG8:AH9"/>
    <mergeCell ref="AI8:AI10"/>
    <mergeCell ref="AJ8:AJ10"/>
    <mergeCell ref="AW8:AW10"/>
    <mergeCell ref="AX8:BC8"/>
    <mergeCell ref="BD8:BI8"/>
    <mergeCell ref="E9:F9"/>
    <mergeCell ref="G9:H9"/>
    <mergeCell ref="I9:J9"/>
    <mergeCell ref="K9:L9"/>
    <mergeCell ref="M9:N9"/>
    <mergeCell ref="AK8:AK10"/>
    <mergeCell ref="AM8:AM13"/>
    <mergeCell ref="BF9:BF10"/>
    <mergeCell ref="BG9:BG10"/>
    <mergeCell ref="BH9:BH10"/>
    <mergeCell ref="O9:P9"/>
    <mergeCell ref="AX9:AX10"/>
    <mergeCell ref="AY9:AY10"/>
    <mergeCell ref="AZ9:AZ10"/>
    <mergeCell ref="BA9:BA10"/>
    <mergeCell ref="BB9:BB10"/>
    <mergeCell ref="AT8:AT9"/>
    <mergeCell ref="AX55:BI55"/>
    <mergeCell ref="BI9:BI10"/>
    <mergeCell ref="AM14:AN14"/>
    <mergeCell ref="AO14:AS14"/>
    <mergeCell ref="A51:B51"/>
    <mergeCell ref="G54:S54"/>
    <mergeCell ref="AB54:AN54"/>
    <mergeCell ref="BC9:BC10"/>
    <mergeCell ref="BD9:BD10"/>
    <mergeCell ref="BE9:BE10"/>
  </mergeCells>
  <pageMargins left="0.7" right="0.7" top="0.75" bottom="0.75" header="0.3" footer="0.3"/>
  <pageSetup paperSize="9" scale="17" orientation="landscape" r:id="rId1"/>
  <colBreaks count="2" manualBreakCount="2">
    <brk id="26" max="55" man="1"/>
    <brk id="47" max="5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7D190-9B99-48ED-8A22-8DA847F4C993}">
  <dimension ref="A1:BJ56"/>
  <sheetViews>
    <sheetView rightToLeft="1" view="pageBreakPreview" topLeftCell="AB1" zoomScale="55" zoomScaleNormal="29" zoomScalePageLayoutView="40" workbookViewId="0">
      <selection activeCell="AO16" sqref="AO16"/>
    </sheetView>
  </sheetViews>
  <sheetFormatPr defaultRowHeight="14.5" x14ac:dyDescent="0.35"/>
  <cols>
    <col min="1" max="1" width="11.26953125" style="1" customWidth="1"/>
    <col min="2" max="4" width="18.7265625" style="1" customWidth="1"/>
    <col min="5" max="6" width="15.26953125" customWidth="1"/>
    <col min="7" max="7" width="18.453125" customWidth="1"/>
    <col min="8" max="8" width="16.81640625" customWidth="1"/>
    <col min="9" max="9" width="15.26953125" customWidth="1"/>
    <col min="10" max="10" width="15.54296875" customWidth="1"/>
    <col min="11" max="23" width="15.26953125" customWidth="1"/>
    <col min="24" max="25" width="12.54296875" customWidth="1"/>
    <col min="27" max="27" width="19.1796875" customWidth="1"/>
    <col min="28" max="30" width="15.26953125" customWidth="1"/>
    <col min="31" max="32" width="13.7265625" customWidth="1"/>
    <col min="33" max="33" width="14.1796875" customWidth="1"/>
    <col min="34" max="34" width="13" customWidth="1"/>
    <col min="35" max="35" width="18.26953125" customWidth="1"/>
    <col min="36" max="40" width="15" customWidth="1"/>
    <col min="41" max="41" width="16.7265625" customWidth="1"/>
    <col min="42" max="42" width="18" customWidth="1"/>
    <col min="43" max="46" width="15" customWidth="1"/>
    <col min="47" max="47" width="14" style="1" customWidth="1"/>
    <col min="49" max="49" width="15.1796875" customWidth="1"/>
    <col min="50" max="50" width="22.26953125" customWidth="1"/>
    <col min="51" max="51" width="16.26953125" customWidth="1"/>
    <col min="52" max="52" width="13.453125" customWidth="1"/>
    <col min="53" max="53" width="14" customWidth="1"/>
    <col min="54" max="54" width="11.7265625" customWidth="1"/>
    <col min="55" max="55" width="14.26953125" customWidth="1"/>
    <col min="56" max="56" width="17.7265625" customWidth="1"/>
    <col min="57" max="57" width="22.453125" customWidth="1"/>
    <col min="58" max="58" width="17.7265625" customWidth="1"/>
    <col min="59" max="59" width="11.7265625" customWidth="1"/>
    <col min="60" max="60" width="16.81640625" customWidth="1"/>
    <col min="61" max="61" width="12.81640625" customWidth="1"/>
    <col min="62" max="62" width="15.26953125" customWidth="1"/>
  </cols>
  <sheetData>
    <row r="1" spans="1:62" s="21" customFormat="1" ht="23.5" x14ac:dyDescent="0.55000000000000004">
      <c r="A1" s="22" t="s">
        <v>0</v>
      </c>
      <c r="B1" s="22"/>
      <c r="C1" s="22"/>
      <c r="D1" s="18"/>
      <c r="E1" s="18"/>
      <c r="F1" s="18"/>
      <c r="G1" s="18"/>
      <c r="H1" s="18"/>
      <c r="I1" s="18"/>
      <c r="J1" s="18"/>
      <c r="K1" s="18"/>
      <c r="L1" s="18"/>
      <c r="M1" s="18"/>
      <c r="N1" s="19"/>
      <c r="O1" s="19"/>
      <c r="P1" s="18"/>
      <c r="Q1" s="18"/>
      <c r="R1" s="18"/>
      <c r="S1" s="18"/>
      <c r="T1" s="18"/>
      <c r="U1" s="18"/>
      <c r="V1" s="18"/>
      <c r="W1" s="18"/>
      <c r="X1" s="18"/>
      <c r="Y1" s="18"/>
      <c r="AA1" s="29"/>
      <c r="AB1" s="22" t="s">
        <v>0</v>
      </c>
      <c r="AC1" s="22"/>
      <c r="AD1" s="29"/>
      <c r="AE1" s="29"/>
      <c r="AF1" s="29"/>
      <c r="AU1" s="54"/>
      <c r="AW1" s="22" t="s">
        <v>0</v>
      </c>
      <c r="AX1" s="22"/>
      <c r="AY1" s="22"/>
      <c r="AZ1" s="18"/>
      <c r="BA1" s="18"/>
      <c r="BB1" s="18"/>
      <c r="BC1" s="18"/>
      <c r="BD1" s="18"/>
      <c r="BE1" s="20"/>
      <c r="BF1" s="19"/>
      <c r="BI1" s="29"/>
      <c r="BJ1" s="29"/>
    </row>
    <row r="2" spans="1:62" s="21" customFormat="1" ht="23.5" x14ac:dyDescent="0.55000000000000004">
      <c r="A2" s="22" t="s">
        <v>21</v>
      </c>
      <c r="B2" s="22"/>
      <c r="C2" s="22"/>
      <c r="D2" s="18"/>
      <c r="E2" s="18"/>
      <c r="F2" s="18"/>
      <c r="G2" s="18"/>
      <c r="H2" s="18"/>
      <c r="I2" s="18"/>
      <c r="J2" s="18"/>
      <c r="K2" s="18"/>
      <c r="L2" s="18"/>
      <c r="M2" s="18"/>
      <c r="N2" s="19"/>
      <c r="O2" s="19"/>
      <c r="P2" s="18"/>
      <c r="Q2" s="18"/>
      <c r="R2" s="18"/>
      <c r="S2" s="18"/>
      <c r="T2" s="18"/>
      <c r="U2" s="18"/>
      <c r="V2" s="18"/>
      <c r="W2" s="18"/>
      <c r="X2" s="18"/>
      <c r="Y2" s="18"/>
      <c r="AA2" s="29"/>
      <c r="AB2" s="22" t="s">
        <v>21</v>
      </c>
      <c r="AC2" s="22"/>
      <c r="AD2" s="29"/>
      <c r="AE2" s="29"/>
      <c r="AF2" s="29"/>
      <c r="AU2" s="54"/>
      <c r="AW2" s="22" t="s">
        <v>21</v>
      </c>
      <c r="AX2" s="22"/>
      <c r="AY2" s="22"/>
      <c r="AZ2" s="18"/>
      <c r="BA2" s="18"/>
      <c r="BB2" s="18"/>
      <c r="BC2" s="18"/>
      <c r="BD2" s="18"/>
      <c r="BE2" s="20"/>
      <c r="BF2" s="19"/>
      <c r="BI2" s="29"/>
      <c r="BJ2" s="29"/>
    </row>
    <row r="3" spans="1:62" s="21" customFormat="1" ht="23.5" x14ac:dyDescent="0.55000000000000004">
      <c r="A3" s="22" t="s">
        <v>22</v>
      </c>
      <c r="B3" s="22"/>
      <c r="C3" s="22"/>
      <c r="D3" s="18"/>
      <c r="E3" s="18"/>
      <c r="F3" s="18"/>
      <c r="G3" s="18"/>
      <c r="H3" s="18"/>
      <c r="I3" s="18"/>
      <c r="J3" s="18"/>
      <c r="K3" s="18"/>
      <c r="L3" s="18"/>
      <c r="M3" s="18"/>
      <c r="N3" s="19"/>
      <c r="O3" s="19"/>
      <c r="P3" s="18"/>
      <c r="Q3" s="18"/>
      <c r="R3" s="18"/>
      <c r="S3" s="18"/>
      <c r="T3" s="18"/>
      <c r="U3" s="18"/>
      <c r="V3" s="18"/>
      <c r="W3" s="18"/>
      <c r="X3" s="18"/>
      <c r="Y3" s="18"/>
      <c r="AA3" s="29"/>
      <c r="AB3" s="22" t="s">
        <v>22</v>
      </c>
      <c r="AC3" s="22"/>
      <c r="AD3" s="29"/>
      <c r="AE3" s="29"/>
      <c r="AF3" s="29"/>
      <c r="AU3" s="54"/>
      <c r="AW3" s="22" t="s">
        <v>22</v>
      </c>
      <c r="AX3" s="22"/>
      <c r="AY3" s="22"/>
      <c r="AZ3" s="18"/>
      <c r="BA3" s="18"/>
      <c r="BB3" s="18"/>
      <c r="BC3" s="18"/>
      <c r="BD3" s="18"/>
      <c r="BE3" s="20"/>
      <c r="BF3" s="19"/>
      <c r="BI3" s="29"/>
      <c r="BJ3" s="29"/>
    </row>
    <row r="4" spans="1:62" s="21" customFormat="1" ht="23.5" x14ac:dyDescent="0.55000000000000004">
      <c r="A4" s="22" t="s">
        <v>23</v>
      </c>
      <c r="B4" s="22"/>
      <c r="C4" s="22"/>
      <c r="D4" s="19"/>
      <c r="E4" s="20"/>
      <c r="F4" s="20"/>
      <c r="G4" s="20"/>
      <c r="H4" s="20"/>
      <c r="I4" s="18"/>
      <c r="J4" s="18"/>
      <c r="K4" s="18"/>
      <c r="L4" s="18"/>
      <c r="M4" s="18"/>
      <c r="N4" s="19"/>
      <c r="O4" s="19"/>
      <c r="P4" s="18"/>
      <c r="Q4" s="18"/>
      <c r="R4" s="18"/>
      <c r="S4" s="18"/>
      <c r="T4" s="18"/>
      <c r="U4" s="18"/>
      <c r="V4" s="18"/>
      <c r="W4" s="18"/>
      <c r="X4" s="18"/>
      <c r="Y4" s="18"/>
      <c r="AB4" s="22" t="s">
        <v>23</v>
      </c>
      <c r="AC4" s="22"/>
      <c r="AU4" s="54"/>
      <c r="AW4" s="22" t="s">
        <v>23</v>
      </c>
      <c r="AX4" s="22"/>
      <c r="AY4" s="22"/>
      <c r="AZ4" s="19"/>
      <c r="BA4" s="18"/>
      <c r="BB4" s="18"/>
      <c r="BC4" s="18"/>
      <c r="BD4" s="18"/>
      <c r="BE4" s="20"/>
      <c r="BF4" s="19"/>
    </row>
    <row r="5" spans="1:62" s="21" customFormat="1" ht="23.5" x14ac:dyDescent="0.55000000000000004">
      <c r="A5" s="22" t="s">
        <v>1</v>
      </c>
      <c r="B5" s="22"/>
      <c r="C5" s="22"/>
      <c r="D5" s="19"/>
      <c r="E5" s="18"/>
      <c r="F5" s="18"/>
      <c r="G5" s="18"/>
      <c r="H5" s="18"/>
      <c r="I5" s="18"/>
      <c r="J5" s="18"/>
      <c r="K5" s="18"/>
      <c r="L5" s="18"/>
      <c r="M5" s="18"/>
      <c r="N5" s="19"/>
      <c r="O5" s="19"/>
      <c r="P5" s="18"/>
      <c r="Q5" s="18"/>
      <c r="R5" s="18"/>
      <c r="S5" s="18"/>
      <c r="T5" s="18"/>
      <c r="U5" s="18"/>
      <c r="V5" s="18"/>
      <c r="W5" s="18"/>
      <c r="X5" s="18"/>
      <c r="Y5" s="18"/>
      <c r="AB5" s="22" t="s">
        <v>1</v>
      </c>
      <c r="AC5" s="22"/>
      <c r="AU5" s="54"/>
      <c r="AW5" s="22" t="s">
        <v>1</v>
      </c>
      <c r="AX5" s="22"/>
      <c r="AY5" s="22"/>
      <c r="AZ5" s="19"/>
      <c r="BA5" s="18"/>
      <c r="BB5" s="18"/>
      <c r="BC5" s="18"/>
      <c r="BD5" s="18"/>
      <c r="BE5" s="20"/>
      <c r="BF5" s="19"/>
    </row>
    <row r="6" spans="1:62" ht="20" x14ac:dyDescent="0.4">
      <c r="A6" s="362" t="s">
        <v>18</v>
      </c>
      <c r="B6" s="362"/>
      <c r="C6" s="362"/>
      <c r="D6" s="362"/>
      <c r="E6" s="362"/>
      <c r="F6" s="362"/>
      <c r="G6" s="362"/>
      <c r="H6" s="362"/>
      <c r="I6" s="362"/>
      <c r="J6" s="362"/>
      <c r="K6" s="362"/>
      <c r="L6" s="362"/>
      <c r="M6" s="362"/>
      <c r="N6" s="362"/>
      <c r="O6" s="362"/>
      <c r="P6" s="362"/>
      <c r="Q6" s="362"/>
      <c r="R6" s="362"/>
      <c r="S6" s="362"/>
      <c r="T6" s="362"/>
      <c r="U6" s="362"/>
      <c r="V6" s="362"/>
      <c r="W6" s="362"/>
      <c r="X6" s="362"/>
      <c r="Y6" s="362"/>
      <c r="AF6" s="362" t="s">
        <v>16</v>
      </c>
      <c r="AG6" s="362"/>
      <c r="AH6" s="362"/>
      <c r="AI6" s="362"/>
      <c r="AJ6" s="362"/>
      <c r="AK6" s="362"/>
      <c r="AL6" s="362"/>
      <c r="AM6" s="362"/>
      <c r="AN6" s="362"/>
      <c r="AO6" s="24"/>
      <c r="AP6" s="24"/>
      <c r="AQ6" s="24"/>
      <c r="AR6" s="24"/>
      <c r="AS6" s="24"/>
      <c r="AT6" s="24"/>
      <c r="AY6" s="362" t="s">
        <v>30</v>
      </c>
      <c r="AZ6" s="362"/>
      <c r="BA6" s="362"/>
      <c r="BB6" s="362"/>
      <c r="BC6" s="362"/>
      <c r="BD6" s="362"/>
      <c r="BE6" s="362"/>
      <c r="BF6" s="362"/>
      <c r="BG6" s="362"/>
      <c r="BH6" s="362"/>
      <c r="BI6" s="362"/>
    </row>
    <row r="7" spans="1:62" ht="20.5" thickBot="1" x14ac:dyDescent="0.45">
      <c r="A7" s="363" t="s">
        <v>27</v>
      </c>
      <c r="B7" s="364"/>
      <c r="C7" s="364"/>
      <c r="D7" s="364"/>
      <c r="E7" s="363"/>
      <c r="F7" s="363"/>
      <c r="G7" s="363"/>
      <c r="H7" s="363"/>
      <c r="I7" s="363"/>
      <c r="J7" s="363"/>
      <c r="K7" s="363"/>
      <c r="L7" s="363"/>
      <c r="M7" s="363"/>
      <c r="N7" s="363"/>
      <c r="O7" s="363"/>
      <c r="P7" s="363"/>
      <c r="Q7" s="363"/>
      <c r="R7" s="363"/>
      <c r="S7" s="363"/>
      <c r="T7" s="364"/>
      <c r="U7" s="364"/>
      <c r="V7" s="364"/>
      <c r="W7" s="364"/>
      <c r="X7" s="364"/>
      <c r="Y7" s="364"/>
      <c r="AJ7" s="25" t="s">
        <v>31</v>
      </c>
      <c r="AK7" s="25"/>
      <c r="AL7" s="25"/>
      <c r="AN7" s="25"/>
      <c r="AO7" s="25"/>
      <c r="AP7" s="25"/>
      <c r="AQ7" s="25"/>
      <c r="AS7" s="25"/>
      <c r="AT7" s="25"/>
      <c r="BC7" s="25" t="s">
        <v>31</v>
      </c>
      <c r="BD7" s="25"/>
      <c r="BF7" s="25"/>
      <c r="BG7" s="25"/>
      <c r="BH7" s="25"/>
      <c r="BI7" s="25"/>
      <c r="BJ7" s="25"/>
    </row>
    <row r="8" spans="1:62" ht="41.5" customHeight="1" x14ac:dyDescent="0.35">
      <c r="A8" s="326" t="s">
        <v>24</v>
      </c>
      <c r="B8" s="365" t="s">
        <v>25</v>
      </c>
      <c r="C8" s="366" t="s">
        <v>11</v>
      </c>
      <c r="D8" s="366" t="s">
        <v>15</v>
      </c>
      <c r="E8" s="330" t="s">
        <v>5</v>
      </c>
      <c r="F8" s="330"/>
      <c r="G8" s="330"/>
      <c r="H8" s="330"/>
      <c r="I8" s="330"/>
      <c r="J8" s="330"/>
      <c r="K8" s="330" t="s">
        <v>7</v>
      </c>
      <c r="L8" s="330"/>
      <c r="M8" s="330"/>
      <c r="N8" s="330"/>
      <c r="O8" s="330"/>
      <c r="P8" s="330"/>
      <c r="Q8" s="356" t="s">
        <v>2</v>
      </c>
      <c r="R8" s="350"/>
      <c r="S8" s="358" t="s">
        <v>12</v>
      </c>
      <c r="T8" s="323" t="s">
        <v>8</v>
      </c>
      <c r="U8" s="323"/>
      <c r="V8" s="323" t="s">
        <v>9</v>
      </c>
      <c r="W8" s="323"/>
      <c r="X8" s="323" t="s">
        <v>20</v>
      </c>
      <c r="Y8" s="323"/>
      <c r="AB8" s="326" t="s">
        <v>24</v>
      </c>
      <c r="AC8" s="342" t="s">
        <v>28</v>
      </c>
      <c r="AD8" s="342" t="s">
        <v>14</v>
      </c>
      <c r="AE8" s="345" t="s">
        <v>45</v>
      </c>
      <c r="AF8" s="346"/>
      <c r="AG8" s="349" t="s">
        <v>10</v>
      </c>
      <c r="AH8" s="350"/>
      <c r="AI8" s="353" t="s">
        <v>46</v>
      </c>
      <c r="AJ8" s="336" t="s">
        <v>51</v>
      </c>
      <c r="AK8" s="336" t="s">
        <v>47</v>
      </c>
      <c r="AM8" s="339" t="s">
        <v>41</v>
      </c>
      <c r="AN8" s="341" t="s">
        <v>38</v>
      </c>
      <c r="AO8" s="341" t="s">
        <v>14</v>
      </c>
      <c r="AP8" s="341" t="s">
        <v>39</v>
      </c>
      <c r="AQ8" s="341"/>
      <c r="AR8" s="341" t="s">
        <v>50</v>
      </c>
      <c r="AS8" s="341"/>
      <c r="AT8" s="324" t="s">
        <v>40</v>
      </c>
      <c r="AU8" s="55"/>
      <c r="AW8" s="326" t="s">
        <v>28</v>
      </c>
      <c r="AX8" s="329" t="s">
        <v>48</v>
      </c>
      <c r="AY8" s="330"/>
      <c r="AZ8" s="330"/>
      <c r="BA8" s="330"/>
      <c r="BB8" s="330"/>
      <c r="BC8" s="331"/>
      <c r="BD8" s="332" t="s">
        <v>49</v>
      </c>
      <c r="BE8" s="330"/>
      <c r="BF8" s="330"/>
      <c r="BG8" s="330"/>
      <c r="BH8" s="330"/>
      <c r="BI8" s="331"/>
    </row>
    <row r="9" spans="1:62" ht="19.149999999999999" customHeight="1" x14ac:dyDescent="0.35">
      <c r="A9" s="327"/>
      <c r="B9" s="365"/>
      <c r="C9" s="366"/>
      <c r="D9" s="366"/>
      <c r="E9" s="333" t="s">
        <v>6</v>
      </c>
      <c r="F9" s="334"/>
      <c r="G9" s="335" t="s">
        <v>13</v>
      </c>
      <c r="H9" s="334"/>
      <c r="I9" s="323" t="s">
        <v>19</v>
      </c>
      <c r="J9" s="323"/>
      <c r="K9" s="333" t="s">
        <v>6</v>
      </c>
      <c r="L9" s="334"/>
      <c r="M9" s="335" t="s">
        <v>13</v>
      </c>
      <c r="N9" s="334"/>
      <c r="O9" s="323" t="s">
        <v>19</v>
      </c>
      <c r="P9" s="323"/>
      <c r="Q9" s="357"/>
      <c r="R9" s="352"/>
      <c r="S9" s="359"/>
      <c r="T9" s="323"/>
      <c r="U9" s="323"/>
      <c r="V9" s="323"/>
      <c r="W9" s="323"/>
      <c r="X9" s="323"/>
      <c r="Y9" s="323"/>
      <c r="AB9" s="327"/>
      <c r="AC9" s="343"/>
      <c r="AD9" s="343"/>
      <c r="AE9" s="347"/>
      <c r="AF9" s="348"/>
      <c r="AG9" s="351"/>
      <c r="AH9" s="352"/>
      <c r="AI9" s="354"/>
      <c r="AJ9" s="337"/>
      <c r="AK9" s="337"/>
      <c r="AM9" s="340"/>
      <c r="AN9" s="323"/>
      <c r="AO9" s="323"/>
      <c r="AP9" s="8" t="s">
        <v>3</v>
      </c>
      <c r="AQ9" s="8" t="s">
        <v>4</v>
      </c>
      <c r="AR9" s="43" t="s">
        <v>3</v>
      </c>
      <c r="AS9" s="43" t="s">
        <v>4</v>
      </c>
      <c r="AT9" s="325"/>
      <c r="AU9" s="55"/>
      <c r="AW9" s="327"/>
      <c r="AX9" s="314" t="s">
        <v>17</v>
      </c>
      <c r="AY9" s="314" t="s">
        <v>11</v>
      </c>
      <c r="AZ9" s="314" t="s">
        <v>32</v>
      </c>
      <c r="BA9" s="314" t="s">
        <v>37</v>
      </c>
      <c r="BB9" s="314" t="s">
        <v>34</v>
      </c>
      <c r="BC9" s="314" t="s">
        <v>12</v>
      </c>
      <c r="BD9" s="314" t="s">
        <v>33</v>
      </c>
      <c r="BE9" s="314" t="s">
        <v>11</v>
      </c>
      <c r="BF9" s="314" t="s">
        <v>35</v>
      </c>
      <c r="BG9" s="314" t="s">
        <v>37</v>
      </c>
      <c r="BH9" s="314" t="s">
        <v>34</v>
      </c>
      <c r="BI9" s="314" t="s">
        <v>12</v>
      </c>
    </row>
    <row r="10" spans="1:62" ht="53.5" customHeight="1" thickBot="1" x14ac:dyDescent="0.4">
      <c r="A10" s="328"/>
      <c r="B10" s="365"/>
      <c r="C10" s="366"/>
      <c r="D10" s="366"/>
      <c r="E10" s="7" t="s">
        <v>3</v>
      </c>
      <c r="F10" s="8" t="s">
        <v>4</v>
      </c>
      <c r="G10" s="7" t="s">
        <v>3</v>
      </c>
      <c r="H10" s="8" t="s">
        <v>4</v>
      </c>
      <c r="I10" s="8" t="s">
        <v>3</v>
      </c>
      <c r="J10" s="8" t="s">
        <v>4</v>
      </c>
      <c r="K10" s="7" t="s">
        <v>3</v>
      </c>
      <c r="L10" s="8" t="s">
        <v>4</v>
      </c>
      <c r="M10" s="7" t="s">
        <v>3</v>
      </c>
      <c r="N10" s="8" t="s">
        <v>4</v>
      </c>
      <c r="O10" s="8" t="s">
        <v>3</v>
      </c>
      <c r="P10" s="8" t="s">
        <v>4</v>
      </c>
      <c r="Q10" s="9" t="s">
        <v>3</v>
      </c>
      <c r="R10" s="9" t="s">
        <v>4</v>
      </c>
      <c r="S10" s="360"/>
      <c r="T10" s="8" t="s">
        <v>3</v>
      </c>
      <c r="U10" s="8" t="s">
        <v>4</v>
      </c>
      <c r="V10" s="8" t="s">
        <v>3</v>
      </c>
      <c r="W10" s="8" t="s">
        <v>4</v>
      </c>
      <c r="X10" s="8" t="s">
        <v>3</v>
      </c>
      <c r="Y10" s="8" t="s">
        <v>4</v>
      </c>
      <c r="AB10" s="361"/>
      <c r="AC10" s="344"/>
      <c r="AD10" s="344"/>
      <c r="AE10" s="49" t="s">
        <v>3</v>
      </c>
      <c r="AF10" s="50" t="s">
        <v>4</v>
      </c>
      <c r="AG10" s="51" t="s">
        <v>3</v>
      </c>
      <c r="AH10" s="52" t="s">
        <v>4</v>
      </c>
      <c r="AI10" s="355"/>
      <c r="AJ10" s="338"/>
      <c r="AK10" s="338"/>
      <c r="AM10" s="340"/>
      <c r="AN10" s="42" t="str">
        <f>'4'!AN10</f>
        <v>0124W120</v>
      </c>
      <c r="AO10" s="42">
        <f>'4'!AT10</f>
        <v>48</v>
      </c>
      <c r="AP10" s="42"/>
      <c r="AQ10" s="17">
        <f>AP10+'4'!AQ10</f>
        <v>73</v>
      </c>
      <c r="AR10" s="17"/>
      <c r="AS10" s="17">
        <f>AR10+'4'!AS10</f>
        <v>25</v>
      </c>
      <c r="AT10" s="44">
        <f>AO10+AP10-AR10</f>
        <v>48</v>
      </c>
      <c r="AU10" s="56"/>
      <c r="AW10" s="328"/>
      <c r="AX10" s="315"/>
      <c r="AY10" s="315"/>
      <c r="AZ10" s="315"/>
      <c r="BA10" s="315"/>
      <c r="BB10" s="315"/>
      <c r="BC10" s="315"/>
      <c r="BD10" s="315"/>
      <c r="BE10" s="315"/>
      <c r="BF10" s="315"/>
      <c r="BG10" s="315"/>
      <c r="BH10" s="315"/>
      <c r="BI10" s="315"/>
    </row>
    <row r="11" spans="1:62" ht="41.5" customHeight="1" x14ac:dyDescent="0.35">
      <c r="A11" s="5">
        <v>1</v>
      </c>
      <c r="B11" s="26" t="str">
        <f>'4'!B11</f>
        <v>مكتب الصحة</v>
      </c>
      <c r="C11" s="26">
        <f>'4'!C11</f>
        <v>12251</v>
      </c>
      <c r="D11" s="26"/>
      <c r="E11" s="12"/>
      <c r="F11" s="2">
        <f>E11+'4'!F11</f>
        <v>39</v>
      </c>
      <c r="G11" s="2"/>
      <c r="H11" s="2">
        <f>G11+'4'!H11</f>
        <v>1961</v>
      </c>
      <c r="I11" s="2"/>
      <c r="J11" s="2">
        <f>I11+'4'!J11</f>
        <v>5340</v>
      </c>
      <c r="K11" s="2"/>
      <c r="L11" s="2">
        <f>K11+'4'!L11</f>
        <v>0</v>
      </c>
      <c r="M11" s="2"/>
      <c r="N11" s="2">
        <f>M11+'4'!N11</f>
        <v>0</v>
      </c>
      <c r="O11" s="2"/>
      <c r="P11" s="2">
        <f>O11+'4'!P11</f>
        <v>0</v>
      </c>
      <c r="Q11" s="4">
        <f>O11+M11+K11+I11+G11+E11</f>
        <v>0</v>
      </c>
      <c r="R11" s="4">
        <f>Q11+'4'!R11</f>
        <v>7340</v>
      </c>
      <c r="S11" s="27">
        <f>R11/C11</f>
        <v>0.5991347645090197</v>
      </c>
      <c r="T11" s="12"/>
      <c r="U11" s="12">
        <f>T11+'4'!U11</f>
        <v>1397</v>
      </c>
      <c r="V11" s="12"/>
      <c r="W11" s="12">
        <f>V11+'4'!W11</f>
        <v>4</v>
      </c>
      <c r="X11" s="12"/>
      <c r="Y11" s="12">
        <f>X11+'4'!Y11</f>
        <v>1</v>
      </c>
      <c r="AB11" s="48">
        <v>1</v>
      </c>
      <c r="AC11" s="26" t="str">
        <f>'4'!AC11</f>
        <v>مكتب الصحة</v>
      </c>
      <c r="AD11" s="28">
        <f>'4'!AI11</f>
        <v>333</v>
      </c>
      <c r="AE11" s="3"/>
      <c r="AF11" s="28">
        <f>AE11+'4'!AF11</f>
        <v>1082</v>
      </c>
      <c r="AG11" s="4"/>
      <c r="AH11" s="28">
        <f>AG11+'4'!AH11</f>
        <v>749</v>
      </c>
      <c r="AI11" s="4">
        <f>AD11+AE11-AG11</f>
        <v>333</v>
      </c>
      <c r="AJ11" s="11" t="e">
        <f t="shared" ref="AJ11:AJ51" si="0">Q11/AG11</f>
        <v>#DIV/0!</v>
      </c>
      <c r="AK11" s="53">
        <f t="shared" ref="AK11:AK51" si="1">R11/AH11</f>
        <v>9.799732977303071</v>
      </c>
      <c r="AM11" s="340"/>
      <c r="AN11" s="42" t="str">
        <f>'4'!AN11</f>
        <v>420604325A</v>
      </c>
      <c r="AO11" s="42">
        <f>'4'!AT11</f>
        <v>3076</v>
      </c>
      <c r="AP11" s="16"/>
      <c r="AQ11" s="17">
        <f>AP11+'4'!AQ11</f>
        <v>8550</v>
      </c>
      <c r="AR11" s="16"/>
      <c r="AS11" s="17">
        <f>AR11+'4'!AS11</f>
        <v>5474</v>
      </c>
      <c r="AT11" s="44">
        <f>AO11+AP11-AR11</f>
        <v>3076</v>
      </c>
      <c r="AU11" s="56"/>
      <c r="AW11" s="26" t="str">
        <f>'4'!AW11</f>
        <v>مكتب الصحة</v>
      </c>
      <c r="AX11" s="12">
        <f>'4'!AX11</f>
        <v>11</v>
      </c>
      <c r="AY11" s="12">
        <f>'4'!AY11</f>
        <v>8411</v>
      </c>
      <c r="AZ11" s="12"/>
      <c r="BA11" s="12"/>
      <c r="BB11" s="12">
        <f>BA11+'4'!BB11</f>
        <v>5998</v>
      </c>
      <c r="BC11" s="30">
        <f t="shared" ref="BC11:BC51" si="2">BB11/AY11</f>
        <v>0.71311377957436695</v>
      </c>
      <c r="BD11" s="12">
        <f>'4'!BD11</f>
        <v>27</v>
      </c>
      <c r="BE11" s="12">
        <f>'4'!BE11</f>
        <v>1746</v>
      </c>
      <c r="BF11" s="12"/>
      <c r="BG11" s="12"/>
      <c r="BH11" s="12">
        <f>BG11+'4'!BH11</f>
        <v>477</v>
      </c>
      <c r="BI11" s="30">
        <f t="shared" ref="BI11:BI51" si="3">BH11/BE11</f>
        <v>0.27319587628865977</v>
      </c>
    </row>
    <row r="12" spans="1:62" ht="41.5" customHeight="1" x14ac:dyDescent="0.35">
      <c r="A12" s="5">
        <v>2</v>
      </c>
      <c r="B12" s="26" t="str">
        <f>'4'!B12</f>
        <v>شبرابخـــــــــــوم</v>
      </c>
      <c r="C12" s="26">
        <f>'4'!C12</f>
        <v>4445</v>
      </c>
      <c r="D12" s="26"/>
      <c r="E12" s="12"/>
      <c r="F12" s="2">
        <f>E12+'4'!F12</f>
        <v>14</v>
      </c>
      <c r="G12" s="2"/>
      <c r="H12" s="2">
        <f>G12+'4'!H12</f>
        <v>392</v>
      </c>
      <c r="I12" s="2"/>
      <c r="J12" s="2">
        <f>I12+'4'!J12</f>
        <v>1857</v>
      </c>
      <c r="K12" s="2"/>
      <c r="L12" s="2">
        <f>K12+'4'!L12</f>
        <v>0</v>
      </c>
      <c r="M12" s="2"/>
      <c r="N12" s="2">
        <f>M12+'4'!N12</f>
        <v>0</v>
      </c>
      <c r="O12" s="2"/>
      <c r="P12" s="2">
        <f>O12+'4'!P12</f>
        <v>0</v>
      </c>
      <c r="Q12" s="4">
        <f t="shared" ref="Q12:Q50" si="4">O12+M12+K12+I12+G12+E12</f>
        <v>0</v>
      </c>
      <c r="R12" s="4">
        <f>Q12+'4'!R12</f>
        <v>2263</v>
      </c>
      <c r="S12" s="27">
        <f t="shared" ref="S12:S50" si="5">R12/C12</f>
        <v>0.50911136107986499</v>
      </c>
      <c r="T12" s="12"/>
      <c r="U12" s="12">
        <f>T12+'4'!U12</f>
        <v>373</v>
      </c>
      <c r="V12" s="12"/>
      <c r="W12" s="12">
        <f>V12+'4'!W12</f>
        <v>15</v>
      </c>
      <c r="X12" s="12"/>
      <c r="Y12" s="12">
        <f>X12+'4'!Y12</f>
        <v>0</v>
      </c>
      <c r="AB12" s="5">
        <v>2</v>
      </c>
      <c r="AC12" s="26" t="str">
        <f>'4'!AC12</f>
        <v>شبرابخـــــــــــوم</v>
      </c>
      <c r="AD12" s="28">
        <f>'4'!AI12</f>
        <v>158</v>
      </c>
      <c r="AE12" s="3"/>
      <c r="AF12" s="28">
        <f>AE12+'4'!AF12</f>
        <v>390</v>
      </c>
      <c r="AG12" s="4"/>
      <c r="AH12" s="28">
        <f>AG12+'4'!AH12</f>
        <v>232</v>
      </c>
      <c r="AI12" s="4">
        <f>AD12+AE12-AG12</f>
        <v>158</v>
      </c>
      <c r="AJ12" s="11" t="e">
        <f t="shared" si="0"/>
        <v>#DIV/0!</v>
      </c>
      <c r="AK12" s="53">
        <f t="shared" si="1"/>
        <v>9.7543103448275854</v>
      </c>
      <c r="AM12" s="340"/>
      <c r="AN12" s="42" t="str">
        <f>'4'!AN12</f>
        <v>420604225A</v>
      </c>
      <c r="AO12" s="42">
        <f>'4'!AT12</f>
        <v>100</v>
      </c>
      <c r="AP12" s="16"/>
      <c r="AQ12" s="17">
        <f>AP12+'4'!AQ12</f>
        <v>100</v>
      </c>
      <c r="AR12" s="16"/>
      <c r="AS12" s="17">
        <f>AR12+'4'!AS12</f>
        <v>0</v>
      </c>
      <c r="AT12" s="44">
        <f>AO12+AP12-AR12</f>
        <v>100</v>
      </c>
      <c r="AU12" s="56"/>
      <c r="AW12" s="26" t="str">
        <f>'4'!AW12</f>
        <v>شبرابخـــــــــــوم</v>
      </c>
      <c r="AX12" s="12">
        <f>'4'!AX12</f>
        <v>6</v>
      </c>
      <c r="AY12" s="12">
        <f>'4'!AY12</f>
        <v>2215</v>
      </c>
      <c r="AZ12" s="12"/>
      <c r="BA12" s="12"/>
      <c r="BB12" s="12">
        <f>BA12+'4'!BB12</f>
        <v>2306</v>
      </c>
      <c r="BC12" s="30">
        <f t="shared" si="2"/>
        <v>1.0410835214446952</v>
      </c>
      <c r="BD12" s="12">
        <f>'4'!BD12</f>
        <v>16</v>
      </c>
      <c r="BE12" s="12">
        <f>'4'!BE12</f>
        <v>729</v>
      </c>
      <c r="BF12" s="12"/>
      <c r="BG12" s="12"/>
      <c r="BH12" s="12">
        <f>BG12+'4'!BH12</f>
        <v>224</v>
      </c>
      <c r="BI12" s="30">
        <f t="shared" si="3"/>
        <v>0.30727023319615915</v>
      </c>
    </row>
    <row r="13" spans="1:62" ht="41.5" customHeight="1" x14ac:dyDescent="0.35">
      <c r="A13" s="5">
        <v>3</v>
      </c>
      <c r="B13" s="26" t="str">
        <f>'4'!B13</f>
        <v>ميت بره</v>
      </c>
      <c r="C13" s="26">
        <f>'4'!C13</f>
        <v>11614</v>
      </c>
      <c r="D13" s="26"/>
      <c r="E13" s="12"/>
      <c r="F13" s="2">
        <f>E13+'4'!F13</f>
        <v>45</v>
      </c>
      <c r="G13" s="2"/>
      <c r="H13" s="2">
        <f>G13+'4'!H13</f>
        <v>465</v>
      </c>
      <c r="I13" s="2"/>
      <c r="J13" s="2">
        <f>I13+'4'!J13</f>
        <v>3703</v>
      </c>
      <c r="K13" s="2"/>
      <c r="L13" s="2">
        <f>K13+'4'!L13</f>
        <v>0</v>
      </c>
      <c r="M13" s="2"/>
      <c r="N13" s="2">
        <f>M13+'4'!N13</f>
        <v>0</v>
      </c>
      <c r="O13" s="2"/>
      <c r="P13" s="2">
        <f>O13+'4'!P13</f>
        <v>0</v>
      </c>
      <c r="Q13" s="4">
        <f t="shared" si="4"/>
        <v>0</v>
      </c>
      <c r="R13" s="4">
        <f>Q13+'4'!R13</f>
        <v>4213</v>
      </c>
      <c r="S13" s="27">
        <f t="shared" si="5"/>
        <v>0.36275185121405201</v>
      </c>
      <c r="T13" s="12"/>
      <c r="U13" s="12">
        <f>T13+'4'!U13</f>
        <v>641</v>
      </c>
      <c r="V13" s="12"/>
      <c r="W13" s="12">
        <f>V13+'4'!W13</f>
        <v>0</v>
      </c>
      <c r="X13" s="12"/>
      <c r="Y13" s="12">
        <f>X13+'4'!Y13</f>
        <v>0</v>
      </c>
      <c r="AB13" s="5">
        <v>3</v>
      </c>
      <c r="AC13" s="26" t="str">
        <f>'4'!AC13</f>
        <v>ميت بره</v>
      </c>
      <c r="AD13" s="28">
        <f>'4'!AI13</f>
        <v>584</v>
      </c>
      <c r="AE13" s="3"/>
      <c r="AF13" s="28">
        <f>AE13+'4'!AF13</f>
        <v>1020</v>
      </c>
      <c r="AG13" s="4"/>
      <c r="AH13" s="28">
        <f>AG13+'4'!AH13</f>
        <v>436</v>
      </c>
      <c r="AI13" s="4">
        <f t="shared" ref="AI13:AI50" si="6">AD13+AE13-AG13</f>
        <v>584</v>
      </c>
      <c r="AJ13" s="11" t="e">
        <f t="shared" si="0"/>
        <v>#DIV/0!</v>
      </c>
      <c r="AK13" s="53">
        <f t="shared" si="1"/>
        <v>9.6628440366972477</v>
      </c>
      <c r="AM13" s="340"/>
      <c r="AN13" s="46" t="s">
        <v>43</v>
      </c>
      <c r="AO13" s="45">
        <f t="shared" ref="AO13:AT13" si="7">SUM(AO10:AO12)</f>
        <v>3224</v>
      </c>
      <c r="AP13" s="45">
        <f t="shared" si="7"/>
        <v>0</v>
      </c>
      <c r="AQ13" s="45">
        <f t="shared" si="7"/>
        <v>8723</v>
      </c>
      <c r="AR13" s="45">
        <f t="shared" si="7"/>
        <v>0</v>
      </c>
      <c r="AS13" s="45">
        <f t="shared" si="7"/>
        <v>5499</v>
      </c>
      <c r="AT13" s="47">
        <f t="shared" si="7"/>
        <v>3224</v>
      </c>
      <c r="AU13" s="56"/>
      <c r="AW13" s="26" t="str">
        <f>'4'!AW13</f>
        <v>ميت بره</v>
      </c>
      <c r="AX13" s="12">
        <f>'4'!AX13</f>
        <v>8</v>
      </c>
      <c r="AY13" s="12">
        <f>'4'!AY13</f>
        <v>4849</v>
      </c>
      <c r="AZ13" s="12"/>
      <c r="BA13" s="12"/>
      <c r="BB13" s="12">
        <f>BA13+'4'!BB13</f>
        <v>4093</v>
      </c>
      <c r="BC13" s="30">
        <f t="shared" si="2"/>
        <v>0.84409156527118989</v>
      </c>
      <c r="BD13" s="12">
        <f>'4'!BD13</f>
        <v>21</v>
      </c>
      <c r="BE13" s="12">
        <f>'4'!BE13</f>
        <v>1129</v>
      </c>
      <c r="BF13" s="12"/>
      <c r="BG13" s="12"/>
      <c r="BH13" s="12">
        <f>BG13+'4'!BH13</f>
        <v>128</v>
      </c>
      <c r="BI13" s="30">
        <f t="shared" si="3"/>
        <v>0.11337466784765279</v>
      </c>
    </row>
    <row r="14" spans="1:62" ht="41.5" customHeight="1" thickBot="1" x14ac:dyDescent="0.4">
      <c r="A14" s="5">
        <v>4</v>
      </c>
      <c r="B14" s="26" t="str">
        <f>'4'!B14</f>
        <v>أبنــــــــــــــــهس</v>
      </c>
      <c r="C14" s="26">
        <f>'4'!C14</f>
        <v>5029</v>
      </c>
      <c r="D14" s="26"/>
      <c r="E14" s="12"/>
      <c r="F14" s="2">
        <f>E14+'4'!F14</f>
        <v>14</v>
      </c>
      <c r="G14" s="2"/>
      <c r="H14" s="2">
        <f>G14+'4'!H14</f>
        <v>349</v>
      </c>
      <c r="I14" s="2"/>
      <c r="J14" s="2">
        <f>I14+'4'!J14</f>
        <v>2016</v>
      </c>
      <c r="K14" s="2"/>
      <c r="L14" s="2">
        <f>K14+'4'!L14</f>
        <v>0</v>
      </c>
      <c r="M14" s="2"/>
      <c r="N14" s="2">
        <f>M14+'4'!N14</f>
        <v>0</v>
      </c>
      <c r="O14" s="2"/>
      <c r="P14" s="2">
        <f>O14+'4'!P14</f>
        <v>0</v>
      </c>
      <c r="Q14" s="4">
        <f t="shared" si="4"/>
        <v>0</v>
      </c>
      <c r="R14" s="4">
        <f>Q14+'4'!R14</f>
        <v>2379</v>
      </c>
      <c r="S14" s="27">
        <f t="shared" si="5"/>
        <v>0.47305627361304436</v>
      </c>
      <c r="T14" s="12"/>
      <c r="U14" s="12">
        <f>T14+'4'!U14</f>
        <v>341</v>
      </c>
      <c r="V14" s="12"/>
      <c r="W14" s="12">
        <f>V14+'4'!W14</f>
        <v>29</v>
      </c>
      <c r="X14" s="12"/>
      <c r="Y14" s="12">
        <f>X14+'4'!Y14</f>
        <v>0</v>
      </c>
      <c r="AB14" s="5">
        <v>4</v>
      </c>
      <c r="AC14" s="26" t="str">
        <f>'4'!AC14</f>
        <v>أبنــــــــــــــــهس</v>
      </c>
      <c r="AD14" s="28">
        <f>'4'!AI14</f>
        <v>196</v>
      </c>
      <c r="AE14" s="3"/>
      <c r="AF14" s="28">
        <f>AE14+'4'!AF14</f>
        <v>440</v>
      </c>
      <c r="AG14" s="4"/>
      <c r="AH14" s="28">
        <f>AG14+'4'!AH14</f>
        <v>244</v>
      </c>
      <c r="AI14" s="4">
        <f t="shared" si="6"/>
        <v>196</v>
      </c>
      <c r="AJ14" s="11" t="e">
        <f t="shared" si="0"/>
        <v>#DIV/0!</v>
      </c>
      <c r="AK14" s="53">
        <f t="shared" si="1"/>
        <v>9.75</v>
      </c>
      <c r="AM14" s="316" t="s">
        <v>42</v>
      </c>
      <c r="AN14" s="317"/>
      <c r="AO14" s="318"/>
      <c r="AP14" s="319"/>
      <c r="AQ14" s="319"/>
      <c r="AR14" s="319"/>
      <c r="AS14" s="320"/>
      <c r="AT14" s="39">
        <f>AT13+AI51</f>
        <v>6357</v>
      </c>
      <c r="AU14" s="57"/>
      <c r="AW14" s="26" t="str">
        <f>'4'!AW14</f>
        <v>أبنــــــــــــــــهس</v>
      </c>
      <c r="AX14" s="12">
        <f>'4'!AX14</f>
        <v>7</v>
      </c>
      <c r="AY14" s="12">
        <f>'4'!AY14</f>
        <v>2531</v>
      </c>
      <c r="AZ14" s="12"/>
      <c r="BA14" s="12"/>
      <c r="BB14" s="12">
        <f>BA14+'4'!BB14</f>
        <v>2092</v>
      </c>
      <c r="BC14" s="30">
        <f t="shared" si="2"/>
        <v>0.82655077044646386</v>
      </c>
      <c r="BD14" s="12">
        <f>'4'!BD14</f>
        <v>23</v>
      </c>
      <c r="BE14" s="12">
        <f>'4'!BE14</f>
        <v>921</v>
      </c>
      <c r="BF14" s="12"/>
      <c r="BG14" s="12"/>
      <c r="BH14" s="12">
        <f>BG14+'4'!BH14</f>
        <v>287</v>
      </c>
      <c r="BI14" s="30">
        <f t="shared" si="3"/>
        <v>0.31161780673181327</v>
      </c>
    </row>
    <row r="15" spans="1:62" ht="41.5" customHeight="1" x14ac:dyDescent="0.35">
      <c r="A15" s="5">
        <v>5</v>
      </c>
      <c r="B15" s="26" t="str">
        <f>'4'!B15</f>
        <v>ميت ســـــــــراج</v>
      </c>
      <c r="C15" s="26">
        <f>'4'!C15</f>
        <v>2369</v>
      </c>
      <c r="D15" s="26"/>
      <c r="E15" s="12"/>
      <c r="F15" s="2">
        <f>E15+'4'!F15</f>
        <v>4</v>
      </c>
      <c r="G15" s="2"/>
      <c r="H15" s="2">
        <f>G15+'4'!H15</f>
        <v>472</v>
      </c>
      <c r="I15" s="2"/>
      <c r="J15" s="2">
        <f>I15+'4'!J15</f>
        <v>839</v>
      </c>
      <c r="K15" s="2"/>
      <c r="L15" s="2">
        <f>K15+'4'!L15</f>
        <v>0</v>
      </c>
      <c r="M15" s="2"/>
      <c r="N15" s="2">
        <f>M15+'4'!N15</f>
        <v>0</v>
      </c>
      <c r="O15" s="2"/>
      <c r="P15" s="2">
        <f>O15+'4'!P15</f>
        <v>0</v>
      </c>
      <c r="Q15" s="4">
        <f t="shared" si="4"/>
        <v>0</v>
      </c>
      <c r="R15" s="4">
        <f>Q15+'4'!R15</f>
        <v>1315</v>
      </c>
      <c r="S15" s="27">
        <f t="shared" si="5"/>
        <v>0.55508653440270161</v>
      </c>
      <c r="T15" s="12"/>
      <c r="U15" s="12">
        <f>T15+'4'!U15</f>
        <v>105</v>
      </c>
      <c r="V15" s="12"/>
      <c r="W15" s="12">
        <f>V15+'4'!W15</f>
        <v>37</v>
      </c>
      <c r="X15" s="12"/>
      <c r="Y15" s="12">
        <f>X15+'4'!Y15</f>
        <v>0</v>
      </c>
      <c r="AB15" s="5">
        <v>5</v>
      </c>
      <c r="AC15" s="26" t="str">
        <f>'4'!AC15</f>
        <v>ميت ســـــــــراج</v>
      </c>
      <c r="AD15" s="28">
        <f>'4'!AI15</f>
        <v>74</v>
      </c>
      <c r="AE15" s="3"/>
      <c r="AF15" s="28">
        <f>AE15+'4'!AF15</f>
        <v>209</v>
      </c>
      <c r="AG15" s="4"/>
      <c r="AH15" s="28">
        <f>AG15+'4'!AH15</f>
        <v>135</v>
      </c>
      <c r="AI15" s="4">
        <f t="shared" si="6"/>
        <v>74</v>
      </c>
      <c r="AJ15" s="11" t="e">
        <f t="shared" si="0"/>
        <v>#DIV/0!</v>
      </c>
      <c r="AK15" s="53">
        <f t="shared" si="1"/>
        <v>9.7407407407407405</v>
      </c>
      <c r="AW15" s="26" t="str">
        <f>'4'!AW15</f>
        <v>ميت ســـــــــراج</v>
      </c>
      <c r="AX15" s="12">
        <f>'4'!AX15</f>
        <v>2</v>
      </c>
      <c r="AY15" s="12">
        <f>'4'!AY15</f>
        <v>1041</v>
      </c>
      <c r="AZ15" s="12"/>
      <c r="BA15" s="12"/>
      <c r="BB15" s="12">
        <f>BA15+'4'!BB15</f>
        <v>874</v>
      </c>
      <c r="BC15" s="30">
        <f t="shared" si="2"/>
        <v>0.83957732949087416</v>
      </c>
      <c r="BD15" s="12">
        <f>'4'!BD15</f>
        <v>5</v>
      </c>
      <c r="BE15" s="12">
        <f>'4'!BE15</f>
        <v>310</v>
      </c>
      <c r="BF15" s="12"/>
      <c r="BG15" s="12"/>
      <c r="BH15" s="12">
        <f>BG15+'4'!BH15</f>
        <v>385</v>
      </c>
      <c r="BI15" s="30">
        <f t="shared" si="3"/>
        <v>1.2419354838709677</v>
      </c>
    </row>
    <row r="16" spans="1:62" ht="41.5" customHeight="1" x14ac:dyDescent="0.35">
      <c r="A16" s="5">
        <v>6</v>
      </c>
      <c r="B16" s="26" t="str">
        <f>'4'!B16</f>
        <v>أم خــــــــــــــنان</v>
      </c>
      <c r="C16" s="26">
        <f>'4'!C16</f>
        <v>4900</v>
      </c>
      <c r="D16" s="26"/>
      <c r="E16" s="12"/>
      <c r="F16" s="2">
        <f>E16+'4'!F16</f>
        <v>11</v>
      </c>
      <c r="G16" s="2"/>
      <c r="H16" s="2">
        <f>G16+'4'!H16</f>
        <v>280</v>
      </c>
      <c r="I16" s="2"/>
      <c r="J16" s="2">
        <f>I16+'4'!J16</f>
        <v>1942</v>
      </c>
      <c r="K16" s="2"/>
      <c r="L16" s="2">
        <f>K16+'4'!L16</f>
        <v>0</v>
      </c>
      <c r="M16" s="2"/>
      <c r="N16" s="2">
        <f>M16+'4'!N16</f>
        <v>0</v>
      </c>
      <c r="O16" s="2"/>
      <c r="P16" s="2">
        <f>O16+'4'!P16</f>
        <v>0</v>
      </c>
      <c r="Q16" s="4">
        <f t="shared" si="4"/>
        <v>0</v>
      </c>
      <c r="R16" s="4">
        <f>Q16+'4'!R16</f>
        <v>2233</v>
      </c>
      <c r="S16" s="27">
        <f t="shared" si="5"/>
        <v>0.45571428571428574</v>
      </c>
      <c r="T16" s="12"/>
      <c r="U16" s="12">
        <f>T16+'4'!U16</f>
        <v>375</v>
      </c>
      <c r="V16" s="12"/>
      <c r="W16" s="12">
        <f>V16+'4'!W16</f>
        <v>0</v>
      </c>
      <c r="X16" s="12"/>
      <c r="Y16" s="12">
        <f>X16+'4'!Y16</f>
        <v>0</v>
      </c>
      <c r="AB16" s="5">
        <v>6</v>
      </c>
      <c r="AC16" s="26" t="str">
        <f>'4'!AC16</f>
        <v>أم خــــــــــــــنان</v>
      </c>
      <c r="AD16" s="28">
        <f>'4'!AI16</f>
        <v>204</v>
      </c>
      <c r="AE16" s="3"/>
      <c r="AF16" s="28">
        <f>AE16+'4'!AF16</f>
        <v>430</v>
      </c>
      <c r="AG16" s="4"/>
      <c r="AH16" s="28">
        <f>AG16+'4'!AH16</f>
        <v>226</v>
      </c>
      <c r="AI16" s="4">
        <f t="shared" si="6"/>
        <v>204</v>
      </c>
      <c r="AJ16" s="11" t="e">
        <f t="shared" si="0"/>
        <v>#DIV/0!</v>
      </c>
      <c r="AK16" s="53">
        <f t="shared" si="1"/>
        <v>9.8805309734513269</v>
      </c>
      <c r="AW16" s="26" t="str">
        <f>'4'!AW16</f>
        <v>أم خــــــــــــــنان</v>
      </c>
      <c r="AX16" s="12">
        <f>'4'!AX16</f>
        <v>8</v>
      </c>
      <c r="AY16" s="12">
        <f>'4'!AY16</f>
        <v>2981</v>
      </c>
      <c r="AZ16" s="12"/>
      <c r="BA16" s="12"/>
      <c r="BB16" s="12">
        <f>BA16+'4'!BB16</f>
        <v>2132</v>
      </c>
      <c r="BC16" s="30">
        <f t="shared" si="2"/>
        <v>0.71519624287151962</v>
      </c>
      <c r="BD16" s="12">
        <f>'4'!BD16</f>
        <v>12</v>
      </c>
      <c r="BE16" s="12">
        <f>'4'!BE16</f>
        <v>1313</v>
      </c>
      <c r="BF16" s="12"/>
      <c r="BG16" s="12"/>
      <c r="BH16" s="12">
        <f>BG16+'4'!BH16</f>
        <v>0</v>
      </c>
      <c r="BI16" s="30">
        <f t="shared" si="3"/>
        <v>0</v>
      </c>
    </row>
    <row r="17" spans="1:61" ht="41.5" customHeight="1" x14ac:dyDescent="0.35">
      <c r="A17" s="5">
        <v>7</v>
      </c>
      <c r="B17" s="26" t="str">
        <f>'4'!B17</f>
        <v>أجهور الرمل</v>
      </c>
      <c r="C17" s="26">
        <f>'4'!C17</f>
        <v>3590</v>
      </c>
      <c r="D17" s="26"/>
      <c r="E17" s="12"/>
      <c r="F17" s="2">
        <f>E17+'4'!F17</f>
        <v>17</v>
      </c>
      <c r="G17" s="2"/>
      <c r="H17" s="2">
        <f>G17+'4'!H17</f>
        <v>591</v>
      </c>
      <c r="I17" s="2"/>
      <c r="J17" s="2">
        <f>I17+'4'!J17</f>
        <v>1489</v>
      </c>
      <c r="K17" s="2"/>
      <c r="L17" s="2">
        <f>K17+'4'!L17</f>
        <v>0</v>
      </c>
      <c r="M17" s="2"/>
      <c r="N17" s="2">
        <f>M17+'4'!N17</f>
        <v>0</v>
      </c>
      <c r="O17" s="2"/>
      <c r="P17" s="2">
        <f>O17+'4'!P17</f>
        <v>0</v>
      </c>
      <c r="Q17" s="4">
        <f t="shared" si="4"/>
        <v>0</v>
      </c>
      <c r="R17" s="4">
        <f>Q17+'4'!R17</f>
        <v>2097</v>
      </c>
      <c r="S17" s="27">
        <f t="shared" si="5"/>
        <v>0.58412256267409468</v>
      </c>
      <c r="T17" s="12"/>
      <c r="U17" s="12">
        <f>T17+'4'!U17</f>
        <v>360</v>
      </c>
      <c r="V17" s="12"/>
      <c r="W17" s="12">
        <f>V17+'4'!W17</f>
        <v>121</v>
      </c>
      <c r="X17" s="12"/>
      <c r="Y17" s="12">
        <f>X17+'4'!Y17</f>
        <v>0</v>
      </c>
      <c r="AB17" s="5">
        <v>7</v>
      </c>
      <c r="AC17" s="26" t="str">
        <f>'4'!AC17</f>
        <v>أجهور الرمل</v>
      </c>
      <c r="AD17" s="28">
        <f>'4'!AI17</f>
        <v>100</v>
      </c>
      <c r="AE17" s="3"/>
      <c r="AF17" s="28">
        <f>AE17+'4'!AF17</f>
        <v>316</v>
      </c>
      <c r="AG17" s="4"/>
      <c r="AH17" s="28">
        <f>AG17+'4'!AH17</f>
        <v>216</v>
      </c>
      <c r="AI17" s="4">
        <f t="shared" si="6"/>
        <v>100</v>
      </c>
      <c r="AJ17" s="11" t="e">
        <f t="shared" si="0"/>
        <v>#DIV/0!</v>
      </c>
      <c r="AK17" s="53">
        <f t="shared" si="1"/>
        <v>9.7083333333333339</v>
      </c>
      <c r="AW17" s="26" t="str">
        <f>'4'!AW17</f>
        <v>أجهور الرمل</v>
      </c>
      <c r="AX17" s="12">
        <f>'4'!AX17</f>
        <v>4</v>
      </c>
      <c r="AY17" s="12">
        <f>'4'!AY17</f>
        <v>1796</v>
      </c>
      <c r="AZ17" s="12"/>
      <c r="BA17" s="12"/>
      <c r="BB17" s="12">
        <f>BA17+'4'!BB17</f>
        <v>1422</v>
      </c>
      <c r="BC17" s="30">
        <f t="shared" si="2"/>
        <v>0.79175946547884191</v>
      </c>
      <c r="BD17" s="12">
        <f>'4'!BD17</f>
        <v>3</v>
      </c>
      <c r="BE17" s="12">
        <f>'4'!BE17</f>
        <v>100</v>
      </c>
      <c r="BF17" s="12"/>
      <c r="BG17" s="12"/>
      <c r="BH17" s="12">
        <f>BG17+'4'!BH17</f>
        <v>441</v>
      </c>
      <c r="BI17" s="30">
        <f t="shared" si="3"/>
        <v>4.41</v>
      </c>
    </row>
    <row r="18" spans="1:61" ht="41.5" customHeight="1" x14ac:dyDescent="0.35">
      <c r="A18" s="5">
        <v>8</v>
      </c>
      <c r="B18" s="26" t="str">
        <f>'4'!B18</f>
        <v>منشأة دمــــــــــلو</v>
      </c>
      <c r="C18" s="26">
        <f>'4'!C18</f>
        <v>1320</v>
      </c>
      <c r="D18" s="26"/>
      <c r="E18" s="12"/>
      <c r="F18" s="2">
        <f>E18+'4'!F18</f>
        <v>18</v>
      </c>
      <c r="G18" s="2"/>
      <c r="H18" s="2">
        <f>G18+'4'!H18</f>
        <v>528</v>
      </c>
      <c r="I18" s="2"/>
      <c r="J18" s="2">
        <f>I18+'4'!J18</f>
        <v>704</v>
      </c>
      <c r="K18" s="2"/>
      <c r="L18" s="2">
        <f>K18+'4'!L18</f>
        <v>0</v>
      </c>
      <c r="M18" s="2"/>
      <c r="N18" s="2">
        <f>M18+'4'!N18</f>
        <v>0</v>
      </c>
      <c r="O18" s="2"/>
      <c r="P18" s="2">
        <f>O18+'4'!P18</f>
        <v>0</v>
      </c>
      <c r="Q18" s="4">
        <f t="shared" si="4"/>
        <v>0</v>
      </c>
      <c r="R18" s="4">
        <f>Q18+'4'!R18</f>
        <v>1250</v>
      </c>
      <c r="S18" s="27">
        <f t="shared" si="5"/>
        <v>0.94696969696969702</v>
      </c>
      <c r="T18" s="12"/>
      <c r="U18" s="12">
        <f>T18+'4'!U18</f>
        <v>175</v>
      </c>
      <c r="V18" s="12"/>
      <c r="W18" s="12">
        <f>V18+'4'!W18</f>
        <v>38</v>
      </c>
      <c r="X18" s="12"/>
      <c r="Y18" s="12">
        <f>X18+'4'!Y18</f>
        <v>0</v>
      </c>
      <c r="AB18" s="5">
        <v>8</v>
      </c>
      <c r="AC18" s="26" t="str">
        <f>'4'!AC18</f>
        <v>منشأة دمــــــــــلو</v>
      </c>
      <c r="AD18" s="28">
        <f>'4'!AI18</f>
        <v>4</v>
      </c>
      <c r="AE18" s="3"/>
      <c r="AF18" s="28">
        <f>AE18+'4'!AF18</f>
        <v>135</v>
      </c>
      <c r="AG18" s="4"/>
      <c r="AH18" s="28">
        <f>AG18+'4'!AH18</f>
        <v>131</v>
      </c>
      <c r="AI18" s="4">
        <f t="shared" si="6"/>
        <v>4</v>
      </c>
      <c r="AJ18" s="11" t="e">
        <f t="shared" si="0"/>
        <v>#DIV/0!</v>
      </c>
      <c r="AK18" s="53">
        <f t="shared" si="1"/>
        <v>9.5419847328244281</v>
      </c>
      <c r="AW18" s="26" t="str">
        <f>'4'!AW18</f>
        <v>منشأة دمــــــــــلو</v>
      </c>
      <c r="AX18" s="12">
        <f>'4'!AX18</f>
        <v>2</v>
      </c>
      <c r="AY18" s="12">
        <f>'4'!AY18</f>
        <v>896</v>
      </c>
      <c r="AZ18" s="12"/>
      <c r="BA18" s="12"/>
      <c r="BB18" s="12">
        <f>BA18+'4'!BB18</f>
        <v>748</v>
      </c>
      <c r="BC18" s="30">
        <f t="shared" si="2"/>
        <v>0.8348214285714286</v>
      </c>
      <c r="BD18" s="12">
        <f>'4'!BD18</f>
        <v>8</v>
      </c>
      <c r="BE18" s="12">
        <f>'4'!BE18</f>
        <v>340</v>
      </c>
      <c r="BF18" s="12"/>
      <c r="BG18" s="12"/>
      <c r="BH18" s="12">
        <f>BG18+'4'!BH18</f>
        <v>328</v>
      </c>
      <c r="BI18" s="30">
        <f t="shared" si="3"/>
        <v>0.96470588235294119</v>
      </c>
    </row>
    <row r="19" spans="1:61" ht="41.5" customHeight="1" x14ac:dyDescent="0.35">
      <c r="A19" s="5">
        <v>9</v>
      </c>
      <c r="B19" s="26" t="str">
        <f>'4'!B19</f>
        <v>شـــــــــــــرانيس</v>
      </c>
      <c r="C19" s="26">
        <f>'4'!C19</f>
        <v>1414</v>
      </c>
      <c r="D19" s="26"/>
      <c r="E19" s="12"/>
      <c r="F19" s="2">
        <f>E19+'4'!F19</f>
        <v>11</v>
      </c>
      <c r="G19" s="2"/>
      <c r="H19" s="2">
        <f>G19+'4'!H19</f>
        <v>359</v>
      </c>
      <c r="I19" s="2"/>
      <c r="J19" s="2">
        <f>I19+'4'!J19</f>
        <v>618</v>
      </c>
      <c r="K19" s="2"/>
      <c r="L19" s="2">
        <f>K19+'4'!L19</f>
        <v>0</v>
      </c>
      <c r="M19" s="2"/>
      <c r="N19" s="2">
        <f>M19+'4'!N19</f>
        <v>0</v>
      </c>
      <c r="O19" s="2"/>
      <c r="P19" s="2">
        <f>O19+'4'!P19</f>
        <v>0</v>
      </c>
      <c r="Q19" s="4">
        <f t="shared" si="4"/>
        <v>0</v>
      </c>
      <c r="R19" s="4">
        <f>Q19+'4'!R19</f>
        <v>988</v>
      </c>
      <c r="S19" s="27">
        <f t="shared" si="5"/>
        <v>0.69872701555869876</v>
      </c>
      <c r="T19" s="12"/>
      <c r="U19" s="12">
        <f>T19+'4'!U19</f>
        <v>143</v>
      </c>
      <c r="V19" s="12"/>
      <c r="W19" s="12">
        <f>V19+'4'!W19</f>
        <v>0</v>
      </c>
      <c r="X19" s="12"/>
      <c r="Y19" s="12">
        <f>X19+'4'!Y19</f>
        <v>0</v>
      </c>
      <c r="AB19" s="5">
        <v>9</v>
      </c>
      <c r="AC19" s="26" t="str">
        <f>'4'!AC19</f>
        <v>شـــــــــــــرانيس</v>
      </c>
      <c r="AD19" s="28">
        <f>'4'!AI19</f>
        <v>22</v>
      </c>
      <c r="AE19" s="3"/>
      <c r="AF19" s="28">
        <f>AE19+'4'!AF19</f>
        <v>125</v>
      </c>
      <c r="AG19" s="4"/>
      <c r="AH19" s="28">
        <f>AG19+'4'!AH19</f>
        <v>103</v>
      </c>
      <c r="AI19" s="4">
        <f t="shared" si="6"/>
        <v>22</v>
      </c>
      <c r="AJ19" s="11" t="e">
        <f t="shared" si="0"/>
        <v>#DIV/0!</v>
      </c>
      <c r="AK19" s="53">
        <f t="shared" si="1"/>
        <v>9.5922330097087372</v>
      </c>
      <c r="AW19" s="26" t="str">
        <f>'4'!AW19</f>
        <v>شـــــــــــــرانيس</v>
      </c>
      <c r="AX19" s="12">
        <f>'4'!AX19</f>
        <v>2</v>
      </c>
      <c r="AY19" s="12">
        <f>'4'!AY19</f>
        <v>675</v>
      </c>
      <c r="AZ19" s="12"/>
      <c r="BA19" s="12"/>
      <c r="BB19" s="12">
        <f>BA19+'4'!BB19</f>
        <v>569</v>
      </c>
      <c r="BC19" s="30">
        <f t="shared" si="2"/>
        <v>0.84296296296296291</v>
      </c>
      <c r="BD19" s="12">
        <f>'4'!BD19</f>
        <v>2</v>
      </c>
      <c r="BE19" s="12">
        <f>'4'!BE19</f>
        <v>397</v>
      </c>
      <c r="BF19" s="12"/>
      <c r="BG19" s="12"/>
      <c r="BH19" s="12">
        <f>BG19+'4'!BH19</f>
        <v>349</v>
      </c>
      <c r="BI19" s="30">
        <f t="shared" si="3"/>
        <v>0.87909319899244331</v>
      </c>
    </row>
    <row r="20" spans="1:61" ht="41.5" customHeight="1" x14ac:dyDescent="0.35">
      <c r="A20" s="5">
        <v>10</v>
      </c>
      <c r="B20" s="26" t="str">
        <f>'4'!B20</f>
        <v>قويســـــــــنا البلد</v>
      </c>
      <c r="C20" s="26">
        <f>'4'!C20</f>
        <v>4115</v>
      </c>
      <c r="D20" s="26"/>
      <c r="E20" s="12"/>
      <c r="F20" s="2">
        <f>E20+'4'!F20</f>
        <v>27</v>
      </c>
      <c r="G20" s="2"/>
      <c r="H20" s="2">
        <f>G20+'4'!H20</f>
        <v>406</v>
      </c>
      <c r="I20" s="2"/>
      <c r="J20" s="2">
        <f>I20+'4'!J20</f>
        <v>1286</v>
      </c>
      <c r="K20" s="2"/>
      <c r="L20" s="2">
        <f>K20+'4'!L20</f>
        <v>0</v>
      </c>
      <c r="M20" s="2"/>
      <c r="N20" s="2">
        <f>M20+'4'!N20</f>
        <v>0</v>
      </c>
      <c r="O20" s="2"/>
      <c r="P20" s="2">
        <f>O20+'4'!P20</f>
        <v>0</v>
      </c>
      <c r="Q20" s="4">
        <f t="shared" si="4"/>
        <v>0</v>
      </c>
      <c r="R20" s="4">
        <f>Q20+'4'!R20</f>
        <v>1719</v>
      </c>
      <c r="S20" s="27">
        <f t="shared" si="5"/>
        <v>0.41773997569866345</v>
      </c>
      <c r="T20" s="12"/>
      <c r="U20" s="12">
        <f>T20+'4'!U20</f>
        <v>405</v>
      </c>
      <c r="V20" s="12"/>
      <c r="W20" s="12">
        <f>V20+'4'!W20</f>
        <v>144</v>
      </c>
      <c r="X20" s="12"/>
      <c r="Y20" s="12">
        <f>X20+'4'!Y20</f>
        <v>0</v>
      </c>
      <c r="AB20" s="5">
        <v>10</v>
      </c>
      <c r="AC20" s="26" t="str">
        <f>'4'!AC20</f>
        <v>قويســـــــــنا البلد</v>
      </c>
      <c r="AD20" s="28">
        <f>'4'!AI20</f>
        <v>185</v>
      </c>
      <c r="AE20" s="3"/>
      <c r="AF20" s="28">
        <f>AE20+'4'!AF20</f>
        <v>360</v>
      </c>
      <c r="AG20" s="4"/>
      <c r="AH20" s="28">
        <f>AG20+'4'!AH20</f>
        <v>175</v>
      </c>
      <c r="AI20" s="4">
        <f t="shared" si="6"/>
        <v>185</v>
      </c>
      <c r="AJ20" s="11" t="e">
        <f t="shared" si="0"/>
        <v>#DIV/0!</v>
      </c>
      <c r="AK20" s="53">
        <f t="shared" si="1"/>
        <v>9.8228571428571421</v>
      </c>
      <c r="AW20" s="26" t="str">
        <f>'4'!AW20</f>
        <v>قويســـــــــنا البلد</v>
      </c>
      <c r="AX20" s="12">
        <f>'4'!AX20</f>
        <v>2</v>
      </c>
      <c r="AY20" s="12">
        <f>'4'!AY20</f>
        <v>1539</v>
      </c>
      <c r="AZ20" s="12"/>
      <c r="BA20" s="12"/>
      <c r="BB20" s="12">
        <f>BA20+'4'!BB20</f>
        <v>1355</v>
      </c>
      <c r="BC20" s="30">
        <f t="shared" si="2"/>
        <v>0.88044184535412606</v>
      </c>
      <c r="BD20" s="12">
        <f>'4'!BD20</f>
        <v>7</v>
      </c>
      <c r="BE20" s="12">
        <f>'4'!BE20</f>
        <v>580</v>
      </c>
      <c r="BF20" s="12"/>
      <c r="BG20" s="12"/>
      <c r="BH20" s="12">
        <f>BG20+'4'!BH20</f>
        <v>204</v>
      </c>
      <c r="BI20" s="30">
        <f t="shared" si="3"/>
        <v>0.35172413793103446</v>
      </c>
    </row>
    <row r="21" spans="1:61" ht="41.5" customHeight="1" x14ac:dyDescent="0.35">
      <c r="A21" s="5">
        <v>11</v>
      </c>
      <c r="B21" s="26" t="str">
        <f>'4'!B21</f>
        <v>بجيرم</v>
      </c>
      <c r="C21" s="26">
        <f>'4'!C21</f>
        <v>1782</v>
      </c>
      <c r="D21" s="26"/>
      <c r="E21" s="12"/>
      <c r="F21" s="2">
        <f>E21+'4'!F21</f>
        <v>8</v>
      </c>
      <c r="G21" s="2"/>
      <c r="H21" s="2">
        <f>G21+'4'!H21</f>
        <v>406</v>
      </c>
      <c r="I21" s="2"/>
      <c r="J21" s="2">
        <f>I21+'4'!J21</f>
        <v>755</v>
      </c>
      <c r="K21" s="2"/>
      <c r="L21" s="2">
        <f>K21+'4'!L21</f>
        <v>0</v>
      </c>
      <c r="M21" s="2"/>
      <c r="N21" s="2">
        <f>M21+'4'!N21</f>
        <v>0</v>
      </c>
      <c r="O21" s="2"/>
      <c r="P21" s="2">
        <f>O21+'4'!P21</f>
        <v>0</v>
      </c>
      <c r="Q21" s="4">
        <f t="shared" si="4"/>
        <v>0</v>
      </c>
      <c r="R21" s="4">
        <f>Q21+'4'!R21</f>
        <v>1169</v>
      </c>
      <c r="S21" s="27">
        <f t="shared" si="5"/>
        <v>0.65600448933782263</v>
      </c>
      <c r="T21" s="12"/>
      <c r="U21" s="12">
        <f>T21+'4'!U21</f>
        <v>126</v>
      </c>
      <c r="V21" s="12"/>
      <c r="W21" s="12">
        <f>V21+'4'!W21</f>
        <v>44</v>
      </c>
      <c r="X21" s="12"/>
      <c r="Y21" s="12">
        <f>X21+'4'!Y21</f>
        <v>0</v>
      </c>
      <c r="AB21" s="5">
        <v>11</v>
      </c>
      <c r="AC21" s="26" t="str">
        <f>'4'!AC21</f>
        <v>بجيرم</v>
      </c>
      <c r="AD21" s="28">
        <f>'4'!AI21</f>
        <v>37</v>
      </c>
      <c r="AE21" s="3"/>
      <c r="AF21" s="28">
        <f>AE21+'4'!AF21</f>
        <v>157</v>
      </c>
      <c r="AG21" s="4"/>
      <c r="AH21" s="28">
        <f>AG21+'4'!AH21</f>
        <v>120</v>
      </c>
      <c r="AI21" s="4">
        <f t="shared" si="6"/>
        <v>37</v>
      </c>
      <c r="AJ21" s="11" t="e">
        <f t="shared" si="0"/>
        <v>#DIV/0!</v>
      </c>
      <c r="AK21" s="53">
        <f t="shared" si="1"/>
        <v>9.7416666666666671</v>
      </c>
      <c r="AW21" s="26" t="str">
        <f>'4'!AW21</f>
        <v>بجيرم</v>
      </c>
      <c r="AX21" s="12">
        <f>'4'!AX21</f>
        <v>4</v>
      </c>
      <c r="AY21" s="12">
        <f>'4'!AY21</f>
        <v>946</v>
      </c>
      <c r="AZ21" s="12"/>
      <c r="BA21" s="12"/>
      <c r="BB21" s="12">
        <f>BA21+'4'!BB21</f>
        <v>823</v>
      </c>
      <c r="BC21" s="30">
        <f t="shared" si="2"/>
        <v>0.86997885835095135</v>
      </c>
      <c r="BD21" s="12">
        <f>'4'!BD21</f>
        <v>4</v>
      </c>
      <c r="BE21" s="12">
        <f>'4'!BE21</f>
        <v>99</v>
      </c>
      <c r="BF21" s="12"/>
      <c r="BG21" s="12"/>
      <c r="BH21" s="12">
        <f>BG21+'4'!BH21</f>
        <v>99</v>
      </c>
      <c r="BI21" s="30">
        <f t="shared" si="3"/>
        <v>1</v>
      </c>
    </row>
    <row r="22" spans="1:61" ht="30" customHeight="1" x14ac:dyDescent="0.35">
      <c r="A22" s="5">
        <v>12</v>
      </c>
      <c r="B22" s="26" t="str">
        <f>'4'!B22</f>
        <v>كفر بنى غريـــان</v>
      </c>
      <c r="C22" s="26">
        <f>'4'!C22</f>
        <v>2184</v>
      </c>
      <c r="D22" s="26"/>
      <c r="E22" s="12"/>
      <c r="F22" s="2">
        <f>E22+'4'!F22</f>
        <v>12</v>
      </c>
      <c r="G22" s="2"/>
      <c r="H22" s="2">
        <f>G22+'4'!H22</f>
        <v>471</v>
      </c>
      <c r="I22" s="2"/>
      <c r="J22" s="2">
        <f>I22+'4'!J22</f>
        <v>971</v>
      </c>
      <c r="K22" s="2"/>
      <c r="L22" s="2">
        <f>K22+'4'!L22</f>
        <v>0</v>
      </c>
      <c r="M22" s="2"/>
      <c r="N22" s="2">
        <f>M22+'4'!N22</f>
        <v>0</v>
      </c>
      <c r="O22" s="2"/>
      <c r="P22" s="2">
        <f>O22+'4'!P22</f>
        <v>0</v>
      </c>
      <c r="Q22" s="4">
        <f t="shared" si="4"/>
        <v>0</v>
      </c>
      <c r="R22" s="4">
        <f>Q22+'4'!R22</f>
        <v>1454</v>
      </c>
      <c r="S22" s="27">
        <f t="shared" si="5"/>
        <v>0.66575091575091572</v>
      </c>
      <c r="T22" s="12"/>
      <c r="U22" s="12">
        <f>T22+'4'!U22</f>
        <v>174</v>
      </c>
      <c r="V22" s="12"/>
      <c r="W22" s="12">
        <f>V22+'4'!W22</f>
        <v>7</v>
      </c>
      <c r="X22" s="12"/>
      <c r="Y22" s="12">
        <f>X22+'4'!Y22</f>
        <v>0</v>
      </c>
      <c r="AB22" s="5">
        <v>12</v>
      </c>
      <c r="AC22" s="26" t="str">
        <f>'4'!AC22</f>
        <v>كفر بنى غريـــان</v>
      </c>
      <c r="AD22" s="28">
        <f>'4'!AI22</f>
        <v>42</v>
      </c>
      <c r="AE22" s="3"/>
      <c r="AF22" s="28">
        <f>AE22+'4'!AF22</f>
        <v>192</v>
      </c>
      <c r="AG22" s="4"/>
      <c r="AH22" s="28">
        <f>AG22+'4'!AH22</f>
        <v>150</v>
      </c>
      <c r="AI22" s="4">
        <f t="shared" si="6"/>
        <v>42</v>
      </c>
      <c r="AJ22" s="11" t="e">
        <f t="shared" si="0"/>
        <v>#DIV/0!</v>
      </c>
      <c r="AK22" s="53">
        <f t="shared" si="1"/>
        <v>9.6933333333333334</v>
      </c>
      <c r="AW22" s="26" t="str">
        <f>'4'!AW22</f>
        <v>كفر بنى غريـــان</v>
      </c>
      <c r="AX22" s="12">
        <f>'4'!AX22</f>
        <v>3</v>
      </c>
      <c r="AY22" s="12">
        <f>'4'!AY22</f>
        <v>1327</v>
      </c>
      <c r="AZ22" s="12"/>
      <c r="BA22" s="12"/>
      <c r="BB22" s="12">
        <f>BA22+'4'!BB22</f>
        <v>994</v>
      </c>
      <c r="BC22" s="30">
        <f t="shared" si="2"/>
        <v>0.74905802562170309</v>
      </c>
      <c r="BD22" s="12">
        <f>'4'!BD22</f>
        <v>9</v>
      </c>
      <c r="BE22" s="12">
        <f>'4'!BE22</f>
        <v>381</v>
      </c>
      <c r="BF22" s="12"/>
      <c r="BG22" s="12"/>
      <c r="BH22" s="12">
        <f>BG22+'4'!BH22</f>
        <v>387</v>
      </c>
      <c r="BI22" s="30">
        <f t="shared" si="3"/>
        <v>1.015748031496063</v>
      </c>
    </row>
    <row r="23" spans="1:61" ht="30" customHeight="1" x14ac:dyDescent="0.35">
      <c r="A23" s="5">
        <v>13</v>
      </c>
      <c r="B23" s="26" t="str">
        <f>'4'!B23</f>
        <v>بــقســـــــــــــــــا</v>
      </c>
      <c r="C23" s="26">
        <f>'4'!C23</f>
        <v>862</v>
      </c>
      <c r="D23" s="26"/>
      <c r="E23" s="12"/>
      <c r="F23" s="2">
        <f>E23+'4'!F23</f>
        <v>8</v>
      </c>
      <c r="G23" s="2"/>
      <c r="H23" s="2">
        <f>G23+'4'!H23</f>
        <v>160</v>
      </c>
      <c r="I23" s="2"/>
      <c r="J23" s="2">
        <f>I23+'4'!J23</f>
        <v>359</v>
      </c>
      <c r="K23" s="2"/>
      <c r="L23" s="2">
        <f>K23+'4'!L23</f>
        <v>0</v>
      </c>
      <c r="M23" s="2"/>
      <c r="N23" s="2">
        <f>M23+'4'!N23</f>
        <v>0</v>
      </c>
      <c r="O23" s="2"/>
      <c r="P23" s="2">
        <f>O23+'4'!P23</f>
        <v>0</v>
      </c>
      <c r="Q23" s="4">
        <f t="shared" si="4"/>
        <v>0</v>
      </c>
      <c r="R23" s="4">
        <f>Q23+'4'!R23</f>
        <v>527</v>
      </c>
      <c r="S23" s="27">
        <f t="shared" si="5"/>
        <v>0.61136890951276102</v>
      </c>
      <c r="T23" s="12"/>
      <c r="U23" s="12">
        <f>T23+'4'!U23</f>
        <v>36</v>
      </c>
      <c r="V23" s="12"/>
      <c r="W23" s="12">
        <f>V23+'4'!W23</f>
        <v>14</v>
      </c>
      <c r="X23" s="12"/>
      <c r="Y23" s="12">
        <f>X23+'4'!Y23</f>
        <v>0</v>
      </c>
      <c r="AB23" s="5">
        <v>13</v>
      </c>
      <c r="AC23" s="26" t="str">
        <f>'4'!AC23</f>
        <v>بــقســـــــــــــــــا</v>
      </c>
      <c r="AD23" s="28">
        <f>'4'!AI23</f>
        <v>22</v>
      </c>
      <c r="AE23" s="3"/>
      <c r="AF23" s="28">
        <f>AE23+'4'!AF23</f>
        <v>75</v>
      </c>
      <c r="AG23" s="4"/>
      <c r="AH23" s="28">
        <f>AG23+'4'!AH23</f>
        <v>53</v>
      </c>
      <c r="AI23" s="4">
        <f t="shared" si="6"/>
        <v>22</v>
      </c>
      <c r="AJ23" s="11" t="e">
        <f t="shared" si="0"/>
        <v>#DIV/0!</v>
      </c>
      <c r="AK23" s="53">
        <f t="shared" si="1"/>
        <v>9.9433962264150946</v>
      </c>
      <c r="AW23" s="26" t="str">
        <f>'4'!AW23</f>
        <v>بــقســـــــــــــــــا</v>
      </c>
      <c r="AX23" s="12">
        <f>'4'!AX23</f>
        <v>1</v>
      </c>
      <c r="AY23" s="12">
        <f>'4'!AY23</f>
        <v>311</v>
      </c>
      <c r="AZ23" s="12"/>
      <c r="BA23" s="12"/>
      <c r="BB23" s="12">
        <f>BA23+'4'!BB23</f>
        <v>297</v>
      </c>
      <c r="BC23" s="30">
        <f t="shared" si="2"/>
        <v>0.954983922829582</v>
      </c>
      <c r="BD23" s="12">
        <f>'4'!BD23</f>
        <v>1</v>
      </c>
      <c r="BE23" s="12">
        <f>'4'!BE23</f>
        <v>40</v>
      </c>
      <c r="BF23" s="12"/>
      <c r="BG23" s="12"/>
      <c r="BH23" s="12">
        <f>BG23+'4'!BH23</f>
        <v>30</v>
      </c>
      <c r="BI23" s="30">
        <f t="shared" si="3"/>
        <v>0.75</v>
      </c>
    </row>
    <row r="24" spans="1:61" ht="37.15" customHeight="1" x14ac:dyDescent="0.35">
      <c r="A24" s="5">
        <v>14</v>
      </c>
      <c r="B24" s="26" t="str">
        <f>'4'!B24</f>
        <v>كفــــــــر الأكرم</v>
      </c>
      <c r="C24" s="26">
        <f>'4'!C24</f>
        <v>918</v>
      </c>
      <c r="D24" s="26"/>
      <c r="E24" s="12"/>
      <c r="F24" s="2">
        <f>E24+'4'!F24</f>
        <v>3</v>
      </c>
      <c r="G24" s="2"/>
      <c r="H24" s="2">
        <f>G24+'4'!H24</f>
        <v>233</v>
      </c>
      <c r="I24" s="2"/>
      <c r="J24" s="2">
        <f>I24+'4'!J24</f>
        <v>392</v>
      </c>
      <c r="K24" s="2"/>
      <c r="L24" s="2">
        <f>K24+'4'!L24</f>
        <v>0</v>
      </c>
      <c r="M24" s="2"/>
      <c r="N24" s="2">
        <f>M24+'4'!N24</f>
        <v>0</v>
      </c>
      <c r="O24" s="2"/>
      <c r="P24" s="2">
        <f>O24+'4'!P24</f>
        <v>0</v>
      </c>
      <c r="Q24" s="4">
        <f t="shared" si="4"/>
        <v>0</v>
      </c>
      <c r="R24" s="4">
        <f>Q24+'4'!R24</f>
        <v>628</v>
      </c>
      <c r="S24" s="27">
        <f t="shared" si="5"/>
        <v>0.68409586056644878</v>
      </c>
      <c r="T24" s="12"/>
      <c r="U24" s="12">
        <f>T24+'4'!U24</f>
        <v>87</v>
      </c>
      <c r="V24" s="12"/>
      <c r="W24" s="12">
        <f>V24+'4'!W24</f>
        <v>9</v>
      </c>
      <c r="X24" s="12"/>
      <c r="Y24" s="12">
        <f>X24+'4'!Y24</f>
        <v>0</v>
      </c>
      <c r="AB24" s="5">
        <v>14</v>
      </c>
      <c r="AC24" s="26" t="str">
        <f>'4'!AC24</f>
        <v>كفــــــــر الأكرم</v>
      </c>
      <c r="AD24" s="28">
        <f>'4'!AI24</f>
        <v>15</v>
      </c>
      <c r="AE24" s="3"/>
      <c r="AF24" s="28">
        <f>AE24+'4'!AF24</f>
        <v>80</v>
      </c>
      <c r="AG24" s="4"/>
      <c r="AH24" s="28">
        <f>AG24+'4'!AH24</f>
        <v>65</v>
      </c>
      <c r="AI24" s="4">
        <f t="shared" si="6"/>
        <v>15</v>
      </c>
      <c r="AJ24" s="11" t="e">
        <f t="shared" si="0"/>
        <v>#DIV/0!</v>
      </c>
      <c r="AK24" s="53">
        <f t="shared" si="1"/>
        <v>9.661538461538461</v>
      </c>
      <c r="AW24" s="26" t="str">
        <f>'4'!AW24</f>
        <v>كفــــــــر الأكرم</v>
      </c>
      <c r="AX24" s="12">
        <f>'4'!AX24</f>
        <v>2</v>
      </c>
      <c r="AY24" s="12">
        <f>'4'!AY24</f>
        <v>540</v>
      </c>
      <c r="AZ24" s="12"/>
      <c r="BA24" s="12"/>
      <c r="BB24" s="12">
        <f>BA24+'4'!BB24</f>
        <v>380</v>
      </c>
      <c r="BC24" s="30">
        <f t="shared" si="2"/>
        <v>0.70370370370370372</v>
      </c>
      <c r="BD24" s="12">
        <f>'4'!BD24</f>
        <v>2</v>
      </c>
      <c r="BE24" s="12">
        <f>'4'!BE24</f>
        <v>115</v>
      </c>
      <c r="BF24" s="12"/>
      <c r="BG24" s="12"/>
      <c r="BH24" s="12">
        <f>BG24+'4'!BH24</f>
        <v>160</v>
      </c>
      <c r="BI24" s="30">
        <f t="shared" si="3"/>
        <v>1.3913043478260869</v>
      </c>
    </row>
    <row r="25" spans="1:61" ht="28.9" customHeight="1" x14ac:dyDescent="0.35">
      <c r="A25" s="5">
        <v>15</v>
      </c>
      <c r="B25" s="26" t="str">
        <f>'4'!B25</f>
        <v>كفـــــــــر إبنهس</v>
      </c>
      <c r="C25" s="26">
        <f>'4'!C25</f>
        <v>2072</v>
      </c>
      <c r="D25" s="26"/>
      <c r="E25" s="12"/>
      <c r="F25" s="2">
        <f>E25+'4'!F25</f>
        <v>6</v>
      </c>
      <c r="G25" s="2"/>
      <c r="H25" s="2">
        <f>G25+'4'!H25</f>
        <v>345</v>
      </c>
      <c r="I25" s="2"/>
      <c r="J25" s="2">
        <f>I25+'4'!J25</f>
        <v>974</v>
      </c>
      <c r="K25" s="2"/>
      <c r="L25" s="2">
        <f>K25+'4'!L25</f>
        <v>0</v>
      </c>
      <c r="M25" s="2"/>
      <c r="N25" s="2">
        <f>M25+'4'!N25</f>
        <v>0</v>
      </c>
      <c r="O25" s="2"/>
      <c r="P25" s="2">
        <f>O25+'4'!P25</f>
        <v>0</v>
      </c>
      <c r="Q25" s="4">
        <f t="shared" si="4"/>
        <v>0</v>
      </c>
      <c r="R25" s="4">
        <f>Q25+'4'!R25</f>
        <v>1325</v>
      </c>
      <c r="S25" s="27">
        <f t="shared" si="5"/>
        <v>0.63947876447876451</v>
      </c>
      <c r="T25" s="12"/>
      <c r="U25" s="12">
        <f>T25+'4'!U25</f>
        <v>173</v>
      </c>
      <c r="V25" s="12"/>
      <c r="W25" s="12">
        <f>V25+'4'!W25</f>
        <v>50</v>
      </c>
      <c r="X25" s="12"/>
      <c r="Y25" s="12">
        <f>X25+'4'!Y25</f>
        <v>0</v>
      </c>
      <c r="AB25" s="5">
        <v>15</v>
      </c>
      <c r="AC25" s="26" t="str">
        <f>'4'!AC25</f>
        <v>كفـــــــــر إبنهس</v>
      </c>
      <c r="AD25" s="28">
        <f>'4'!AI25</f>
        <v>31</v>
      </c>
      <c r="AE25" s="3"/>
      <c r="AF25" s="28">
        <f>AE25+'4'!AF25</f>
        <v>180</v>
      </c>
      <c r="AG25" s="4"/>
      <c r="AH25" s="28">
        <f>AG25+'4'!AH25</f>
        <v>149</v>
      </c>
      <c r="AI25" s="4">
        <f t="shared" si="6"/>
        <v>31</v>
      </c>
      <c r="AJ25" s="11" t="e">
        <f t="shared" si="0"/>
        <v>#DIV/0!</v>
      </c>
      <c r="AK25" s="53">
        <f t="shared" si="1"/>
        <v>8.8926174496644297</v>
      </c>
      <c r="AW25" s="26" t="str">
        <f>'4'!AW25</f>
        <v>كفـــــــــر إبنهس</v>
      </c>
      <c r="AX25" s="12">
        <f>'4'!AX25</f>
        <v>3</v>
      </c>
      <c r="AY25" s="12">
        <f>'4'!AY25</f>
        <v>1013</v>
      </c>
      <c r="AZ25" s="12"/>
      <c r="BA25" s="12"/>
      <c r="BB25" s="12">
        <f>BA25+'4'!BB25</f>
        <v>838</v>
      </c>
      <c r="BC25" s="30">
        <f t="shared" si="2"/>
        <v>0.82724580454096741</v>
      </c>
      <c r="BD25" s="12">
        <f>'4'!BD25</f>
        <v>4</v>
      </c>
      <c r="BE25" s="12">
        <f>'4'!BE25</f>
        <v>620</v>
      </c>
      <c r="BF25" s="12"/>
      <c r="BG25" s="12"/>
      <c r="BH25" s="12">
        <f>BG25+'4'!BH25</f>
        <v>507</v>
      </c>
      <c r="BI25" s="30">
        <f t="shared" si="3"/>
        <v>0.81774193548387097</v>
      </c>
    </row>
    <row r="26" spans="1:61" ht="28.9" customHeight="1" x14ac:dyDescent="0.35">
      <c r="A26" s="5">
        <v>16</v>
      </c>
      <c r="B26" s="26" t="str">
        <f>'4'!B26</f>
        <v>الرمــــــــــــــالى</v>
      </c>
      <c r="C26" s="26">
        <f>'4'!C26</f>
        <v>2699</v>
      </c>
      <c r="D26" s="26"/>
      <c r="E26" s="12"/>
      <c r="F26" s="2">
        <f>E26+'4'!F26</f>
        <v>27</v>
      </c>
      <c r="G26" s="2"/>
      <c r="H26" s="2">
        <f>G26+'4'!H26</f>
        <v>312</v>
      </c>
      <c r="I26" s="2"/>
      <c r="J26" s="2">
        <f>I26+'4'!J26</f>
        <v>993</v>
      </c>
      <c r="K26" s="2"/>
      <c r="L26" s="2">
        <f>K26+'4'!L26</f>
        <v>0</v>
      </c>
      <c r="M26" s="2"/>
      <c r="N26" s="2">
        <f>M26+'4'!N26</f>
        <v>0</v>
      </c>
      <c r="O26" s="2"/>
      <c r="P26" s="2">
        <f>O26+'4'!P26</f>
        <v>0</v>
      </c>
      <c r="Q26" s="4">
        <f t="shared" si="4"/>
        <v>0</v>
      </c>
      <c r="R26" s="4">
        <f>Q26+'4'!R26</f>
        <v>1332</v>
      </c>
      <c r="S26" s="27">
        <f t="shared" si="5"/>
        <v>0.49351611708040016</v>
      </c>
      <c r="T26" s="12"/>
      <c r="U26" s="12">
        <f>T26+'4'!U26</f>
        <v>114</v>
      </c>
      <c r="V26" s="12"/>
      <c r="W26" s="12">
        <f>V26+'4'!W26</f>
        <v>108</v>
      </c>
      <c r="X26" s="12"/>
      <c r="Y26" s="12">
        <f>X26+'4'!Y26</f>
        <v>1</v>
      </c>
      <c r="Z26" s="38"/>
      <c r="AB26" s="5">
        <v>16</v>
      </c>
      <c r="AC26" s="26" t="str">
        <f>'4'!AC26</f>
        <v>الرمــــــــــــــالى</v>
      </c>
      <c r="AD26" s="28">
        <f>'4'!AI26</f>
        <v>96</v>
      </c>
      <c r="AE26" s="3"/>
      <c r="AF26" s="28">
        <f>AE26+'4'!AF26</f>
        <v>235</v>
      </c>
      <c r="AG26" s="4"/>
      <c r="AH26" s="28">
        <f>AG26+'4'!AH26</f>
        <v>139</v>
      </c>
      <c r="AI26" s="4">
        <f t="shared" si="6"/>
        <v>96</v>
      </c>
      <c r="AJ26" s="11" t="e">
        <f t="shared" si="0"/>
        <v>#DIV/0!</v>
      </c>
      <c r="AK26" s="53">
        <f t="shared" si="1"/>
        <v>9.5827338129496411</v>
      </c>
      <c r="AV26" s="38"/>
      <c r="AW26" s="26" t="str">
        <f>'4'!AW26</f>
        <v>الرمــــــــــــــالى</v>
      </c>
      <c r="AX26" s="12">
        <f>'4'!AX26</f>
        <v>3</v>
      </c>
      <c r="AY26" s="12">
        <f>'4'!AY26</f>
        <v>1486</v>
      </c>
      <c r="AZ26" s="12"/>
      <c r="BA26" s="12"/>
      <c r="BB26" s="12">
        <f>BA26+'4'!BB26</f>
        <v>1149</v>
      </c>
      <c r="BC26" s="30">
        <f t="shared" si="2"/>
        <v>0.77321668909825036</v>
      </c>
      <c r="BD26" s="12">
        <f>'4'!BD26</f>
        <v>3</v>
      </c>
      <c r="BE26" s="12">
        <f>'4'!BE26</f>
        <v>98</v>
      </c>
      <c r="BF26" s="12"/>
      <c r="BG26" s="12"/>
      <c r="BH26" s="12">
        <f>BG26+'4'!BH26</f>
        <v>0</v>
      </c>
      <c r="BI26" s="30">
        <f t="shared" si="3"/>
        <v>0</v>
      </c>
    </row>
    <row r="27" spans="1:61" ht="28.9" customHeight="1" x14ac:dyDescent="0.35">
      <c r="A27" s="5">
        <v>17</v>
      </c>
      <c r="B27" s="26" t="str">
        <f>'4'!B27</f>
        <v>مصطــــــــــــاى</v>
      </c>
      <c r="C27" s="26">
        <f>'4'!C27</f>
        <v>2666</v>
      </c>
      <c r="D27" s="26"/>
      <c r="E27" s="12"/>
      <c r="F27" s="2">
        <f>E27+'4'!F27</f>
        <v>54</v>
      </c>
      <c r="G27" s="2"/>
      <c r="H27" s="2">
        <f>G27+'4'!H27</f>
        <v>364</v>
      </c>
      <c r="I27" s="2"/>
      <c r="J27" s="2">
        <f>I27+'4'!J27</f>
        <v>1154</v>
      </c>
      <c r="K27" s="2"/>
      <c r="L27" s="2">
        <f>K27+'4'!L27</f>
        <v>0</v>
      </c>
      <c r="M27" s="2"/>
      <c r="N27" s="2">
        <f>M27+'4'!N27</f>
        <v>0</v>
      </c>
      <c r="O27" s="2"/>
      <c r="P27" s="2">
        <f>O27+'4'!P27</f>
        <v>0</v>
      </c>
      <c r="Q27" s="4">
        <f t="shared" si="4"/>
        <v>0</v>
      </c>
      <c r="R27" s="4">
        <f>Q27+'4'!R27</f>
        <v>1572</v>
      </c>
      <c r="S27" s="27">
        <f t="shared" si="5"/>
        <v>0.58964741185296321</v>
      </c>
      <c r="T27" s="12"/>
      <c r="U27" s="12">
        <f>T27+'4'!U27</f>
        <v>45</v>
      </c>
      <c r="V27" s="12"/>
      <c r="W27" s="12">
        <f>V27+'4'!W27</f>
        <v>15</v>
      </c>
      <c r="X27" s="12"/>
      <c r="Y27" s="12">
        <f>X27+'4'!Y27</f>
        <v>0</v>
      </c>
      <c r="AB27" s="5">
        <v>17</v>
      </c>
      <c r="AC27" s="26" t="str">
        <f>'4'!AC27</f>
        <v>مصطــــــــــــاى</v>
      </c>
      <c r="AD27" s="28">
        <f>'4'!AI27</f>
        <v>74</v>
      </c>
      <c r="AE27" s="3"/>
      <c r="AF27" s="28">
        <f>AE27+'4'!AF27</f>
        <v>234</v>
      </c>
      <c r="AG27" s="4"/>
      <c r="AH27" s="28">
        <f>AG27+'4'!AH27</f>
        <v>160</v>
      </c>
      <c r="AI27" s="4">
        <f t="shared" si="6"/>
        <v>74</v>
      </c>
      <c r="AJ27" s="11" t="e">
        <f t="shared" si="0"/>
        <v>#DIV/0!</v>
      </c>
      <c r="AK27" s="53">
        <f t="shared" si="1"/>
        <v>9.8249999999999993</v>
      </c>
      <c r="AW27" s="26" t="str">
        <f>'4'!AW27</f>
        <v>مصطــــــــــــاى</v>
      </c>
      <c r="AX27" s="12">
        <f>'4'!AX27</f>
        <v>3</v>
      </c>
      <c r="AY27" s="12">
        <f>'4'!AY27</f>
        <v>1709</v>
      </c>
      <c r="AZ27" s="12"/>
      <c r="BA27" s="12"/>
      <c r="BB27" s="12">
        <f>BA27+'4'!BB27</f>
        <v>1252</v>
      </c>
      <c r="BC27" s="30">
        <f t="shared" si="2"/>
        <v>0.73259215915740195</v>
      </c>
      <c r="BD27" s="12">
        <f>'4'!BD27</f>
        <v>6</v>
      </c>
      <c r="BE27" s="12">
        <f>'4'!BE27</f>
        <v>696</v>
      </c>
      <c r="BF27" s="12"/>
      <c r="BG27" s="12"/>
      <c r="BH27" s="12">
        <f>BG27+'4'!BH27</f>
        <v>120</v>
      </c>
      <c r="BI27" s="30">
        <f t="shared" si="3"/>
        <v>0.17241379310344829</v>
      </c>
    </row>
    <row r="28" spans="1:61" ht="28.9" customHeight="1" x14ac:dyDescent="0.35">
      <c r="A28" s="5">
        <v>18</v>
      </c>
      <c r="B28" s="26" t="str">
        <f>'4'!B28</f>
        <v>كفر طـــــــه شبرا</v>
      </c>
      <c r="C28" s="26">
        <f>'4'!C28</f>
        <v>1795</v>
      </c>
      <c r="D28" s="26"/>
      <c r="E28" s="12"/>
      <c r="F28" s="2">
        <f>E28+'4'!F28</f>
        <v>8</v>
      </c>
      <c r="G28" s="2"/>
      <c r="H28" s="2">
        <f>G28+'4'!H28</f>
        <v>294</v>
      </c>
      <c r="I28" s="2"/>
      <c r="J28" s="2">
        <f>I28+'4'!J28</f>
        <v>940</v>
      </c>
      <c r="K28" s="2"/>
      <c r="L28" s="2">
        <f>K28+'4'!L28</f>
        <v>0</v>
      </c>
      <c r="M28" s="2"/>
      <c r="N28" s="2">
        <f>M28+'4'!N28</f>
        <v>0</v>
      </c>
      <c r="O28" s="2"/>
      <c r="P28" s="2">
        <f>O28+'4'!P28</f>
        <v>0</v>
      </c>
      <c r="Q28" s="4">
        <f t="shared" si="4"/>
        <v>0</v>
      </c>
      <c r="R28" s="4">
        <f>Q28+'4'!R28</f>
        <v>1242</v>
      </c>
      <c r="S28" s="27">
        <f t="shared" si="5"/>
        <v>0.69192200557103067</v>
      </c>
      <c r="T28" s="12"/>
      <c r="U28" s="12">
        <f>T28+'4'!U28</f>
        <v>136</v>
      </c>
      <c r="V28" s="12"/>
      <c r="W28" s="12">
        <f>V28+'4'!W28</f>
        <v>33</v>
      </c>
      <c r="X28" s="12"/>
      <c r="Y28" s="12">
        <f>X28+'4'!Y28</f>
        <v>0</v>
      </c>
      <c r="AB28" s="5">
        <v>18</v>
      </c>
      <c r="AC28" s="26" t="str">
        <f>'4'!AC28</f>
        <v>كفر طـــــــه شبرا</v>
      </c>
      <c r="AD28" s="28">
        <f>'4'!AI28</f>
        <v>28</v>
      </c>
      <c r="AE28" s="3"/>
      <c r="AF28" s="28">
        <f>AE28+'4'!AF28</f>
        <v>158</v>
      </c>
      <c r="AG28" s="4"/>
      <c r="AH28" s="28">
        <f>AG28+'4'!AH28</f>
        <v>130</v>
      </c>
      <c r="AI28" s="4">
        <f t="shared" si="6"/>
        <v>28</v>
      </c>
      <c r="AJ28" s="11" t="e">
        <f t="shared" si="0"/>
        <v>#DIV/0!</v>
      </c>
      <c r="AK28" s="53">
        <f t="shared" si="1"/>
        <v>9.5538461538461537</v>
      </c>
      <c r="AW28" s="26" t="str">
        <f>'4'!AW28</f>
        <v>كفر طـــــــه شبرا</v>
      </c>
      <c r="AX28" s="12">
        <f>'4'!AX28</f>
        <v>4</v>
      </c>
      <c r="AY28" s="12">
        <f>'4'!AY28</f>
        <v>948</v>
      </c>
      <c r="AZ28" s="12"/>
      <c r="BA28" s="12"/>
      <c r="BB28" s="12">
        <f>BA28+'4'!BB28</f>
        <v>827</v>
      </c>
      <c r="BC28" s="30">
        <f t="shared" si="2"/>
        <v>0.87236286919831219</v>
      </c>
      <c r="BD28" s="12">
        <f>'4'!BD28</f>
        <v>7</v>
      </c>
      <c r="BE28" s="12">
        <f>'4'!BE28</f>
        <v>300</v>
      </c>
      <c r="BF28" s="12"/>
      <c r="BG28" s="12"/>
      <c r="BH28" s="12">
        <f>BG28+'4'!BH28</f>
        <v>403</v>
      </c>
      <c r="BI28" s="30">
        <f t="shared" si="3"/>
        <v>1.3433333333333333</v>
      </c>
    </row>
    <row r="29" spans="1:61" ht="28.9" customHeight="1" x14ac:dyDescent="0.35">
      <c r="A29" s="5">
        <v>19</v>
      </c>
      <c r="B29" s="26" t="str">
        <f>'4'!B29</f>
        <v>كفر أبـــو الحسن</v>
      </c>
      <c r="C29" s="26">
        <f>'4'!C29</f>
        <v>1397</v>
      </c>
      <c r="D29" s="26"/>
      <c r="E29" s="12"/>
      <c r="F29" s="2">
        <f>E29+'4'!F29</f>
        <v>4</v>
      </c>
      <c r="G29" s="2"/>
      <c r="H29" s="2">
        <f>G29+'4'!H29</f>
        <v>238</v>
      </c>
      <c r="I29" s="2"/>
      <c r="J29" s="2">
        <f>I29+'4'!J29</f>
        <v>841</v>
      </c>
      <c r="K29" s="2"/>
      <c r="L29" s="2">
        <f>K29+'4'!L29</f>
        <v>0</v>
      </c>
      <c r="M29" s="2"/>
      <c r="N29" s="2">
        <f>M29+'4'!N29</f>
        <v>0</v>
      </c>
      <c r="O29" s="2"/>
      <c r="P29" s="2">
        <f>O29+'4'!P29</f>
        <v>0</v>
      </c>
      <c r="Q29" s="4">
        <f t="shared" si="4"/>
        <v>0</v>
      </c>
      <c r="R29" s="4">
        <f>Q29+'4'!R29</f>
        <v>1083</v>
      </c>
      <c r="S29" s="27">
        <f t="shared" si="5"/>
        <v>0.77523264137437364</v>
      </c>
      <c r="T29" s="12"/>
      <c r="U29" s="12">
        <f>T29+'4'!U29</f>
        <v>205</v>
      </c>
      <c r="V29" s="12"/>
      <c r="W29" s="12">
        <f>V29+'4'!W29</f>
        <v>18</v>
      </c>
      <c r="X29" s="12"/>
      <c r="Y29" s="12">
        <f>X29+'4'!Y29</f>
        <v>0</v>
      </c>
      <c r="AB29" s="5">
        <v>19</v>
      </c>
      <c r="AC29" s="26" t="str">
        <f>'4'!AC29</f>
        <v>كفر أبـــو الحسن</v>
      </c>
      <c r="AD29" s="28">
        <f>'4'!AI29</f>
        <v>22</v>
      </c>
      <c r="AE29" s="3"/>
      <c r="AF29" s="28">
        <f>AE29+'4'!AF29</f>
        <v>133</v>
      </c>
      <c r="AG29" s="4"/>
      <c r="AH29" s="28">
        <f>AG29+'4'!AH29</f>
        <v>111</v>
      </c>
      <c r="AI29" s="4">
        <f t="shared" si="6"/>
        <v>22</v>
      </c>
      <c r="AJ29" s="11" t="e">
        <f t="shared" si="0"/>
        <v>#DIV/0!</v>
      </c>
      <c r="AK29" s="53">
        <f t="shared" si="1"/>
        <v>9.7567567567567561</v>
      </c>
      <c r="AW29" s="26" t="str">
        <f>'4'!AW29</f>
        <v>كفر أبـــو الحسن</v>
      </c>
      <c r="AX29" s="12">
        <f>'4'!AX29</f>
        <v>3</v>
      </c>
      <c r="AY29" s="12">
        <f>'4'!AY29</f>
        <v>912</v>
      </c>
      <c r="AZ29" s="12"/>
      <c r="BA29" s="12"/>
      <c r="BB29" s="12">
        <f>BA29+'4'!BB29</f>
        <v>760</v>
      </c>
      <c r="BC29" s="30">
        <f t="shared" si="2"/>
        <v>0.83333333333333337</v>
      </c>
      <c r="BD29" s="12">
        <f>'4'!BD29</f>
        <v>9</v>
      </c>
      <c r="BE29" s="12">
        <f>'4'!BE29</f>
        <v>258</v>
      </c>
      <c r="BF29" s="12"/>
      <c r="BG29" s="12"/>
      <c r="BH29" s="12">
        <f>BG29+'4'!BH29</f>
        <v>351</v>
      </c>
      <c r="BI29" s="30">
        <f t="shared" si="3"/>
        <v>1.3604651162790697</v>
      </c>
    </row>
    <row r="30" spans="1:61" ht="28.9" customHeight="1" x14ac:dyDescent="0.35">
      <c r="A30" s="5">
        <v>20</v>
      </c>
      <c r="B30" s="26" t="str">
        <f>'4'!B30</f>
        <v>ميت أبـــــوشيخه</v>
      </c>
      <c r="C30" s="26">
        <f>'4'!C30</f>
        <v>1134</v>
      </c>
      <c r="D30" s="26"/>
      <c r="E30" s="12"/>
      <c r="F30" s="2">
        <f>E30+'4'!F30</f>
        <v>10</v>
      </c>
      <c r="G30" s="2"/>
      <c r="H30" s="2">
        <f>G30+'4'!H30</f>
        <v>144</v>
      </c>
      <c r="I30" s="2"/>
      <c r="J30" s="2">
        <f>I30+'4'!J30</f>
        <v>435</v>
      </c>
      <c r="K30" s="2"/>
      <c r="L30" s="2">
        <f>K30+'4'!L30</f>
        <v>0</v>
      </c>
      <c r="M30" s="2"/>
      <c r="N30" s="2">
        <f>M30+'4'!N30</f>
        <v>0</v>
      </c>
      <c r="O30" s="2"/>
      <c r="P30" s="2">
        <f>O30+'4'!P30</f>
        <v>0</v>
      </c>
      <c r="Q30" s="4">
        <f t="shared" si="4"/>
        <v>0</v>
      </c>
      <c r="R30" s="4">
        <f>Q30+'4'!R30</f>
        <v>589</v>
      </c>
      <c r="S30" s="27">
        <f t="shared" si="5"/>
        <v>0.51940035273368612</v>
      </c>
      <c r="T30" s="12"/>
      <c r="U30" s="12">
        <f>T30+'4'!U30</f>
        <v>68</v>
      </c>
      <c r="V30" s="12"/>
      <c r="W30" s="12">
        <f>V30+'4'!W30</f>
        <v>10</v>
      </c>
      <c r="X30" s="12"/>
      <c r="Y30" s="12">
        <f>X30+'4'!Y30</f>
        <v>0</v>
      </c>
      <c r="AB30" s="5">
        <v>20</v>
      </c>
      <c r="AC30" s="26" t="str">
        <f>'4'!AC30</f>
        <v>ميت أبـــــوشيخه</v>
      </c>
      <c r="AD30" s="28">
        <f>'4'!AI30</f>
        <v>40</v>
      </c>
      <c r="AE30" s="3"/>
      <c r="AF30" s="28">
        <f>AE30+'4'!AF30</f>
        <v>100</v>
      </c>
      <c r="AG30" s="4"/>
      <c r="AH30" s="28">
        <f>AG30+'4'!AH30</f>
        <v>60</v>
      </c>
      <c r="AI30" s="4">
        <f t="shared" si="6"/>
        <v>40</v>
      </c>
      <c r="AJ30" s="11" t="e">
        <f t="shared" si="0"/>
        <v>#DIV/0!</v>
      </c>
      <c r="AK30" s="53">
        <f t="shared" si="1"/>
        <v>9.8166666666666664</v>
      </c>
      <c r="AW30" s="26" t="str">
        <f>'4'!AW30</f>
        <v>ميت أبـــــوشيخه</v>
      </c>
      <c r="AX30" s="12">
        <f>'4'!AX30</f>
        <v>2</v>
      </c>
      <c r="AY30" s="12">
        <f>'4'!AY30</f>
        <v>560</v>
      </c>
      <c r="AZ30" s="12"/>
      <c r="BA30" s="12"/>
      <c r="BB30" s="12">
        <f>BA30+'4'!BB30</f>
        <v>459</v>
      </c>
      <c r="BC30" s="30">
        <f t="shared" si="2"/>
        <v>0.81964285714285712</v>
      </c>
      <c r="BD30" s="12">
        <f>'4'!BD30</f>
        <v>2</v>
      </c>
      <c r="BE30" s="12">
        <f>'4'!BE30</f>
        <v>107</v>
      </c>
      <c r="BF30" s="12"/>
      <c r="BG30" s="12"/>
      <c r="BH30" s="12">
        <f>BG30+'4'!BH30</f>
        <v>85</v>
      </c>
      <c r="BI30" s="30">
        <f t="shared" si="3"/>
        <v>0.79439252336448596</v>
      </c>
    </row>
    <row r="31" spans="1:61" ht="28.9" customHeight="1" x14ac:dyDescent="0.35">
      <c r="A31" s="5">
        <v>21</v>
      </c>
      <c r="B31" s="26" t="str">
        <f>'4'!B31</f>
        <v>طــــــــــــه شبرا</v>
      </c>
      <c r="C31" s="26">
        <f>'4'!C31</f>
        <v>5149</v>
      </c>
      <c r="D31" s="26"/>
      <c r="E31" s="12"/>
      <c r="F31" s="2">
        <f>E31+'4'!F31</f>
        <v>22</v>
      </c>
      <c r="G31" s="2"/>
      <c r="H31" s="2">
        <f>G31+'4'!H31</f>
        <v>967</v>
      </c>
      <c r="I31" s="2"/>
      <c r="J31" s="2">
        <f>I31+'4'!J31</f>
        <v>1288</v>
      </c>
      <c r="K31" s="2"/>
      <c r="L31" s="2">
        <f>K31+'4'!L31</f>
        <v>0</v>
      </c>
      <c r="M31" s="2"/>
      <c r="N31" s="2">
        <f>M31+'4'!N31</f>
        <v>0</v>
      </c>
      <c r="O31" s="2"/>
      <c r="P31" s="2">
        <f>O31+'4'!P31</f>
        <v>0</v>
      </c>
      <c r="Q31" s="4">
        <f t="shared" si="4"/>
        <v>0</v>
      </c>
      <c r="R31" s="4">
        <f>Q31+'4'!R31</f>
        <v>2277</v>
      </c>
      <c r="S31" s="27">
        <f t="shared" si="5"/>
        <v>0.442221790638959</v>
      </c>
      <c r="T31" s="12"/>
      <c r="U31" s="12">
        <f>T31+'4'!U31</f>
        <v>277</v>
      </c>
      <c r="V31" s="12"/>
      <c r="W31" s="12">
        <f>V31+'4'!W31</f>
        <v>3</v>
      </c>
      <c r="X31" s="12"/>
      <c r="Y31" s="12">
        <f>X31+'4'!Y31</f>
        <v>0</v>
      </c>
      <c r="AB31" s="5">
        <v>21</v>
      </c>
      <c r="AC31" s="26" t="str">
        <f>'4'!AC31</f>
        <v>طــــــــــــه شبرا</v>
      </c>
      <c r="AD31" s="28">
        <f>'4'!AI31</f>
        <v>216</v>
      </c>
      <c r="AE31" s="3"/>
      <c r="AF31" s="28">
        <f>AE31+'4'!AF31</f>
        <v>452</v>
      </c>
      <c r="AG31" s="4"/>
      <c r="AH31" s="28">
        <f>AG31+'4'!AH31</f>
        <v>236</v>
      </c>
      <c r="AI31" s="4">
        <f t="shared" si="6"/>
        <v>216</v>
      </c>
      <c r="AJ31" s="11" t="e">
        <f t="shared" si="0"/>
        <v>#DIV/0!</v>
      </c>
      <c r="AK31" s="53">
        <f t="shared" si="1"/>
        <v>9.648305084745763</v>
      </c>
      <c r="AW31" s="26" t="str">
        <f>'4'!AW31</f>
        <v>طــــــــــــه شبرا</v>
      </c>
      <c r="AX31" s="12">
        <f>'4'!AX31</f>
        <v>6</v>
      </c>
      <c r="AY31" s="12">
        <f>'4'!AY31</f>
        <v>2219</v>
      </c>
      <c r="AZ31" s="12"/>
      <c r="BA31" s="12"/>
      <c r="BB31" s="12">
        <f>BA31+'4'!BB31</f>
        <v>1367</v>
      </c>
      <c r="BC31" s="30">
        <f t="shared" si="2"/>
        <v>0.61604326273095988</v>
      </c>
      <c r="BD31" s="12">
        <f>'4'!BD31</f>
        <v>8</v>
      </c>
      <c r="BE31" s="12">
        <f>'4'!BE31</f>
        <v>748</v>
      </c>
      <c r="BF31" s="12"/>
      <c r="BG31" s="12"/>
      <c r="BH31" s="12">
        <f>BG31+'4'!BH31</f>
        <v>690</v>
      </c>
      <c r="BI31" s="30">
        <f t="shared" si="3"/>
        <v>0.92245989304812837</v>
      </c>
    </row>
    <row r="32" spans="1:61" ht="28.9" customHeight="1" x14ac:dyDescent="0.35">
      <c r="A32" s="5">
        <v>22</v>
      </c>
      <c r="B32" s="26" t="str">
        <f>'4'!B32</f>
        <v>أشـــــــــــــــــليم</v>
      </c>
      <c r="C32" s="26">
        <f>'4'!C32</f>
        <v>2638</v>
      </c>
      <c r="D32" s="26"/>
      <c r="E32" s="12"/>
      <c r="F32" s="2">
        <f>E32+'4'!F32</f>
        <v>19</v>
      </c>
      <c r="G32" s="2"/>
      <c r="H32" s="2">
        <f>G32+'4'!H32</f>
        <v>606</v>
      </c>
      <c r="I32" s="2"/>
      <c r="J32" s="2">
        <f>I32+'4'!J32</f>
        <v>1522</v>
      </c>
      <c r="K32" s="2"/>
      <c r="L32" s="2">
        <f>K32+'4'!L32</f>
        <v>0</v>
      </c>
      <c r="M32" s="2"/>
      <c r="N32" s="2">
        <f>M32+'4'!N32</f>
        <v>0</v>
      </c>
      <c r="O32" s="2"/>
      <c r="P32" s="2">
        <f>O32+'4'!P32</f>
        <v>0</v>
      </c>
      <c r="Q32" s="4">
        <f t="shared" si="4"/>
        <v>0</v>
      </c>
      <c r="R32" s="4">
        <f>Q32+'4'!R32</f>
        <v>2147</v>
      </c>
      <c r="S32" s="27">
        <f t="shared" si="5"/>
        <v>0.81387414708112205</v>
      </c>
      <c r="T32" s="12"/>
      <c r="U32" s="12">
        <f>T32+'4'!U32</f>
        <v>149</v>
      </c>
      <c r="V32" s="12"/>
      <c r="W32" s="12">
        <f>V32+'4'!W32</f>
        <v>119</v>
      </c>
      <c r="X32" s="12"/>
      <c r="Y32" s="12">
        <f>X32+'4'!Y32</f>
        <v>0</v>
      </c>
      <c r="AB32" s="5">
        <v>22</v>
      </c>
      <c r="AC32" s="26" t="str">
        <f>'4'!AC32</f>
        <v>أشـــــــــــــــــليم</v>
      </c>
      <c r="AD32" s="28">
        <f>'4'!AI32</f>
        <v>31</v>
      </c>
      <c r="AE32" s="3"/>
      <c r="AF32" s="28">
        <f>AE32+'4'!AF32</f>
        <v>252</v>
      </c>
      <c r="AG32" s="4"/>
      <c r="AH32" s="28">
        <f>AG32+'4'!AH32</f>
        <v>221</v>
      </c>
      <c r="AI32" s="4">
        <f t="shared" si="6"/>
        <v>31</v>
      </c>
      <c r="AJ32" s="11" t="e">
        <f t="shared" si="0"/>
        <v>#DIV/0!</v>
      </c>
      <c r="AK32" s="53">
        <f t="shared" si="1"/>
        <v>9.7149321266968318</v>
      </c>
      <c r="AW32" s="26" t="str">
        <f>'4'!AW32</f>
        <v>أشـــــــــــــــــليم</v>
      </c>
      <c r="AX32" s="12">
        <f>'4'!AX32</f>
        <v>8</v>
      </c>
      <c r="AY32" s="12">
        <f>'4'!AY32</f>
        <v>1819</v>
      </c>
      <c r="AZ32" s="12"/>
      <c r="BA32" s="12"/>
      <c r="BB32" s="12">
        <f>BA32+'4'!BB32</f>
        <v>1506</v>
      </c>
      <c r="BC32" s="30">
        <f t="shared" si="2"/>
        <v>0.82792743265530511</v>
      </c>
      <c r="BD32" s="12">
        <f>'4'!BD32</f>
        <v>7</v>
      </c>
      <c r="BE32" s="12">
        <f>'4'!BE32</f>
        <v>176</v>
      </c>
      <c r="BF32" s="12"/>
      <c r="BG32" s="12"/>
      <c r="BH32" s="12">
        <f>BG32+'4'!BH32</f>
        <v>531</v>
      </c>
      <c r="BI32" s="30">
        <f t="shared" si="3"/>
        <v>3.0170454545454546</v>
      </c>
    </row>
    <row r="33" spans="1:61" ht="28.9" customHeight="1" x14ac:dyDescent="0.35">
      <c r="A33" s="5">
        <v>23</v>
      </c>
      <c r="B33" s="26" t="str">
        <f>'4'!B33</f>
        <v>شبرا قبالــــــــــه</v>
      </c>
      <c r="C33" s="26">
        <f>'4'!C33</f>
        <v>2050</v>
      </c>
      <c r="D33" s="26"/>
      <c r="E33" s="12"/>
      <c r="F33" s="2">
        <f>E33+'4'!F33</f>
        <v>23</v>
      </c>
      <c r="G33" s="2"/>
      <c r="H33" s="2">
        <f>G33+'4'!H33</f>
        <v>644</v>
      </c>
      <c r="I33" s="2"/>
      <c r="J33" s="2">
        <f>I33+'4'!J33</f>
        <v>773</v>
      </c>
      <c r="K33" s="2"/>
      <c r="L33" s="2">
        <f>K33+'4'!L33</f>
        <v>0</v>
      </c>
      <c r="M33" s="2"/>
      <c r="N33" s="2">
        <f>M33+'4'!N33</f>
        <v>0</v>
      </c>
      <c r="O33" s="2"/>
      <c r="P33" s="2">
        <f>O33+'4'!P33</f>
        <v>0</v>
      </c>
      <c r="Q33" s="4">
        <f t="shared" si="4"/>
        <v>0</v>
      </c>
      <c r="R33" s="4">
        <f>Q33+'4'!R33</f>
        <v>1440</v>
      </c>
      <c r="S33" s="27">
        <f t="shared" si="5"/>
        <v>0.70243902439024386</v>
      </c>
      <c r="T33" s="12"/>
      <c r="U33" s="12">
        <f>T33+'4'!U33</f>
        <v>96</v>
      </c>
      <c r="V33" s="12"/>
      <c r="W33" s="12">
        <f>V33+'4'!W33</f>
        <v>64</v>
      </c>
      <c r="X33" s="12"/>
      <c r="Y33" s="12">
        <f>X33+'4'!Y33</f>
        <v>0</v>
      </c>
      <c r="AB33" s="5">
        <v>23</v>
      </c>
      <c r="AC33" s="26" t="str">
        <f>'4'!AC33</f>
        <v>شبرا قبالــــــــــه</v>
      </c>
      <c r="AD33" s="28">
        <f>'4'!AI33</f>
        <v>36</v>
      </c>
      <c r="AE33" s="3"/>
      <c r="AF33" s="28">
        <f>AE33+'4'!AF33</f>
        <v>180</v>
      </c>
      <c r="AG33" s="4"/>
      <c r="AH33" s="28">
        <f>AG33+'4'!AH33</f>
        <v>144</v>
      </c>
      <c r="AI33" s="4">
        <f t="shared" si="6"/>
        <v>36</v>
      </c>
      <c r="AJ33" s="11" t="e">
        <f t="shared" si="0"/>
        <v>#DIV/0!</v>
      </c>
      <c r="AK33" s="53">
        <f t="shared" si="1"/>
        <v>10</v>
      </c>
      <c r="AW33" s="26" t="str">
        <f>'4'!AW33</f>
        <v>شبرا قبالــــــــــه</v>
      </c>
      <c r="AX33" s="12">
        <f>'4'!AX33</f>
        <v>1</v>
      </c>
      <c r="AY33" s="12">
        <f>'4'!AY33</f>
        <v>918</v>
      </c>
      <c r="AZ33" s="12"/>
      <c r="BA33" s="12"/>
      <c r="BB33" s="12">
        <f>BA33+'4'!BB33</f>
        <v>780</v>
      </c>
      <c r="BC33" s="30">
        <f t="shared" si="2"/>
        <v>0.84967320261437906</v>
      </c>
      <c r="BD33" s="12">
        <f>'4'!BD33</f>
        <v>5</v>
      </c>
      <c r="BE33" s="12">
        <f>'4'!BE33</f>
        <v>375</v>
      </c>
      <c r="BF33" s="12"/>
      <c r="BG33" s="12"/>
      <c r="BH33" s="12">
        <f>BG33+'4'!BH33</f>
        <v>430</v>
      </c>
      <c r="BI33" s="30">
        <f t="shared" si="3"/>
        <v>1.1466666666666667</v>
      </c>
    </row>
    <row r="34" spans="1:61" ht="28.9" customHeight="1" x14ac:dyDescent="0.35">
      <c r="A34" s="5">
        <v>24</v>
      </c>
      <c r="B34" s="26" t="str">
        <f>'4'!B34</f>
        <v>عرب الرمـــــــل</v>
      </c>
      <c r="C34" s="26">
        <f>'4'!C34</f>
        <v>5755</v>
      </c>
      <c r="D34" s="26"/>
      <c r="E34" s="12"/>
      <c r="F34" s="2">
        <f>E34+'4'!F34</f>
        <v>22</v>
      </c>
      <c r="G34" s="2"/>
      <c r="H34" s="2">
        <f>G34+'4'!H34</f>
        <v>1011</v>
      </c>
      <c r="I34" s="2"/>
      <c r="J34" s="2">
        <f>I34+'4'!J34</f>
        <v>1364</v>
      </c>
      <c r="K34" s="2"/>
      <c r="L34" s="2">
        <f>K34+'4'!L34</f>
        <v>0</v>
      </c>
      <c r="M34" s="2"/>
      <c r="N34" s="2">
        <f>M34+'4'!N34</f>
        <v>0</v>
      </c>
      <c r="O34" s="2"/>
      <c r="P34" s="2">
        <f>O34+'4'!P34</f>
        <v>0</v>
      </c>
      <c r="Q34" s="4">
        <f t="shared" si="4"/>
        <v>0</v>
      </c>
      <c r="R34" s="4">
        <f>Q34+'4'!R34</f>
        <v>2397</v>
      </c>
      <c r="S34" s="27">
        <f t="shared" si="5"/>
        <v>0.41650738488271066</v>
      </c>
      <c r="T34" s="12"/>
      <c r="U34" s="12">
        <f>T34+'4'!U34</f>
        <v>562</v>
      </c>
      <c r="V34" s="12"/>
      <c r="W34" s="12">
        <f>V34+'4'!W34</f>
        <v>41</v>
      </c>
      <c r="X34" s="12"/>
      <c r="Y34" s="12">
        <f>X34+'4'!Y34</f>
        <v>0</v>
      </c>
      <c r="AB34" s="5">
        <v>24</v>
      </c>
      <c r="AC34" s="26" t="str">
        <f>'4'!AC34</f>
        <v>عرب الرمـــــــل</v>
      </c>
      <c r="AD34" s="28">
        <f>'4'!AI34</f>
        <v>263</v>
      </c>
      <c r="AE34" s="3"/>
      <c r="AF34" s="28">
        <f>AE34+'4'!AF34</f>
        <v>505</v>
      </c>
      <c r="AG34" s="4"/>
      <c r="AH34" s="28">
        <f>AG34+'4'!AH34</f>
        <v>242</v>
      </c>
      <c r="AI34" s="4">
        <f t="shared" si="6"/>
        <v>263</v>
      </c>
      <c r="AJ34" s="11" t="e">
        <f t="shared" si="0"/>
        <v>#DIV/0!</v>
      </c>
      <c r="AK34" s="53">
        <f t="shared" si="1"/>
        <v>9.9049586776859506</v>
      </c>
      <c r="AW34" s="26" t="str">
        <f>'4'!AW34</f>
        <v>عرب الرمـــــــل</v>
      </c>
      <c r="AX34" s="12">
        <f>'4'!AX34</f>
        <v>6</v>
      </c>
      <c r="AY34" s="12">
        <f>'4'!AY34</f>
        <v>2210</v>
      </c>
      <c r="AZ34" s="12"/>
      <c r="BA34" s="12"/>
      <c r="BB34" s="12">
        <f>BA34+'4'!BB34</f>
        <v>1456</v>
      </c>
      <c r="BC34" s="30">
        <f t="shared" si="2"/>
        <v>0.6588235294117647</v>
      </c>
      <c r="BD34" s="12">
        <f>'4'!BD34</f>
        <v>9</v>
      </c>
      <c r="BE34" s="12">
        <f>'4'!BE34</f>
        <v>932</v>
      </c>
      <c r="BF34" s="12"/>
      <c r="BG34" s="12"/>
      <c r="BH34" s="12">
        <f>BG34+'4'!BH34</f>
        <v>941</v>
      </c>
      <c r="BI34" s="30">
        <f t="shared" si="3"/>
        <v>1.0096566523605151</v>
      </c>
    </row>
    <row r="35" spans="1:61" ht="28.9" customHeight="1" x14ac:dyDescent="0.35">
      <c r="A35" s="5">
        <v>25</v>
      </c>
      <c r="B35" s="26" t="str">
        <f>'4'!B35</f>
        <v>كفر ميت سراج</v>
      </c>
      <c r="C35" s="26">
        <f>'4'!C35</f>
        <v>1840</v>
      </c>
      <c r="D35" s="26"/>
      <c r="E35" s="12"/>
      <c r="F35" s="2">
        <f>E35+'4'!F35</f>
        <v>8</v>
      </c>
      <c r="G35" s="2"/>
      <c r="H35" s="2">
        <f>G35+'4'!H35</f>
        <v>386</v>
      </c>
      <c r="I35" s="2"/>
      <c r="J35" s="2">
        <f>I35+'4'!J35</f>
        <v>773</v>
      </c>
      <c r="K35" s="2"/>
      <c r="L35" s="2">
        <f>K35+'4'!L35</f>
        <v>0</v>
      </c>
      <c r="M35" s="2"/>
      <c r="N35" s="2">
        <f>M35+'4'!N35</f>
        <v>0</v>
      </c>
      <c r="O35" s="2"/>
      <c r="P35" s="2">
        <f>O35+'4'!P35</f>
        <v>0</v>
      </c>
      <c r="Q35" s="4">
        <f t="shared" si="4"/>
        <v>0</v>
      </c>
      <c r="R35" s="4">
        <f>Q35+'4'!R35</f>
        <v>1167</v>
      </c>
      <c r="S35" s="27">
        <f t="shared" si="5"/>
        <v>0.63423913043478264</v>
      </c>
      <c r="T35" s="12"/>
      <c r="U35" s="12">
        <f>T35+'4'!U35</f>
        <v>174</v>
      </c>
      <c r="V35" s="12"/>
      <c r="W35" s="12">
        <f>V35+'4'!W35</f>
        <v>11</v>
      </c>
      <c r="X35" s="12"/>
      <c r="Y35" s="12">
        <f>X35+'4'!Y35</f>
        <v>0</v>
      </c>
      <c r="AB35" s="5">
        <v>25</v>
      </c>
      <c r="AC35" s="26" t="str">
        <f>'4'!AC35</f>
        <v>كفر ميت سراج</v>
      </c>
      <c r="AD35" s="28">
        <f>'4'!AI35</f>
        <v>41</v>
      </c>
      <c r="AE35" s="3"/>
      <c r="AF35" s="28">
        <f>AE35+'4'!AF35</f>
        <v>162</v>
      </c>
      <c r="AG35" s="4"/>
      <c r="AH35" s="28">
        <f>AG35+'4'!AH35</f>
        <v>121</v>
      </c>
      <c r="AI35" s="4">
        <f t="shared" si="6"/>
        <v>41</v>
      </c>
      <c r="AJ35" s="11" t="e">
        <f t="shared" si="0"/>
        <v>#DIV/0!</v>
      </c>
      <c r="AK35" s="53">
        <f t="shared" si="1"/>
        <v>9.6446280991735538</v>
      </c>
      <c r="AW35" s="26" t="str">
        <f>'4'!AW35</f>
        <v>كفر ميت سراج</v>
      </c>
      <c r="AX35" s="12">
        <f>'4'!AX35</f>
        <v>3</v>
      </c>
      <c r="AY35" s="12">
        <f>'4'!AY35</f>
        <v>1011</v>
      </c>
      <c r="AZ35" s="12"/>
      <c r="BA35" s="12"/>
      <c r="BB35" s="12">
        <f>BA35+'4'!BB35</f>
        <v>773</v>
      </c>
      <c r="BC35" s="30">
        <f t="shared" si="2"/>
        <v>0.76458951533135511</v>
      </c>
      <c r="BD35" s="12">
        <f>'4'!BD35</f>
        <v>4</v>
      </c>
      <c r="BE35" s="12">
        <f>'4'!BE35</f>
        <v>413</v>
      </c>
      <c r="BF35" s="12"/>
      <c r="BG35" s="12"/>
      <c r="BH35" s="12">
        <f>BG35+'4'!BH35</f>
        <v>232</v>
      </c>
      <c r="BI35" s="30">
        <f t="shared" si="3"/>
        <v>0.56174334140435833</v>
      </c>
    </row>
    <row r="36" spans="1:61" ht="28.9" customHeight="1" x14ac:dyDescent="0.35">
      <c r="A36" s="5">
        <v>26</v>
      </c>
      <c r="B36" s="26" t="str">
        <f>'4'!B36</f>
        <v>كفر أبشيش</v>
      </c>
      <c r="C36" s="26">
        <f>'4'!C36</f>
        <v>1345</v>
      </c>
      <c r="D36" s="26"/>
      <c r="E36" s="12"/>
      <c r="F36" s="2">
        <f>E36+'4'!F36</f>
        <v>14</v>
      </c>
      <c r="G36" s="2"/>
      <c r="H36" s="2">
        <f>G36+'4'!H36</f>
        <v>207</v>
      </c>
      <c r="I36" s="2"/>
      <c r="J36" s="2">
        <f>I36+'4'!J36</f>
        <v>725</v>
      </c>
      <c r="K36" s="2"/>
      <c r="L36" s="2">
        <f>K36+'4'!L36</f>
        <v>0</v>
      </c>
      <c r="M36" s="2"/>
      <c r="N36" s="2">
        <f>M36+'4'!N36</f>
        <v>0</v>
      </c>
      <c r="O36" s="2"/>
      <c r="P36" s="2">
        <f>O36+'4'!P36</f>
        <v>0</v>
      </c>
      <c r="Q36" s="4">
        <f t="shared" si="4"/>
        <v>0</v>
      </c>
      <c r="R36" s="4">
        <f>Q36+'4'!R36</f>
        <v>946</v>
      </c>
      <c r="S36" s="27">
        <f t="shared" si="5"/>
        <v>0.70334572490706315</v>
      </c>
      <c r="T36" s="12"/>
      <c r="U36" s="12">
        <f>T36+'4'!U36</f>
        <v>113</v>
      </c>
      <c r="V36" s="12"/>
      <c r="W36" s="12">
        <f>V36+'4'!W36</f>
        <v>4</v>
      </c>
      <c r="X36" s="12"/>
      <c r="Y36" s="12">
        <f>X36+'4'!Y36</f>
        <v>0</v>
      </c>
      <c r="AB36" s="5">
        <v>26</v>
      </c>
      <c r="AC36" s="26" t="str">
        <f>'4'!AC36</f>
        <v>كفر أبشيش</v>
      </c>
      <c r="AD36" s="28">
        <f>'4'!AI36</f>
        <v>24</v>
      </c>
      <c r="AE36" s="3"/>
      <c r="AF36" s="28">
        <f>AE36+'4'!AF36</f>
        <v>119</v>
      </c>
      <c r="AG36" s="4"/>
      <c r="AH36" s="28">
        <f>AG36+'4'!AH36</f>
        <v>95</v>
      </c>
      <c r="AI36" s="4">
        <f t="shared" si="6"/>
        <v>24</v>
      </c>
      <c r="AJ36" s="11" t="e">
        <f t="shared" si="0"/>
        <v>#DIV/0!</v>
      </c>
      <c r="AK36" s="53">
        <f t="shared" si="1"/>
        <v>9.9578947368421051</v>
      </c>
      <c r="AW36" s="26" t="str">
        <f>'4'!AW36</f>
        <v>كفر أبشيش</v>
      </c>
      <c r="AX36" s="12">
        <f>'4'!AX36</f>
        <v>1</v>
      </c>
      <c r="AY36" s="12">
        <f>'4'!AY36</f>
        <v>860</v>
      </c>
      <c r="AZ36" s="12"/>
      <c r="BA36" s="12"/>
      <c r="BB36" s="12">
        <f>BA36+'4'!BB36</f>
        <v>730</v>
      </c>
      <c r="BC36" s="30">
        <f t="shared" si="2"/>
        <v>0.84883720930232553</v>
      </c>
      <c r="BD36" s="12">
        <f>'4'!BD36</f>
        <v>4</v>
      </c>
      <c r="BE36" s="12">
        <f>'4'!BE36</f>
        <v>194</v>
      </c>
      <c r="BF36" s="12"/>
      <c r="BG36" s="12"/>
      <c r="BH36" s="12">
        <f>BG36+'4'!BH36</f>
        <v>0</v>
      </c>
      <c r="BI36" s="30">
        <f t="shared" si="3"/>
        <v>0</v>
      </c>
    </row>
    <row r="37" spans="1:61" ht="28.9" customHeight="1" x14ac:dyDescent="0.35">
      <c r="A37" s="5">
        <v>27</v>
      </c>
      <c r="B37" s="26" t="str">
        <f>'4'!B37</f>
        <v>كفر ميت العبسى</v>
      </c>
      <c r="C37" s="26">
        <f>'4'!C37</f>
        <v>1180</v>
      </c>
      <c r="D37" s="26"/>
      <c r="E37" s="12"/>
      <c r="F37" s="2">
        <f>E37+'4'!F37</f>
        <v>12</v>
      </c>
      <c r="G37" s="2"/>
      <c r="H37" s="2">
        <f>G37+'4'!H37</f>
        <v>248</v>
      </c>
      <c r="I37" s="2"/>
      <c r="J37" s="2">
        <f>I37+'4'!J37</f>
        <v>443</v>
      </c>
      <c r="K37" s="2"/>
      <c r="L37" s="2">
        <f>K37+'4'!L37</f>
        <v>0</v>
      </c>
      <c r="M37" s="2"/>
      <c r="N37" s="2">
        <f>M37+'4'!N37</f>
        <v>0</v>
      </c>
      <c r="O37" s="2"/>
      <c r="P37" s="2">
        <f>O37+'4'!P37</f>
        <v>0</v>
      </c>
      <c r="Q37" s="4">
        <f t="shared" si="4"/>
        <v>0</v>
      </c>
      <c r="R37" s="4">
        <f>Q37+'4'!R37</f>
        <v>703</v>
      </c>
      <c r="S37" s="27">
        <f t="shared" si="5"/>
        <v>0.59576271186440677</v>
      </c>
      <c r="T37" s="12"/>
      <c r="U37" s="12">
        <f>T37+'4'!U37</f>
        <v>53</v>
      </c>
      <c r="V37" s="12"/>
      <c r="W37" s="12">
        <f>V37+'4'!W37</f>
        <v>11</v>
      </c>
      <c r="X37" s="12"/>
      <c r="Y37" s="12">
        <f>X37+'4'!Y37</f>
        <v>0</v>
      </c>
      <c r="AB37" s="5">
        <v>27</v>
      </c>
      <c r="AC37" s="26" t="str">
        <f>'4'!AC37</f>
        <v>كفر ميت العبسى</v>
      </c>
      <c r="AD37" s="28">
        <f>'4'!AI37</f>
        <v>33</v>
      </c>
      <c r="AE37" s="3"/>
      <c r="AF37" s="28">
        <f>AE37+'4'!AF37</f>
        <v>104</v>
      </c>
      <c r="AG37" s="4"/>
      <c r="AH37" s="28">
        <f>AG37+'4'!AH37</f>
        <v>71</v>
      </c>
      <c r="AI37" s="4">
        <f t="shared" si="6"/>
        <v>33</v>
      </c>
      <c r="AJ37" s="11" t="e">
        <f t="shared" si="0"/>
        <v>#DIV/0!</v>
      </c>
      <c r="AK37" s="53">
        <f t="shared" si="1"/>
        <v>9.9014084507042259</v>
      </c>
      <c r="AW37" s="26" t="str">
        <f>'4'!AW37</f>
        <v>كفر ميت العبسى</v>
      </c>
      <c r="AX37" s="12">
        <f>'4'!AX37</f>
        <v>2</v>
      </c>
      <c r="AY37" s="12">
        <f>'4'!AY37</f>
        <v>494</v>
      </c>
      <c r="AZ37" s="12"/>
      <c r="BA37" s="12"/>
      <c r="BB37" s="12">
        <f>BA37+'4'!BB37</f>
        <v>418</v>
      </c>
      <c r="BC37" s="30">
        <f t="shared" si="2"/>
        <v>0.84615384615384615</v>
      </c>
      <c r="BD37" s="12">
        <f>'4'!BD37</f>
        <v>4</v>
      </c>
      <c r="BE37" s="12">
        <f>'4'!BE37</f>
        <v>114</v>
      </c>
      <c r="BF37" s="12"/>
      <c r="BG37" s="12"/>
      <c r="BH37" s="12">
        <f>BG37+'4'!BH37</f>
        <v>73</v>
      </c>
      <c r="BI37" s="30">
        <f t="shared" si="3"/>
        <v>0.64035087719298245</v>
      </c>
    </row>
    <row r="38" spans="1:61" ht="28.9" customHeight="1" x14ac:dyDescent="0.35">
      <c r="A38" s="5">
        <v>28</v>
      </c>
      <c r="B38" s="26" t="str">
        <f>'4'!B38</f>
        <v>كفر وهــــــــــب</v>
      </c>
      <c r="C38" s="26">
        <f>'4'!C38</f>
        <v>1854.9999999999998</v>
      </c>
      <c r="D38" s="26"/>
      <c r="E38" s="12"/>
      <c r="F38" s="2">
        <f>E38+'4'!F38</f>
        <v>7</v>
      </c>
      <c r="G38" s="2"/>
      <c r="H38" s="2">
        <f>G38+'4'!H38</f>
        <v>265</v>
      </c>
      <c r="I38" s="2"/>
      <c r="J38" s="2">
        <f>I38+'4'!J38</f>
        <v>618</v>
      </c>
      <c r="K38" s="2"/>
      <c r="L38" s="2">
        <f>K38+'4'!L38</f>
        <v>0</v>
      </c>
      <c r="M38" s="2"/>
      <c r="N38" s="2">
        <f>M38+'4'!N38</f>
        <v>0</v>
      </c>
      <c r="O38" s="2"/>
      <c r="P38" s="2">
        <f>O38+'4'!P38</f>
        <v>0</v>
      </c>
      <c r="Q38" s="4">
        <f t="shared" si="4"/>
        <v>0</v>
      </c>
      <c r="R38" s="4">
        <f>Q38+'4'!R38</f>
        <v>890</v>
      </c>
      <c r="S38" s="27">
        <f t="shared" si="5"/>
        <v>0.47978436657681944</v>
      </c>
      <c r="T38" s="12"/>
      <c r="U38" s="12">
        <f>T38+'4'!U38</f>
        <v>123</v>
      </c>
      <c r="V38" s="12"/>
      <c r="W38" s="12">
        <f>V38+'4'!W38</f>
        <v>7</v>
      </c>
      <c r="X38" s="12"/>
      <c r="Y38" s="12">
        <f>X38+'4'!Y38</f>
        <v>0</v>
      </c>
      <c r="AB38" s="5">
        <v>28</v>
      </c>
      <c r="AC38" s="26" t="str">
        <f>'4'!AC38</f>
        <v>كفر وهــــــــــب</v>
      </c>
      <c r="AD38" s="28">
        <f>'4'!AI38</f>
        <v>72</v>
      </c>
      <c r="AE38" s="3"/>
      <c r="AF38" s="28">
        <f>AE38+'4'!AF38</f>
        <v>163</v>
      </c>
      <c r="AG38" s="4"/>
      <c r="AH38" s="28">
        <f>AG38+'4'!AH38</f>
        <v>91</v>
      </c>
      <c r="AI38" s="4">
        <f t="shared" si="6"/>
        <v>72</v>
      </c>
      <c r="AJ38" s="11" t="e">
        <f t="shared" si="0"/>
        <v>#DIV/0!</v>
      </c>
      <c r="AK38" s="53">
        <f t="shared" si="1"/>
        <v>9.780219780219781</v>
      </c>
      <c r="AW38" s="26" t="str">
        <f>'4'!AW38</f>
        <v>كفر وهــــــــــب</v>
      </c>
      <c r="AX38" s="12">
        <f>'4'!AX38</f>
        <v>2</v>
      </c>
      <c r="AY38" s="12">
        <f>'4'!AY38</f>
        <v>793</v>
      </c>
      <c r="AZ38" s="12"/>
      <c r="BA38" s="12"/>
      <c r="BB38" s="12">
        <f>BA38+'4'!BB38</f>
        <v>623</v>
      </c>
      <c r="BC38" s="30">
        <f t="shared" si="2"/>
        <v>0.78562421185372</v>
      </c>
      <c r="BD38" s="12">
        <f>'4'!BD38</f>
        <v>3</v>
      </c>
      <c r="BE38" s="12">
        <f>'4'!BE38</f>
        <v>180</v>
      </c>
      <c r="BF38" s="12"/>
      <c r="BG38" s="12"/>
      <c r="BH38" s="12">
        <f>BG38+'4'!BH38</f>
        <v>160</v>
      </c>
      <c r="BI38" s="30">
        <f t="shared" si="3"/>
        <v>0.88888888888888884</v>
      </c>
    </row>
    <row r="39" spans="1:61" ht="28.9" customHeight="1" x14ac:dyDescent="0.35">
      <c r="A39" s="5">
        <v>29</v>
      </c>
      <c r="B39" s="26" t="str">
        <f>'4'!B39</f>
        <v>دمــــــــــــــهوج</v>
      </c>
      <c r="C39" s="26">
        <f>'4'!C39</f>
        <v>2738</v>
      </c>
      <c r="D39" s="26"/>
      <c r="E39" s="12"/>
      <c r="F39" s="2">
        <f>E39+'4'!F39</f>
        <v>11</v>
      </c>
      <c r="G39" s="2"/>
      <c r="H39" s="2">
        <f>G39+'4'!H39</f>
        <v>437</v>
      </c>
      <c r="I39" s="2"/>
      <c r="J39" s="2">
        <f>I39+'4'!J39</f>
        <v>832</v>
      </c>
      <c r="K39" s="2"/>
      <c r="L39" s="2">
        <f>K39+'4'!L39</f>
        <v>0</v>
      </c>
      <c r="M39" s="2"/>
      <c r="N39" s="2">
        <f>M39+'4'!N39</f>
        <v>0</v>
      </c>
      <c r="O39" s="2"/>
      <c r="P39" s="2">
        <f>O39+'4'!P39</f>
        <v>0</v>
      </c>
      <c r="Q39" s="4">
        <f t="shared" si="4"/>
        <v>0</v>
      </c>
      <c r="R39" s="4">
        <f>Q39+'4'!R39</f>
        <v>1280</v>
      </c>
      <c r="S39" s="27">
        <f t="shared" si="5"/>
        <v>0.46749452154857563</v>
      </c>
      <c r="T39" s="12"/>
      <c r="U39" s="12">
        <f>T39+'4'!U39</f>
        <v>158</v>
      </c>
      <c r="V39" s="12"/>
      <c r="W39" s="12">
        <f>V39+'4'!W39</f>
        <v>7</v>
      </c>
      <c r="X39" s="12"/>
      <c r="Y39" s="12">
        <f>X39+'4'!Y39</f>
        <v>0</v>
      </c>
      <c r="AB39" s="5">
        <v>29</v>
      </c>
      <c r="AC39" s="26" t="str">
        <f>'4'!AC39</f>
        <v>دمــــــــــــــهوج</v>
      </c>
      <c r="AD39" s="28">
        <f>'4'!AI39</f>
        <v>109</v>
      </c>
      <c r="AE39" s="3"/>
      <c r="AF39" s="28">
        <f>AE39+'4'!AF39</f>
        <v>240</v>
      </c>
      <c r="AG39" s="4"/>
      <c r="AH39" s="28">
        <f>AG39+'4'!AH39</f>
        <v>131</v>
      </c>
      <c r="AI39" s="4">
        <f t="shared" si="6"/>
        <v>109</v>
      </c>
      <c r="AJ39" s="11" t="e">
        <f t="shared" si="0"/>
        <v>#DIV/0!</v>
      </c>
      <c r="AK39" s="53">
        <f t="shared" si="1"/>
        <v>9.770992366412214</v>
      </c>
      <c r="AW39" s="26" t="str">
        <f>'4'!AW39</f>
        <v>دمــــــــــــــهوج</v>
      </c>
      <c r="AX39" s="12">
        <f>'4'!AX39</f>
        <v>2</v>
      </c>
      <c r="AY39" s="12">
        <f>'4'!AY39</f>
        <v>1086</v>
      </c>
      <c r="AZ39" s="12"/>
      <c r="BA39" s="12"/>
      <c r="BB39" s="12">
        <f>BA39+'4'!BB39</f>
        <v>834</v>
      </c>
      <c r="BC39" s="30">
        <f t="shared" si="2"/>
        <v>0.76795580110497241</v>
      </c>
      <c r="BD39" s="12">
        <f>'4'!BD39</f>
        <v>10</v>
      </c>
      <c r="BE39" s="12">
        <f>'4'!BE39</f>
        <v>455</v>
      </c>
      <c r="BF39" s="12"/>
      <c r="BG39" s="12"/>
      <c r="BH39" s="12">
        <f>BG39+'4'!BH39</f>
        <v>439</v>
      </c>
      <c r="BI39" s="30">
        <f t="shared" si="3"/>
        <v>0.96483516483516485</v>
      </c>
    </row>
    <row r="40" spans="1:61" ht="28.9" customHeight="1" x14ac:dyDescent="0.35">
      <c r="A40" s="5">
        <v>30</v>
      </c>
      <c r="B40" s="26" t="str">
        <f>'4'!B40</f>
        <v>كفر زين الدين</v>
      </c>
      <c r="C40" s="26">
        <f>'4'!C40</f>
        <v>819</v>
      </c>
      <c r="D40" s="26"/>
      <c r="E40" s="12"/>
      <c r="F40" s="2">
        <f>E40+'4'!F40</f>
        <v>9</v>
      </c>
      <c r="G40" s="2"/>
      <c r="H40" s="2">
        <f>G40+'4'!H40</f>
        <v>266</v>
      </c>
      <c r="I40" s="2"/>
      <c r="J40" s="2">
        <f>I40+'4'!J40</f>
        <v>430</v>
      </c>
      <c r="K40" s="2"/>
      <c r="L40" s="2">
        <f>K40+'4'!L40</f>
        <v>0</v>
      </c>
      <c r="M40" s="2"/>
      <c r="N40" s="2">
        <f>M40+'4'!N40</f>
        <v>0</v>
      </c>
      <c r="O40" s="2"/>
      <c r="P40" s="2">
        <f>O40+'4'!P40</f>
        <v>0</v>
      </c>
      <c r="Q40" s="4">
        <f t="shared" si="4"/>
        <v>0</v>
      </c>
      <c r="R40" s="4">
        <f>Q40+'4'!R40</f>
        <v>705</v>
      </c>
      <c r="S40" s="27">
        <f t="shared" si="5"/>
        <v>0.86080586080586086</v>
      </c>
      <c r="T40" s="12"/>
      <c r="U40" s="12">
        <f>T40+'4'!U40</f>
        <v>76</v>
      </c>
      <c r="V40" s="12"/>
      <c r="W40" s="12">
        <f>V40+'4'!W40</f>
        <v>26</v>
      </c>
      <c r="X40" s="12"/>
      <c r="Y40" s="12">
        <f>X40+'4'!Y40</f>
        <v>0</v>
      </c>
      <c r="AB40" s="5">
        <v>30</v>
      </c>
      <c r="AC40" s="26" t="str">
        <f>'4'!AC40</f>
        <v>كفر زين الدين</v>
      </c>
      <c r="AD40" s="28">
        <f>'4'!AI40</f>
        <v>9</v>
      </c>
      <c r="AE40" s="3"/>
      <c r="AF40" s="28">
        <f>AE40+'4'!AF40</f>
        <v>80</v>
      </c>
      <c r="AG40" s="4"/>
      <c r="AH40" s="28">
        <f>AG40+'4'!AH40</f>
        <v>71</v>
      </c>
      <c r="AI40" s="4">
        <f t="shared" si="6"/>
        <v>9</v>
      </c>
      <c r="AJ40" s="11" t="e">
        <f t="shared" si="0"/>
        <v>#DIV/0!</v>
      </c>
      <c r="AK40" s="53">
        <f t="shared" si="1"/>
        <v>9.929577464788732</v>
      </c>
      <c r="AW40" s="26" t="str">
        <f>'4'!AW40</f>
        <v>كفر زين الدين</v>
      </c>
      <c r="AX40" s="12">
        <f>'4'!AX40</f>
        <v>1</v>
      </c>
      <c r="AY40" s="12">
        <f>'4'!AY40</f>
        <v>563</v>
      </c>
      <c r="AZ40" s="12"/>
      <c r="BA40" s="12"/>
      <c r="BB40" s="12">
        <f>BA40+'4'!BB40</f>
        <v>364</v>
      </c>
      <c r="BC40" s="30">
        <f t="shared" si="2"/>
        <v>0.64653641207815271</v>
      </c>
      <c r="BD40" s="12">
        <f>'4'!BD40</f>
        <v>2</v>
      </c>
      <c r="BE40" s="12">
        <f>'4'!BE40</f>
        <v>87</v>
      </c>
      <c r="BF40" s="12"/>
      <c r="BG40" s="12"/>
      <c r="BH40" s="12">
        <f>BG40+'4'!BH40</f>
        <v>166</v>
      </c>
      <c r="BI40" s="30">
        <f t="shared" si="3"/>
        <v>1.9080459770114941</v>
      </c>
    </row>
    <row r="41" spans="1:61" ht="28.9" customHeight="1" x14ac:dyDescent="0.35">
      <c r="A41" s="5">
        <v>31</v>
      </c>
      <c r="B41" s="26" t="str">
        <f>'4'!B41</f>
        <v>عزبــة أبوالنصر</v>
      </c>
      <c r="C41" s="26">
        <f>'4'!C41</f>
        <v>410</v>
      </c>
      <c r="D41" s="26"/>
      <c r="E41" s="12"/>
      <c r="F41" s="2">
        <f>E41+'4'!F41</f>
        <v>10</v>
      </c>
      <c r="G41" s="2"/>
      <c r="H41" s="2">
        <f>G41+'4'!H41</f>
        <v>229</v>
      </c>
      <c r="I41" s="2"/>
      <c r="J41" s="2">
        <f>I41+'4'!J41</f>
        <v>120</v>
      </c>
      <c r="K41" s="2"/>
      <c r="L41" s="2">
        <f>K41+'4'!L41</f>
        <v>0</v>
      </c>
      <c r="M41" s="2"/>
      <c r="N41" s="2">
        <f>M41+'4'!N41</f>
        <v>0</v>
      </c>
      <c r="O41" s="2"/>
      <c r="P41" s="2">
        <f>O41+'4'!P41</f>
        <v>0</v>
      </c>
      <c r="Q41" s="4">
        <f t="shared" si="4"/>
        <v>0</v>
      </c>
      <c r="R41" s="4">
        <f>Q41+'4'!R41</f>
        <v>359</v>
      </c>
      <c r="S41" s="27">
        <f t="shared" si="5"/>
        <v>0.87560975609756098</v>
      </c>
      <c r="T41" s="12"/>
      <c r="U41" s="12">
        <f>T41+'4'!U41</f>
        <v>0</v>
      </c>
      <c r="V41" s="12"/>
      <c r="W41" s="12">
        <f>V41+'4'!W41</f>
        <v>0</v>
      </c>
      <c r="X41" s="12"/>
      <c r="Y41" s="12">
        <f>X41+'4'!Y41</f>
        <v>0</v>
      </c>
      <c r="AB41" s="5">
        <v>31</v>
      </c>
      <c r="AC41" s="26" t="str">
        <f>'4'!AC41</f>
        <v>عزبــة أبوالنصر</v>
      </c>
      <c r="AD41" s="28">
        <f>'4'!AI41</f>
        <v>4</v>
      </c>
      <c r="AE41" s="3"/>
      <c r="AF41" s="28">
        <f>AE41+'4'!AF41</f>
        <v>41</v>
      </c>
      <c r="AG41" s="4"/>
      <c r="AH41" s="28">
        <f>AG41+'4'!AH41</f>
        <v>37</v>
      </c>
      <c r="AI41" s="4">
        <f t="shared" si="6"/>
        <v>4</v>
      </c>
      <c r="AJ41" s="11" t="e">
        <f t="shared" si="0"/>
        <v>#DIV/0!</v>
      </c>
      <c r="AK41" s="53">
        <f t="shared" si="1"/>
        <v>9.7027027027027035</v>
      </c>
      <c r="AW41" s="26" t="str">
        <f>'4'!AW41</f>
        <v>عزبــة أبوالنصر</v>
      </c>
      <c r="AX41" s="12">
        <f>'4'!AX41</f>
        <v>2</v>
      </c>
      <c r="AY41" s="12">
        <f>'4'!AY41</f>
        <v>70</v>
      </c>
      <c r="AZ41" s="12"/>
      <c r="BA41" s="12"/>
      <c r="BB41" s="12">
        <f>BA41+'4'!BB41</f>
        <v>65</v>
      </c>
      <c r="BC41" s="30">
        <f t="shared" si="2"/>
        <v>0.9285714285714286</v>
      </c>
      <c r="BD41" s="12">
        <f>'4'!BD41</f>
        <v>3</v>
      </c>
      <c r="BE41" s="12">
        <f>'4'!BE41</f>
        <v>75</v>
      </c>
      <c r="BF41" s="12"/>
      <c r="BG41" s="12"/>
      <c r="BH41" s="12">
        <f>BG41+'4'!BH41</f>
        <v>36</v>
      </c>
      <c r="BI41" s="30">
        <f t="shared" si="3"/>
        <v>0.48</v>
      </c>
    </row>
    <row r="42" spans="1:61" ht="28.9" customHeight="1" x14ac:dyDescent="0.35">
      <c r="A42" s="5">
        <v>32</v>
      </c>
      <c r="B42" s="26" t="str">
        <f>'4'!B42</f>
        <v>شمنديــــــــــــــل</v>
      </c>
      <c r="C42" s="26">
        <f>'4'!C42</f>
        <v>880</v>
      </c>
      <c r="D42" s="26"/>
      <c r="E42" s="12"/>
      <c r="F42" s="2">
        <f>E42+'4'!F42</f>
        <v>7</v>
      </c>
      <c r="G42" s="2"/>
      <c r="H42" s="2">
        <f>G42+'4'!H42</f>
        <v>219</v>
      </c>
      <c r="I42" s="2"/>
      <c r="J42" s="2">
        <f>I42+'4'!J42</f>
        <v>421</v>
      </c>
      <c r="K42" s="2"/>
      <c r="L42" s="2">
        <f>K42+'4'!L42</f>
        <v>0</v>
      </c>
      <c r="M42" s="2"/>
      <c r="N42" s="2">
        <f>M42+'4'!N42</f>
        <v>0</v>
      </c>
      <c r="O42" s="2"/>
      <c r="P42" s="2">
        <f>O42+'4'!P42</f>
        <v>0</v>
      </c>
      <c r="Q42" s="4">
        <f t="shared" si="4"/>
        <v>0</v>
      </c>
      <c r="R42" s="4">
        <f>Q42+'4'!R42</f>
        <v>647</v>
      </c>
      <c r="S42" s="27">
        <f t="shared" si="5"/>
        <v>0.73522727272727273</v>
      </c>
      <c r="T42" s="12"/>
      <c r="U42" s="12">
        <f>T42+'4'!U42</f>
        <v>69</v>
      </c>
      <c r="V42" s="12"/>
      <c r="W42" s="12">
        <f>V42+'4'!W42</f>
        <v>11</v>
      </c>
      <c r="X42" s="12"/>
      <c r="Y42" s="12">
        <f>X42+'4'!Y42</f>
        <v>0</v>
      </c>
      <c r="AB42" s="5">
        <v>32</v>
      </c>
      <c r="AC42" s="26" t="str">
        <f>'4'!AC42</f>
        <v>شمنديــــــــــــــل</v>
      </c>
      <c r="AD42" s="28">
        <f>'4'!AI42</f>
        <v>9</v>
      </c>
      <c r="AE42" s="3"/>
      <c r="AF42" s="28">
        <f>AE42+'4'!AF42</f>
        <v>78</v>
      </c>
      <c r="AG42" s="4"/>
      <c r="AH42" s="28">
        <f>AG42+'4'!AH42</f>
        <v>69</v>
      </c>
      <c r="AI42" s="4">
        <f t="shared" si="6"/>
        <v>9</v>
      </c>
      <c r="AJ42" s="11" t="e">
        <f t="shared" si="0"/>
        <v>#DIV/0!</v>
      </c>
      <c r="AK42" s="53">
        <f t="shared" si="1"/>
        <v>9.3768115942028984</v>
      </c>
      <c r="AW42" s="26" t="str">
        <f>'4'!AW42</f>
        <v>شمنديــــــــــــــل</v>
      </c>
      <c r="AX42" s="12">
        <f>'4'!AX42</f>
        <v>2</v>
      </c>
      <c r="AY42" s="12">
        <f>'4'!AY42</f>
        <v>569</v>
      </c>
      <c r="AZ42" s="12"/>
      <c r="BA42" s="12"/>
      <c r="BB42" s="12">
        <f>BA42+'4'!BB42</f>
        <v>453</v>
      </c>
      <c r="BC42" s="30">
        <f t="shared" si="2"/>
        <v>0.79613356766256593</v>
      </c>
      <c r="BD42" s="12">
        <f>'4'!BD42</f>
        <v>1</v>
      </c>
      <c r="BE42" s="12">
        <f>'4'!BE42</f>
        <v>39</v>
      </c>
      <c r="BF42" s="12"/>
      <c r="BG42" s="12"/>
      <c r="BH42" s="12">
        <f>BG42+'4'!BH42</f>
        <v>82</v>
      </c>
      <c r="BI42" s="30">
        <f t="shared" si="3"/>
        <v>2.1025641025641026</v>
      </c>
    </row>
    <row r="43" spans="1:61" ht="28.9" customHeight="1" x14ac:dyDescent="0.35">
      <c r="A43" s="5">
        <v>33</v>
      </c>
      <c r="B43" s="26" t="str">
        <f>'4'!B43</f>
        <v>كفور الرمل</v>
      </c>
      <c r="C43" s="26">
        <f>'4'!C43</f>
        <v>1721</v>
      </c>
      <c r="D43" s="26"/>
      <c r="E43" s="12"/>
      <c r="F43" s="2">
        <f>E43+'4'!F43</f>
        <v>17</v>
      </c>
      <c r="G43" s="2"/>
      <c r="H43" s="2">
        <f>G43+'4'!H43</f>
        <v>505</v>
      </c>
      <c r="I43" s="2"/>
      <c r="J43" s="2">
        <f>I43+'4'!J43</f>
        <v>718</v>
      </c>
      <c r="K43" s="2"/>
      <c r="L43" s="2">
        <f>K43+'4'!L43</f>
        <v>0</v>
      </c>
      <c r="M43" s="2"/>
      <c r="N43" s="2">
        <f>M43+'4'!N43</f>
        <v>0</v>
      </c>
      <c r="O43" s="2"/>
      <c r="P43" s="2">
        <f>O43+'4'!P43</f>
        <v>0</v>
      </c>
      <c r="Q43" s="4">
        <f t="shared" si="4"/>
        <v>0</v>
      </c>
      <c r="R43" s="4">
        <f>Q43+'4'!R43</f>
        <v>1240</v>
      </c>
      <c r="S43" s="27">
        <f t="shared" si="5"/>
        <v>0.72051133062173156</v>
      </c>
      <c r="T43" s="12"/>
      <c r="U43" s="12">
        <f>T43+'4'!U43</f>
        <v>192</v>
      </c>
      <c r="V43" s="12"/>
      <c r="W43" s="12">
        <f>V43+'4'!W43</f>
        <v>100</v>
      </c>
      <c r="X43" s="12"/>
      <c r="Y43" s="12">
        <f>X43+'4'!Y43</f>
        <v>0</v>
      </c>
      <c r="AB43" s="5">
        <v>33</v>
      </c>
      <c r="AC43" s="26" t="str">
        <f>'4'!AC43</f>
        <v>كفور الرمل</v>
      </c>
      <c r="AD43" s="28">
        <f>'4'!AI43</f>
        <v>15</v>
      </c>
      <c r="AE43" s="3"/>
      <c r="AF43" s="28">
        <f>AE43+'4'!AF43</f>
        <v>150</v>
      </c>
      <c r="AG43" s="4"/>
      <c r="AH43" s="28">
        <f>AG43+'4'!AH43</f>
        <v>135</v>
      </c>
      <c r="AI43" s="4">
        <f t="shared" si="6"/>
        <v>15</v>
      </c>
      <c r="AJ43" s="11" t="e">
        <f t="shared" si="0"/>
        <v>#DIV/0!</v>
      </c>
      <c r="AK43" s="53">
        <f t="shared" si="1"/>
        <v>9.1851851851851851</v>
      </c>
      <c r="AW43" s="26" t="str">
        <f>'4'!AW43</f>
        <v>كفور الرمل</v>
      </c>
      <c r="AX43" s="12">
        <f>'4'!AX43</f>
        <v>4</v>
      </c>
      <c r="AY43" s="12">
        <f>'4'!AY43</f>
        <v>1335</v>
      </c>
      <c r="AZ43" s="12"/>
      <c r="BA43" s="12"/>
      <c r="BB43" s="12">
        <f>BA43+'4'!BB43</f>
        <v>918</v>
      </c>
      <c r="BC43" s="30">
        <f t="shared" si="2"/>
        <v>0.68764044943820224</v>
      </c>
      <c r="BD43" s="12">
        <f>'4'!BD43</f>
        <v>7</v>
      </c>
      <c r="BE43" s="12">
        <f>'4'!BE43</f>
        <v>753</v>
      </c>
      <c r="BF43" s="12"/>
      <c r="BG43" s="12"/>
      <c r="BH43" s="12">
        <f>BG43+'4'!BH43</f>
        <v>414</v>
      </c>
      <c r="BI43" s="30">
        <f t="shared" si="3"/>
        <v>0.54980079681274896</v>
      </c>
    </row>
    <row r="44" spans="1:61" ht="28.9" customHeight="1" x14ac:dyDescent="0.35">
      <c r="A44" s="5">
        <v>34</v>
      </c>
      <c r="B44" s="26" t="str">
        <f>'4'!B44</f>
        <v>منشأة أم خنان</v>
      </c>
      <c r="C44" s="26">
        <f>'4'!C44</f>
        <v>510</v>
      </c>
      <c r="D44" s="26"/>
      <c r="E44" s="12"/>
      <c r="F44" s="2">
        <f>E44+'4'!F44</f>
        <v>12</v>
      </c>
      <c r="G44" s="2"/>
      <c r="H44" s="2">
        <f>G44+'4'!H44</f>
        <v>194</v>
      </c>
      <c r="I44" s="2"/>
      <c r="J44" s="2">
        <f>I44+'4'!J44</f>
        <v>291</v>
      </c>
      <c r="K44" s="2"/>
      <c r="L44" s="2">
        <f>K44+'4'!L44</f>
        <v>0</v>
      </c>
      <c r="M44" s="2"/>
      <c r="N44" s="2">
        <f>M44+'4'!N44</f>
        <v>0</v>
      </c>
      <c r="O44" s="2"/>
      <c r="P44" s="2">
        <f>O44+'4'!P44</f>
        <v>0</v>
      </c>
      <c r="Q44" s="4">
        <f t="shared" si="4"/>
        <v>0</v>
      </c>
      <c r="R44" s="4">
        <f>Q44+'4'!R44</f>
        <v>497</v>
      </c>
      <c r="S44" s="27">
        <f t="shared" si="5"/>
        <v>0.97450980392156861</v>
      </c>
      <c r="T44" s="12"/>
      <c r="U44" s="12">
        <f>T44+'4'!U44</f>
        <v>11</v>
      </c>
      <c r="V44" s="12"/>
      <c r="W44" s="12">
        <f>V44+'4'!W44</f>
        <v>7</v>
      </c>
      <c r="X44" s="12"/>
      <c r="Y44" s="12">
        <f>X44+'4'!Y44</f>
        <v>0</v>
      </c>
      <c r="AB44" s="5">
        <v>34</v>
      </c>
      <c r="AC44" s="26" t="str">
        <f>'4'!AC44</f>
        <v>منشأة أم خنان</v>
      </c>
      <c r="AD44" s="28">
        <f>'4'!AI44</f>
        <v>4</v>
      </c>
      <c r="AE44" s="3"/>
      <c r="AF44" s="28">
        <f>AE44+'4'!AF44</f>
        <v>55</v>
      </c>
      <c r="AG44" s="4"/>
      <c r="AH44" s="28">
        <f>AG44+'4'!AH44</f>
        <v>51</v>
      </c>
      <c r="AI44" s="4">
        <f t="shared" si="6"/>
        <v>4</v>
      </c>
      <c r="AJ44" s="11" t="e">
        <f t="shared" si="0"/>
        <v>#DIV/0!</v>
      </c>
      <c r="AK44" s="53">
        <f t="shared" si="1"/>
        <v>9.7450980392156854</v>
      </c>
      <c r="AW44" s="26" t="str">
        <f>'4'!AW44</f>
        <v>منشأة أم خنان</v>
      </c>
      <c r="AX44" s="12">
        <f>'4'!AX44</f>
        <v>1</v>
      </c>
      <c r="AY44" s="12">
        <f>'4'!AY44</f>
        <v>277</v>
      </c>
      <c r="AZ44" s="12"/>
      <c r="BA44" s="12"/>
      <c r="BB44" s="12">
        <f>BA44+'4'!BB44</f>
        <v>269</v>
      </c>
      <c r="BC44" s="30">
        <f t="shared" si="2"/>
        <v>0.97111913357400725</v>
      </c>
      <c r="BD44" s="12">
        <f>'4'!BD44</f>
        <v>3</v>
      </c>
      <c r="BE44" s="12">
        <f>'4'!BE44</f>
        <v>170</v>
      </c>
      <c r="BF44" s="12"/>
      <c r="BG44" s="12"/>
      <c r="BH44" s="12">
        <f>BG44+'4'!BH44</f>
        <v>115</v>
      </c>
      <c r="BI44" s="30">
        <f t="shared" si="3"/>
        <v>0.67647058823529416</v>
      </c>
    </row>
    <row r="45" spans="1:61" ht="28.9" customHeight="1" x14ac:dyDescent="0.35">
      <c r="A45" s="5">
        <v>35</v>
      </c>
      <c r="B45" s="26">
        <f>'4'!B45</f>
        <v>0</v>
      </c>
      <c r="C45" s="26">
        <f>'4'!C45</f>
        <v>0</v>
      </c>
      <c r="D45" s="26"/>
      <c r="E45" s="12"/>
      <c r="F45" s="2">
        <f>E45+'4'!F45</f>
        <v>0</v>
      </c>
      <c r="G45" s="2"/>
      <c r="H45" s="2">
        <f>G45+'4'!H45</f>
        <v>0</v>
      </c>
      <c r="I45" s="2"/>
      <c r="J45" s="2">
        <f>I45+'4'!J45</f>
        <v>0</v>
      </c>
      <c r="K45" s="2"/>
      <c r="L45" s="2">
        <f>K45+'4'!L45</f>
        <v>0</v>
      </c>
      <c r="M45" s="2"/>
      <c r="N45" s="2">
        <f>M45+'4'!N45</f>
        <v>0</v>
      </c>
      <c r="O45" s="2"/>
      <c r="P45" s="2">
        <f>O45+'4'!P45</f>
        <v>0</v>
      </c>
      <c r="Q45" s="4">
        <f t="shared" si="4"/>
        <v>0</v>
      </c>
      <c r="R45" s="4">
        <f>Q45+'4'!R45</f>
        <v>0</v>
      </c>
      <c r="S45" s="27" t="e">
        <f t="shared" si="5"/>
        <v>#DIV/0!</v>
      </c>
      <c r="T45" s="12"/>
      <c r="U45" s="12">
        <f>T45+'4'!U45</f>
        <v>0</v>
      </c>
      <c r="V45" s="12"/>
      <c r="W45" s="12">
        <f>V45+'4'!W45</f>
        <v>0</v>
      </c>
      <c r="X45" s="12"/>
      <c r="Y45" s="12">
        <f>X45+'4'!Y45</f>
        <v>0</v>
      </c>
      <c r="AB45" s="5">
        <v>35</v>
      </c>
      <c r="AC45" s="26">
        <f>'4'!AC45</f>
        <v>0</v>
      </c>
      <c r="AD45" s="28">
        <f>'4'!AI45</f>
        <v>0</v>
      </c>
      <c r="AE45" s="3"/>
      <c r="AF45" s="28">
        <f>AE45+'4'!AF45</f>
        <v>0</v>
      </c>
      <c r="AG45" s="4"/>
      <c r="AH45" s="28">
        <f>AG45+'4'!AH45</f>
        <v>0</v>
      </c>
      <c r="AI45" s="4">
        <f t="shared" si="6"/>
        <v>0</v>
      </c>
      <c r="AJ45" s="11" t="e">
        <f t="shared" si="0"/>
        <v>#DIV/0!</v>
      </c>
      <c r="AK45" s="53" t="e">
        <f t="shared" si="1"/>
        <v>#DIV/0!</v>
      </c>
      <c r="AW45" s="26">
        <f>'4'!AW45</f>
        <v>0</v>
      </c>
      <c r="AX45" s="12">
        <f>'4'!AX45</f>
        <v>0</v>
      </c>
      <c r="AY45" s="12">
        <f>'4'!AY45</f>
        <v>0</v>
      </c>
      <c r="AZ45" s="12"/>
      <c r="BA45" s="12"/>
      <c r="BB45" s="12">
        <f>BA45+'4'!BB45</f>
        <v>0</v>
      </c>
      <c r="BC45" s="30" t="e">
        <f t="shared" si="2"/>
        <v>#DIV/0!</v>
      </c>
      <c r="BD45" s="12">
        <f>'4'!BD45</f>
        <v>0</v>
      </c>
      <c r="BE45" s="12">
        <f>'4'!BE45</f>
        <v>0</v>
      </c>
      <c r="BF45" s="12"/>
      <c r="BG45" s="12"/>
      <c r="BH45" s="12">
        <f>BG45+'4'!BH45</f>
        <v>0</v>
      </c>
      <c r="BI45" s="30" t="e">
        <f t="shared" si="3"/>
        <v>#DIV/0!</v>
      </c>
    </row>
    <row r="46" spans="1:61" ht="28.9" customHeight="1" x14ac:dyDescent="0.35">
      <c r="A46" s="5">
        <v>36</v>
      </c>
      <c r="B46" s="26">
        <f>'4'!B46</f>
        <v>0</v>
      </c>
      <c r="C46" s="26">
        <f>'4'!C46</f>
        <v>0</v>
      </c>
      <c r="D46" s="26"/>
      <c r="E46" s="12"/>
      <c r="F46" s="2">
        <f>E46+'4'!F46</f>
        <v>0</v>
      </c>
      <c r="G46" s="2"/>
      <c r="H46" s="2">
        <f>G46+'4'!H46</f>
        <v>0</v>
      </c>
      <c r="I46" s="2"/>
      <c r="J46" s="2">
        <f>I46+'4'!J46</f>
        <v>0</v>
      </c>
      <c r="K46" s="2"/>
      <c r="L46" s="2">
        <f>K46+'4'!L46</f>
        <v>0</v>
      </c>
      <c r="M46" s="2"/>
      <c r="N46" s="2">
        <f>M46+'4'!N46</f>
        <v>0</v>
      </c>
      <c r="O46" s="2"/>
      <c r="P46" s="2">
        <f>O46+'4'!P46</f>
        <v>0</v>
      </c>
      <c r="Q46" s="4">
        <f t="shared" si="4"/>
        <v>0</v>
      </c>
      <c r="R46" s="4">
        <f>Q46+'4'!R46</f>
        <v>0</v>
      </c>
      <c r="S46" s="27" t="e">
        <f t="shared" si="5"/>
        <v>#DIV/0!</v>
      </c>
      <c r="T46" s="12"/>
      <c r="U46" s="12">
        <f>T46+'4'!U46</f>
        <v>0</v>
      </c>
      <c r="V46" s="12"/>
      <c r="W46" s="12">
        <f>V46+'4'!W46</f>
        <v>0</v>
      </c>
      <c r="X46" s="12"/>
      <c r="Y46" s="12">
        <f>X46+'4'!Y46</f>
        <v>0</v>
      </c>
      <c r="AB46" s="5">
        <v>36</v>
      </c>
      <c r="AC46" s="26">
        <f>'4'!AC46</f>
        <v>0</v>
      </c>
      <c r="AD46" s="28">
        <f>'4'!AI46</f>
        <v>0</v>
      </c>
      <c r="AE46" s="3"/>
      <c r="AF46" s="28">
        <f>AE46+'4'!AF46</f>
        <v>0</v>
      </c>
      <c r="AG46" s="4"/>
      <c r="AH46" s="28">
        <f>AG46+'4'!AH46</f>
        <v>0</v>
      </c>
      <c r="AI46" s="4">
        <f t="shared" si="6"/>
        <v>0</v>
      </c>
      <c r="AJ46" s="11" t="e">
        <f t="shared" si="0"/>
        <v>#DIV/0!</v>
      </c>
      <c r="AK46" s="53" t="e">
        <f t="shared" si="1"/>
        <v>#DIV/0!</v>
      </c>
      <c r="AW46" s="26">
        <f>'4'!AW46</f>
        <v>0</v>
      </c>
      <c r="AX46" s="12">
        <f>'4'!AX46</f>
        <v>0</v>
      </c>
      <c r="AY46" s="12">
        <f>'4'!AY46</f>
        <v>0</v>
      </c>
      <c r="AZ46" s="12"/>
      <c r="BA46" s="12"/>
      <c r="BB46" s="12">
        <f>BA46+'4'!BB46</f>
        <v>0</v>
      </c>
      <c r="BC46" s="30" t="e">
        <f t="shared" si="2"/>
        <v>#DIV/0!</v>
      </c>
      <c r="BD46" s="12">
        <f>'4'!BD46</f>
        <v>0</v>
      </c>
      <c r="BE46" s="12">
        <f>'4'!BE46</f>
        <v>0</v>
      </c>
      <c r="BF46" s="12"/>
      <c r="BG46" s="12"/>
      <c r="BH46" s="12">
        <f>BG46+'4'!BH46</f>
        <v>0</v>
      </c>
      <c r="BI46" s="30" t="e">
        <f t="shared" si="3"/>
        <v>#DIV/0!</v>
      </c>
    </row>
    <row r="47" spans="1:61" ht="28.9" customHeight="1" x14ac:dyDescent="0.35">
      <c r="A47" s="5">
        <v>37</v>
      </c>
      <c r="B47" s="26">
        <f>'4'!B47</f>
        <v>0</v>
      </c>
      <c r="C47" s="26">
        <f>'4'!C47</f>
        <v>0</v>
      </c>
      <c r="D47" s="26"/>
      <c r="E47" s="12"/>
      <c r="F47" s="2">
        <f>E47+'4'!F47</f>
        <v>0</v>
      </c>
      <c r="G47" s="2"/>
      <c r="H47" s="2">
        <f>G47+'4'!H47</f>
        <v>0</v>
      </c>
      <c r="I47" s="2"/>
      <c r="J47" s="2">
        <f>I47+'4'!J47</f>
        <v>0</v>
      </c>
      <c r="K47" s="2"/>
      <c r="L47" s="2">
        <f>K47+'4'!L47</f>
        <v>0</v>
      </c>
      <c r="M47" s="2"/>
      <c r="N47" s="2">
        <f>M47+'4'!N47</f>
        <v>0</v>
      </c>
      <c r="O47" s="2"/>
      <c r="P47" s="2">
        <f>O47+'4'!P47</f>
        <v>0</v>
      </c>
      <c r="Q47" s="4">
        <f t="shared" si="4"/>
        <v>0</v>
      </c>
      <c r="R47" s="4">
        <f>Q47+'4'!R47</f>
        <v>0</v>
      </c>
      <c r="S47" s="27" t="e">
        <f t="shared" si="5"/>
        <v>#DIV/0!</v>
      </c>
      <c r="T47" s="12"/>
      <c r="U47" s="12">
        <f>T47+'4'!U47</f>
        <v>0</v>
      </c>
      <c r="V47" s="12"/>
      <c r="W47" s="12">
        <f>V47+'4'!W47</f>
        <v>0</v>
      </c>
      <c r="X47" s="12"/>
      <c r="Y47" s="12">
        <f>X47+'4'!Y47</f>
        <v>0</v>
      </c>
      <c r="AB47" s="5">
        <v>37</v>
      </c>
      <c r="AC47" s="26">
        <f>'4'!AC47</f>
        <v>0</v>
      </c>
      <c r="AD47" s="28">
        <f>'4'!AI47</f>
        <v>0</v>
      </c>
      <c r="AE47" s="3"/>
      <c r="AF47" s="28">
        <f>AE47+'4'!AF47</f>
        <v>0</v>
      </c>
      <c r="AG47" s="4"/>
      <c r="AH47" s="28">
        <f>AG47+'4'!AH47</f>
        <v>0</v>
      </c>
      <c r="AI47" s="4">
        <f t="shared" si="6"/>
        <v>0</v>
      </c>
      <c r="AJ47" s="11" t="e">
        <f t="shared" si="0"/>
        <v>#DIV/0!</v>
      </c>
      <c r="AK47" s="53" t="e">
        <f t="shared" si="1"/>
        <v>#DIV/0!</v>
      </c>
      <c r="AW47" s="26">
        <f>'4'!AW47</f>
        <v>0</v>
      </c>
      <c r="AX47" s="12">
        <f>'4'!AX47</f>
        <v>0</v>
      </c>
      <c r="AY47" s="12">
        <f>'4'!AY47</f>
        <v>0</v>
      </c>
      <c r="AZ47" s="12"/>
      <c r="BA47" s="12"/>
      <c r="BB47" s="12">
        <f>BA47+'4'!BB47</f>
        <v>0</v>
      </c>
      <c r="BC47" s="30" t="e">
        <f t="shared" si="2"/>
        <v>#DIV/0!</v>
      </c>
      <c r="BD47" s="12">
        <f>'4'!BD47</f>
        <v>0</v>
      </c>
      <c r="BE47" s="12">
        <f>'4'!BE47</f>
        <v>0</v>
      </c>
      <c r="BF47" s="12"/>
      <c r="BG47" s="12"/>
      <c r="BH47" s="12">
        <f>BG47+'4'!BH47</f>
        <v>0</v>
      </c>
      <c r="BI47" s="30" t="e">
        <f t="shared" si="3"/>
        <v>#DIV/0!</v>
      </c>
    </row>
    <row r="48" spans="1:61" ht="28.9" customHeight="1" x14ac:dyDescent="0.35">
      <c r="A48" s="5">
        <v>38</v>
      </c>
      <c r="B48" s="26">
        <f>'4'!B48</f>
        <v>0</v>
      </c>
      <c r="C48" s="26">
        <f>'4'!C48</f>
        <v>0</v>
      </c>
      <c r="D48" s="26"/>
      <c r="E48" s="12"/>
      <c r="F48" s="2">
        <f>E48+'4'!F48</f>
        <v>0</v>
      </c>
      <c r="G48" s="2"/>
      <c r="H48" s="2">
        <f>G48+'4'!H48</f>
        <v>0</v>
      </c>
      <c r="I48" s="2"/>
      <c r="J48" s="2">
        <f>I48+'4'!J48</f>
        <v>0</v>
      </c>
      <c r="K48" s="2"/>
      <c r="L48" s="2">
        <f>K48+'4'!L48</f>
        <v>0</v>
      </c>
      <c r="M48" s="2"/>
      <c r="N48" s="2">
        <f>M48+'4'!N48</f>
        <v>0</v>
      </c>
      <c r="O48" s="2"/>
      <c r="P48" s="2">
        <f>O48+'4'!P48</f>
        <v>0</v>
      </c>
      <c r="Q48" s="4">
        <f t="shared" si="4"/>
        <v>0</v>
      </c>
      <c r="R48" s="4">
        <f>Q48+'4'!R48</f>
        <v>0</v>
      </c>
      <c r="S48" s="27" t="e">
        <f t="shared" si="5"/>
        <v>#DIV/0!</v>
      </c>
      <c r="T48" s="12"/>
      <c r="U48" s="12">
        <f>T48+'4'!U48</f>
        <v>0</v>
      </c>
      <c r="V48" s="12"/>
      <c r="W48" s="12">
        <f>V48+'4'!W48</f>
        <v>0</v>
      </c>
      <c r="X48" s="12"/>
      <c r="Y48" s="12">
        <f>X48+'4'!Y48</f>
        <v>0</v>
      </c>
      <c r="AB48" s="5">
        <v>38</v>
      </c>
      <c r="AC48" s="26">
        <f>'4'!AC48</f>
        <v>0</v>
      </c>
      <c r="AD48" s="28">
        <f>'4'!AI48</f>
        <v>0</v>
      </c>
      <c r="AE48" s="3"/>
      <c r="AF48" s="28">
        <f>AE48+'4'!AF48</f>
        <v>0</v>
      </c>
      <c r="AG48" s="4"/>
      <c r="AH48" s="28">
        <f>AG48+'4'!AH48</f>
        <v>0</v>
      </c>
      <c r="AI48" s="4">
        <f t="shared" si="6"/>
        <v>0</v>
      </c>
      <c r="AJ48" s="11" t="e">
        <f t="shared" si="0"/>
        <v>#DIV/0!</v>
      </c>
      <c r="AK48" s="53" t="e">
        <f t="shared" si="1"/>
        <v>#DIV/0!</v>
      </c>
      <c r="AW48" s="26">
        <f>'4'!AW48</f>
        <v>0</v>
      </c>
      <c r="AX48" s="12">
        <f>'4'!AX48</f>
        <v>0</v>
      </c>
      <c r="AY48" s="12">
        <f>'4'!AY48</f>
        <v>0</v>
      </c>
      <c r="AZ48" s="12"/>
      <c r="BA48" s="12"/>
      <c r="BB48" s="12">
        <f>BA48+'4'!BB48</f>
        <v>0</v>
      </c>
      <c r="BC48" s="30" t="e">
        <f t="shared" si="2"/>
        <v>#DIV/0!</v>
      </c>
      <c r="BD48" s="12">
        <f>'4'!BD48</f>
        <v>0</v>
      </c>
      <c r="BE48" s="12">
        <f>'4'!BE48</f>
        <v>0</v>
      </c>
      <c r="BF48" s="12"/>
      <c r="BG48" s="12"/>
      <c r="BH48" s="12">
        <f>BG48+'4'!BH48</f>
        <v>0</v>
      </c>
      <c r="BI48" s="30" t="e">
        <f t="shared" si="3"/>
        <v>#DIV/0!</v>
      </c>
    </row>
    <row r="49" spans="1:61" ht="28.9" customHeight="1" x14ac:dyDescent="0.35">
      <c r="A49" s="5">
        <v>39</v>
      </c>
      <c r="B49" s="26">
        <f>'4'!B49</f>
        <v>0</v>
      </c>
      <c r="C49" s="26">
        <f>'4'!C49</f>
        <v>0</v>
      </c>
      <c r="D49" s="26"/>
      <c r="E49" s="12"/>
      <c r="F49" s="2">
        <f>E49+'4'!F49</f>
        <v>0</v>
      </c>
      <c r="G49" s="2"/>
      <c r="H49" s="2">
        <f>G49+'4'!H49</f>
        <v>0</v>
      </c>
      <c r="I49" s="2"/>
      <c r="J49" s="2">
        <f>I49+'4'!J49</f>
        <v>0</v>
      </c>
      <c r="K49" s="2"/>
      <c r="L49" s="2">
        <f>K49+'4'!L49</f>
        <v>0</v>
      </c>
      <c r="M49" s="2"/>
      <c r="N49" s="2">
        <f>M49+'4'!N49</f>
        <v>0</v>
      </c>
      <c r="O49" s="2"/>
      <c r="P49" s="2">
        <f>O49+'4'!P49</f>
        <v>0</v>
      </c>
      <c r="Q49" s="4">
        <f t="shared" si="4"/>
        <v>0</v>
      </c>
      <c r="R49" s="4">
        <f>Q49+'4'!R49</f>
        <v>0</v>
      </c>
      <c r="S49" s="27" t="e">
        <f t="shared" si="5"/>
        <v>#DIV/0!</v>
      </c>
      <c r="T49" s="12"/>
      <c r="U49" s="12">
        <f>T49+'4'!U49</f>
        <v>0</v>
      </c>
      <c r="V49" s="12"/>
      <c r="W49" s="12">
        <f>V49+'4'!W49</f>
        <v>0</v>
      </c>
      <c r="X49" s="12"/>
      <c r="Y49" s="12">
        <f>X49+'4'!Y49</f>
        <v>0</v>
      </c>
      <c r="AB49" s="5">
        <v>39</v>
      </c>
      <c r="AC49" s="26">
        <f>'4'!AC49</f>
        <v>0</v>
      </c>
      <c r="AD49" s="28">
        <f>'4'!AI49</f>
        <v>0</v>
      </c>
      <c r="AE49" s="3"/>
      <c r="AF49" s="28">
        <f>AE49+'4'!AF49</f>
        <v>0</v>
      </c>
      <c r="AG49" s="4"/>
      <c r="AH49" s="28">
        <f>AG49+'4'!AH49</f>
        <v>0</v>
      </c>
      <c r="AI49" s="4">
        <f t="shared" si="6"/>
        <v>0</v>
      </c>
      <c r="AJ49" s="11" t="e">
        <f t="shared" si="0"/>
        <v>#DIV/0!</v>
      </c>
      <c r="AK49" s="53" t="e">
        <f t="shared" si="1"/>
        <v>#DIV/0!</v>
      </c>
      <c r="AW49" s="26">
        <f>'4'!AW49</f>
        <v>0</v>
      </c>
      <c r="AX49" s="12">
        <f>'4'!AX49</f>
        <v>0</v>
      </c>
      <c r="AY49" s="12">
        <f>'4'!AY49</f>
        <v>0</v>
      </c>
      <c r="AZ49" s="12"/>
      <c r="BA49" s="12"/>
      <c r="BB49" s="12">
        <f>BA49+'4'!BB49</f>
        <v>0</v>
      </c>
      <c r="BC49" s="30" t="e">
        <f t="shared" si="2"/>
        <v>#DIV/0!</v>
      </c>
      <c r="BD49" s="12">
        <f>'4'!BD49</f>
        <v>0</v>
      </c>
      <c r="BE49" s="12">
        <f>'4'!BE49</f>
        <v>0</v>
      </c>
      <c r="BF49" s="12"/>
      <c r="BG49" s="12"/>
      <c r="BH49" s="12">
        <f>BG49+'4'!BH49</f>
        <v>0</v>
      </c>
      <c r="BI49" s="30" t="e">
        <f t="shared" si="3"/>
        <v>#DIV/0!</v>
      </c>
    </row>
    <row r="50" spans="1:61" ht="28.9" customHeight="1" x14ac:dyDescent="0.35">
      <c r="A50" s="5">
        <v>40</v>
      </c>
      <c r="B50" s="26">
        <f>'4'!B50</f>
        <v>0</v>
      </c>
      <c r="C50" s="26">
        <f>'4'!C50</f>
        <v>0</v>
      </c>
      <c r="D50" s="26"/>
      <c r="E50" s="12"/>
      <c r="F50" s="2">
        <f>E50+'4'!F50</f>
        <v>0</v>
      </c>
      <c r="G50" s="2"/>
      <c r="H50" s="2">
        <f>G50+'4'!H50</f>
        <v>0</v>
      </c>
      <c r="I50" s="2"/>
      <c r="J50" s="2">
        <f>I50+'4'!J50</f>
        <v>0</v>
      </c>
      <c r="K50" s="2"/>
      <c r="L50" s="2">
        <f>K50+'4'!L50</f>
        <v>0</v>
      </c>
      <c r="M50" s="2"/>
      <c r="N50" s="2">
        <f>M50+'4'!N50</f>
        <v>0</v>
      </c>
      <c r="O50" s="2"/>
      <c r="P50" s="2">
        <f>O50+'4'!P50</f>
        <v>0</v>
      </c>
      <c r="Q50" s="4">
        <f t="shared" si="4"/>
        <v>0</v>
      </c>
      <c r="R50" s="4">
        <f>Q50+'4'!R50</f>
        <v>0</v>
      </c>
      <c r="S50" s="27" t="e">
        <f t="shared" si="5"/>
        <v>#DIV/0!</v>
      </c>
      <c r="T50" s="12"/>
      <c r="U50" s="12">
        <f>T50+'4'!U50</f>
        <v>0</v>
      </c>
      <c r="V50" s="12"/>
      <c r="W50" s="12">
        <f>V50+'4'!W50</f>
        <v>0</v>
      </c>
      <c r="X50" s="12"/>
      <c r="Y50" s="12">
        <f>X50+'4'!Y50</f>
        <v>0</v>
      </c>
      <c r="AB50" s="5">
        <v>40</v>
      </c>
      <c r="AC50" s="26">
        <f>'4'!AC50</f>
        <v>0</v>
      </c>
      <c r="AD50" s="28">
        <f>'4'!AI50</f>
        <v>0</v>
      </c>
      <c r="AE50" s="3"/>
      <c r="AF50" s="28">
        <f>AE50+'4'!AF50</f>
        <v>0</v>
      </c>
      <c r="AG50" s="4"/>
      <c r="AH50" s="28">
        <f>AG50+'4'!AH50</f>
        <v>0</v>
      </c>
      <c r="AI50" s="4">
        <f t="shared" si="6"/>
        <v>0</v>
      </c>
      <c r="AJ50" s="11" t="e">
        <f t="shared" si="0"/>
        <v>#DIV/0!</v>
      </c>
      <c r="AK50" s="53" t="e">
        <f t="shared" si="1"/>
        <v>#DIV/0!</v>
      </c>
      <c r="AW50" s="26">
        <f>'4'!AW50</f>
        <v>0</v>
      </c>
      <c r="AX50" s="12">
        <f>'4'!AX50</f>
        <v>0</v>
      </c>
      <c r="AY50" s="12">
        <f>'4'!AY50</f>
        <v>0</v>
      </c>
      <c r="AZ50" s="12"/>
      <c r="BA50" s="12"/>
      <c r="BB50" s="12">
        <f>BA50+'4'!BB50</f>
        <v>0</v>
      </c>
      <c r="BC50" s="30" t="e">
        <f t="shared" si="2"/>
        <v>#DIV/0!</v>
      </c>
      <c r="BD50" s="12">
        <f>'4'!BD50</f>
        <v>0</v>
      </c>
      <c r="BE50" s="12">
        <f>'4'!BE50</f>
        <v>0</v>
      </c>
      <c r="BF50" s="12"/>
      <c r="BG50" s="12"/>
      <c r="BH50" s="12">
        <f>BG50+'4'!BH50</f>
        <v>0</v>
      </c>
      <c r="BI50" s="30" t="e">
        <f t="shared" si="3"/>
        <v>#DIV/0!</v>
      </c>
    </row>
    <row r="51" spans="1:61" ht="25.5" thickBot="1" x14ac:dyDescent="0.4">
      <c r="A51" s="321" t="s">
        <v>26</v>
      </c>
      <c r="B51" s="321"/>
      <c r="C51" s="35">
        <f>SUM(C11:C50)</f>
        <v>97446</v>
      </c>
      <c r="D51" s="35">
        <f>SUM(D11:D50)</f>
        <v>0</v>
      </c>
      <c r="E51" s="6">
        <f>SUM(E11:E50)</f>
        <v>0</v>
      </c>
      <c r="F51" s="6">
        <f>SUM(F11:F50)</f>
        <v>533</v>
      </c>
      <c r="G51" s="6">
        <f t="shared" ref="G51:R51" si="8">SUM(G11:G50)</f>
        <v>0</v>
      </c>
      <c r="H51" s="6">
        <f t="shared" si="8"/>
        <v>14954</v>
      </c>
      <c r="I51" s="6">
        <f t="shared" si="8"/>
        <v>0</v>
      </c>
      <c r="J51" s="6">
        <f t="shared" si="8"/>
        <v>37926</v>
      </c>
      <c r="K51" s="6">
        <f t="shared" si="8"/>
        <v>0</v>
      </c>
      <c r="L51" s="6">
        <f t="shared" si="8"/>
        <v>0</v>
      </c>
      <c r="M51" s="6">
        <f t="shared" si="8"/>
        <v>0</v>
      </c>
      <c r="N51" s="6">
        <f t="shared" si="8"/>
        <v>0</v>
      </c>
      <c r="O51" s="6">
        <f t="shared" si="8"/>
        <v>0</v>
      </c>
      <c r="P51" s="6">
        <f t="shared" si="8"/>
        <v>0</v>
      </c>
      <c r="Q51" s="6">
        <f t="shared" si="8"/>
        <v>0</v>
      </c>
      <c r="R51" s="6">
        <f t="shared" si="8"/>
        <v>53413</v>
      </c>
      <c r="S51" s="10">
        <f>R51/C51</f>
        <v>0.54812922028610722</v>
      </c>
      <c r="T51" s="23">
        <f t="shared" ref="T51:Y51" si="9">SUM(T11:T50)</f>
        <v>0</v>
      </c>
      <c r="U51" s="23">
        <f t="shared" si="9"/>
        <v>7532</v>
      </c>
      <c r="V51" s="23">
        <f t="shared" si="9"/>
        <v>0</v>
      </c>
      <c r="W51" s="23">
        <f t="shared" si="9"/>
        <v>1107</v>
      </c>
      <c r="X51" s="23">
        <f t="shared" si="9"/>
        <v>0</v>
      </c>
      <c r="Y51" s="23">
        <f t="shared" si="9"/>
        <v>2</v>
      </c>
      <c r="AB51" s="37" t="s">
        <v>29</v>
      </c>
      <c r="AC51" s="37"/>
      <c r="AD51" s="34">
        <f t="shared" ref="AD51:AI51" si="10">SUM(AD11:AD50)</f>
        <v>3133</v>
      </c>
      <c r="AE51" s="23">
        <f t="shared" si="10"/>
        <v>0</v>
      </c>
      <c r="AF51" s="14">
        <f t="shared" si="10"/>
        <v>8632</v>
      </c>
      <c r="AG51" s="14">
        <f t="shared" si="10"/>
        <v>0</v>
      </c>
      <c r="AH51" s="14">
        <f t="shared" si="10"/>
        <v>5499</v>
      </c>
      <c r="AI51" s="14">
        <f t="shared" si="10"/>
        <v>3133</v>
      </c>
      <c r="AJ51" s="11" t="e">
        <f t="shared" si="0"/>
        <v>#DIV/0!</v>
      </c>
      <c r="AK51" s="53">
        <f t="shared" si="1"/>
        <v>9.713220585561011</v>
      </c>
      <c r="AW51" s="33" t="s">
        <v>26</v>
      </c>
      <c r="AX51" s="13">
        <f>SUM(AX11:AX50)</f>
        <v>121</v>
      </c>
      <c r="AY51" s="13">
        <f>SUM(AY11:AY50)</f>
        <v>50910</v>
      </c>
      <c r="AZ51" s="13">
        <f>SUM(AZ11:AZ50)</f>
        <v>0</v>
      </c>
      <c r="BA51" s="13">
        <f>SUM(BA11:BA50)</f>
        <v>0</v>
      </c>
      <c r="BB51" s="13">
        <f>SUM(BB11:BB50)</f>
        <v>39924</v>
      </c>
      <c r="BC51" s="31">
        <f t="shared" si="2"/>
        <v>0.78420742486741313</v>
      </c>
      <c r="BD51" s="32">
        <f>SUM(BD11:BD50)</f>
        <v>241</v>
      </c>
      <c r="BE51" s="32">
        <f>SUM(BE11:BE50)</f>
        <v>14990</v>
      </c>
      <c r="BF51" s="32">
        <f>SUM(BF11:BF50)</f>
        <v>0</v>
      </c>
      <c r="BG51" s="32">
        <f>SUM(BG11:BG50)</f>
        <v>0</v>
      </c>
      <c r="BH51" s="32">
        <f>SUM(BH11:BH50)</f>
        <v>9274</v>
      </c>
      <c r="BI51" s="31">
        <f t="shared" si="3"/>
        <v>0.61867911941294196</v>
      </c>
    </row>
    <row r="52" spans="1:61" ht="17.5" x14ac:dyDescent="0.35">
      <c r="AB52" s="36"/>
      <c r="AC52" s="36"/>
      <c r="AD52" s="36"/>
      <c r="AE52" s="36"/>
      <c r="AF52" s="40"/>
      <c r="AG52" s="40"/>
      <c r="AH52" s="40"/>
      <c r="AI52" s="41"/>
      <c r="AJ52" s="15"/>
      <c r="AK52" s="15"/>
    </row>
    <row r="54" spans="1:61" ht="18.5" x14ac:dyDescent="0.45">
      <c r="G54" s="322" t="s">
        <v>36</v>
      </c>
      <c r="H54" s="322"/>
      <c r="I54" s="322"/>
      <c r="J54" s="322"/>
      <c r="K54" s="322"/>
      <c r="L54" s="322"/>
      <c r="M54" s="322"/>
      <c r="N54" s="322"/>
      <c r="O54" s="322"/>
      <c r="P54" s="322"/>
      <c r="Q54" s="322"/>
      <c r="R54" s="322"/>
      <c r="S54" s="322"/>
      <c r="AB54" s="313" t="s">
        <v>44</v>
      </c>
      <c r="AC54" s="313"/>
      <c r="AD54" s="313"/>
      <c r="AE54" s="313"/>
      <c r="AF54" s="313"/>
      <c r="AG54" s="313"/>
      <c r="AH54" s="313"/>
      <c r="AI54" s="313"/>
      <c r="AJ54" s="313"/>
      <c r="AK54" s="313"/>
      <c r="AL54" s="313"/>
      <c r="AM54" s="313"/>
      <c r="AN54" s="313"/>
    </row>
    <row r="55" spans="1:61" ht="18.5" x14ac:dyDescent="0.45">
      <c r="AX55" s="313" t="s">
        <v>44</v>
      </c>
      <c r="AY55" s="313"/>
      <c r="AZ55" s="313"/>
      <c r="BA55" s="313"/>
      <c r="BB55" s="313"/>
      <c r="BC55" s="313"/>
      <c r="BD55" s="313"/>
      <c r="BE55" s="313"/>
      <c r="BF55" s="313"/>
      <c r="BG55" s="313"/>
      <c r="BH55" s="313"/>
      <c r="BI55" s="313"/>
    </row>
    <row r="56" spans="1:61" ht="15.5" x14ac:dyDescent="0.35">
      <c r="AG56" s="38"/>
      <c r="AH56" s="38"/>
      <c r="AI56" s="38"/>
    </row>
  </sheetData>
  <mergeCells count="56">
    <mergeCell ref="A6:Y6"/>
    <mergeCell ref="AF6:AN6"/>
    <mergeCell ref="AY6:BI6"/>
    <mergeCell ref="A7:Y7"/>
    <mergeCell ref="A8:A10"/>
    <mergeCell ref="B8:B10"/>
    <mergeCell ref="C8:C10"/>
    <mergeCell ref="D8:D10"/>
    <mergeCell ref="E8:J8"/>
    <mergeCell ref="K8:P8"/>
    <mergeCell ref="Q8:R9"/>
    <mergeCell ref="S8:S10"/>
    <mergeCell ref="T8:U9"/>
    <mergeCell ref="V8:W9"/>
    <mergeCell ref="X8:Y9"/>
    <mergeCell ref="AB8:AB10"/>
    <mergeCell ref="AN8:AN9"/>
    <mergeCell ref="AO8:AO9"/>
    <mergeCell ref="AP8:AQ8"/>
    <mergeCell ref="AR8:AS8"/>
    <mergeCell ref="AC8:AC10"/>
    <mergeCell ref="AD8:AD10"/>
    <mergeCell ref="AE8:AF9"/>
    <mergeCell ref="AG8:AH9"/>
    <mergeCell ref="AI8:AI10"/>
    <mergeCell ref="AJ8:AJ10"/>
    <mergeCell ref="AW8:AW10"/>
    <mergeCell ref="AX8:BC8"/>
    <mergeCell ref="BD8:BI8"/>
    <mergeCell ref="E9:F9"/>
    <mergeCell ref="G9:H9"/>
    <mergeCell ref="I9:J9"/>
    <mergeCell ref="K9:L9"/>
    <mergeCell ref="M9:N9"/>
    <mergeCell ref="AK8:AK10"/>
    <mergeCell ref="AM8:AM13"/>
    <mergeCell ref="BF9:BF10"/>
    <mergeCell ref="BG9:BG10"/>
    <mergeCell ref="BH9:BH10"/>
    <mergeCell ref="O9:P9"/>
    <mergeCell ref="AX9:AX10"/>
    <mergeCell ref="AY9:AY10"/>
    <mergeCell ref="AZ9:AZ10"/>
    <mergeCell ref="BA9:BA10"/>
    <mergeCell ref="BB9:BB10"/>
    <mergeCell ref="AT8:AT9"/>
    <mergeCell ref="AX55:BI55"/>
    <mergeCell ref="BI9:BI10"/>
    <mergeCell ref="AM14:AN14"/>
    <mergeCell ref="AO14:AS14"/>
    <mergeCell ref="A51:B51"/>
    <mergeCell ref="G54:S54"/>
    <mergeCell ref="AB54:AN54"/>
    <mergeCell ref="BC9:BC10"/>
    <mergeCell ref="BD9:BD10"/>
    <mergeCell ref="BE9:BE10"/>
  </mergeCells>
  <pageMargins left="0.7" right="0.7" top="0.75" bottom="0.75" header="0.3" footer="0.3"/>
  <pageSetup paperSize="9" scale="17" orientation="landscape" r:id="rId1"/>
  <colBreaks count="2" manualBreakCount="2">
    <brk id="26" max="55" man="1"/>
    <brk id="47" max="5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21306-5D7F-4C0A-AB05-38548C92C177}">
  <dimension ref="A1:BJ56"/>
  <sheetViews>
    <sheetView rightToLeft="1" view="pageBreakPreview" topLeftCell="AC3" zoomScale="55" zoomScaleNormal="29" zoomScalePageLayoutView="40" workbookViewId="0">
      <selection activeCell="AO19" sqref="AO19"/>
    </sheetView>
  </sheetViews>
  <sheetFormatPr defaultRowHeight="14.5" x14ac:dyDescent="0.35"/>
  <cols>
    <col min="1" max="1" width="11.26953125" style="1" customWidth="1"/>
    <col min="2" max="4" width="18.7265625" style="1" customWidth="1"/>
    <col min="5" max="6" width="15.26953125" customWidth="1"/>
    <col min="7" max="7" width="18.453125" customWidth="1"/>
    <col min="8" max="8" width="16.81640625" customWidth="1"/>
    <col min="9" max="9" width="15.26953125" customWidth="1"/>
    <col min="10" max="10" width="15.54296875" customWidth="1"/>
    <col min="11" max="23" width="15.26953125" customWidth="1"/>
    <col min="24" max="25" width="12.54296875" customWidth="1"/>
    <col min="27" max="27" width="19.1796875" customWidth="1"/>
    <col min="28" max="30" width="15.26953125" customWidth="1"/>
    <col min="31" max="32" width="13.7265625" customWidth="1"/>
    <col min="33" max="33" width="14.1796875" customWidth="1"/>
    <col min="34" max="34" width="13" customWidth="1"/>
    <col min="35" max="35" width="18.26953125" customWidth="1"/>
    <col min="36" max="40" width="15" customWidth="1"/>
    <col min="41" max="41" width="16.7265625" customWidth="1"/>
    <col min="42" max="42" width="18" customWidth="1"/>
    <col min="43" max="46" width="15" customWidth="1"/>
    <col min="47" max="47" width="14" style="1" customWidth="1"/>
    <col min="49" max="49" width="15.1796875" customWidth="1"/>
    <col min="50" max="50" width="22.26953125" customWidth="1"/>
    <col min="51" max="51" width="16.26953125" customWidth="1"/>
    <col min="52" max="52" width="13.453125" customWidth="1"/>
    <col min="53" max="53" width="14" customWidth="1"/>
    <col min="54" max="54" width="11.7265625" customWidth="1"/>
    <col min="55" max="55" width="14.26953125" customWidth="1"/>
    <col min="56" max="56" width="17.7265625" customWidth="1"/>
    <col min="57" max="57" width="22.453125" customWidth="1"/>
    <col min="58" max="58" width="17.7265625" customWidth="1"/>
    <col min="59" max="59" width="11.7265625" customWidth="1"/>
    <col min="60" max="60" width="16.81640625" customWidth="1"/>
    <col min="61" max="61" width="12.81640625" customWidth="1"/>
    <col min="62" max="62" width="15.26953125" customWidth="1"/>
  </cols>
  <sheetData>
    <row r="1" spans="1:62" s="21" customFormat="1" ht="23.5" x14ac:dyDescent="0.55000000000000004">
      <c r="A1" s="22" t="s">
        <v>0</v>
      </c>
      <c r="B1" s="22"/>
      <c r="C1" s="22"/>
      <c r="D1" s="18"/>
      <c r="E1" s="18"/>
      <c r="F1" s="18"/>
      <c r="G1" s="18"/>
      <c r="H1" s="18"/>
      <c r="I1" s="18"/>
      <c r="J1" s="18"/>
      <c r="K1" s="18"/>
      <c r="L1" s="18"/>
      <c r="M1" s="18"/>
      <c r="N1" s="19"/>
      <c r="O1" s="19"/>
      <c r="P1" s="18"/>
      <c r="Q1" s="18"/>
      <c r="R1" s="18"/>
      <c r="S1" s="18"/>
      <c r="T1" s="18"/>
      <c r="U1" s="18"/>
      <c r="V1" s="18"/>
      <c r="W1" s="18"/>
      <c r="X1" s="18"/>
      <c r="Y1" s="18"/>
      <c r="AA1" s="29"/>
      <c r="AB1" s="22" t="s">
        <v>0</v>
      </c>
      <c r="AC1" s="22"/>
      <c r="AD1" s="29"/>
      <c r="AE1" s="29"/>
      <c r="AF1" s="29"/>
      <c r="AU1" s="54"/>
      <c r="AW1" s="22" t="s">
        <v>0</v>
      </c>
      <c r="AX1" s="22"/>
      <c r="AY1" s="22"/>
      <c r="AZ1" s="18"/>
      <c r="BA1" s="18"/>
      <c r="BB1" s="18"/>
      <c r="BC1" s="18"/>
      <c r="BD1" s="18"/>
      <c r="BE1" s="20"/>
      <c r="BF1" s="19"/>
      <c r="BI1" s="29"/>
      <c r="BJ1" s="29"/>
    </row>
    <row r="2" spans="1:62" s="21" customFormat="1" ht="23.5" x14ac:dyDescent="0.55000000000000004">
      <c r="A2" s="22" t="s">
        <v>21</v>
      </c>
      <c r="B2" s="22"/>
      <c r="C2" s="22"/>
      <c r="D2" s="18"/>
      <c r="E2" s="18"/>
      <c r="F2" s="18"/>
      <c r="G2" s="18"/>
      <c r="H2" s="18"/>
      <c r="I2" s="18"/>
      <c r="J2" s="18"/>
      <c r="K2" s="18"/>
      <c r="L2" s="18"/>
      <c r="M2" s="18"/>
      <c r="N2" s="19"/>
      <c r="O2" s="19"/>
      <c r="P2" s="18"/>
      <c r="Q2" s="18"/>
      <c r="R2" s="18"/>
      <c r="S2" s="18"/>
      <c r="T2" s="18"/>
      <c r="U2" s="18"/>
      <c r="V2" s="18"/>
      <c r="W2" s="18"/>
      <c r="X2" s="18"/>
      <c r="Y2" s="18"/>
      <c r="AA2" s="29"/>
      <c r="AB2" s="22" t="s">
        <v>21</v>
      </c>
      <c r="AC2" s="22"/>
      <c r="AD2" s="29"/>
      <c r="AE2" s="29"/>
      <c r="AF2" s="29"/>
      <c r="AU2" s="54"/>
      <c r="AW2" s="22" t="s">
        <v>21</v>
      </c>
      <c r="AX2" s="22"/>
      <c r="AY2" s="22"/>
      <c r="AZ2" s="18"/>
      <c r="BA2" s="18"/>
      <c r="BB2" s="18"/>
      <c r="BC2" s="18"/>
      <c r="BD2" s="18"/>
      <c r="BE2" s="20"/>
      <c r="BF2" s="19"/>
      <c r="BI2" s="29"/>
      <c r="BJ2" s="29"/>
    </row>
    <row r="3" spans="1:62" s="21" customFormat="1" ht="23.5" x14ac:dyDescent="0.55000000000000004">
      <c r="A3" s="22" t="s">
        <v>22</v>
      </c>
      <c r="B3" s="22"/>
      <c r="C3" s="22"/>
      <c r="D3" s="18"/>
      <c r="E3" s="18"/>
      <c r="F3" s="18"/>
      <c r="G3" s="18"/>
      <c r="H3" s="18"/>
      <c r="I3" s="18"/>
      <c r="J3" s="18"/>
      <c r="K3" s="18"/>
      <c r="L3" s="18"/>
      <c r="M3" s="18"/>
      <c r="N3" s="19"/>
      <c r="O3" s="19"/>
      <c r="P3" s="18"/>
      <c r="Q3" s="18"/>
      <c r="R3" s="18"/>
      <c r="S3" s="18"/>
      <c r="T3" s="18"/>
      <c r="U3" s="18"/>
      <c r="V3" s="18"/>
      <c r="W3" s="18"/>
      <c r="X3" s="18"/>
      <c r="Y3" s="18"/>
      <c r="AA3" s="29"/>
      <c r="AB3" s="22" t="s">
        <v>22</v>
      </c>
      <c r="AC3" s="22"/>
      <c r="AD3" s="29"/>
      <c r="AE3" s="29"/>
      <c r="AF3" s="29"/>
      <c r="AU3" s="54"/>
      <c r="AW3" s="22" t="s">
        <v>22</v>
      </c>
      <c r="AX3" s="22"/>
      <c r="AY3" s="22"/>
      <c r="AZ3" s="18"/>
      <c r="BA3" s="18"/>
      <c r="BB3" s="18"/>
      <c r="BC3" s="18"/>
      <c r="BD3" s="18"/>
      <c r="BE3" s="20"/>
      <c r="BF3" s="19"/>
      <c r="BI3" s="29"/>
      <c r="BJ3" s="29"/>
    </row>
    <row r="4" spans="1:62" s="21" customFormat="1" ht="23.5" x14ac:dyDescent="0.55000000000000004">
      <c r="A4" s="22" t="s">
        <v>23</v>
      </c>
      <c r="B4" s="22"/>
      <c r="C4" s="22"/>
      <c r="D4" s="19"/>
      <c r="E4" s="20"/>
      <c r="F4" s="20"/>
      <c r="G4" s="20"/>
      <c r="H4" s="20"/>
      <c r="I4" s="18"/>
      <c r="J4" s="18"/>
      <c r="K4" s="18"/>
      <c r="L4" s="18"/>
      <c r="M4" s="18"/>
      <c r="N4" s="19"/>
      <c r="O4" s="19"/>
      <c r="P4" s="18"/>
      <c r="Q4" s="18"/>
      <c r="R4" s="18"/>
      <c r="S4" s="18"/>
      <c r="T4" s="18"/>
      <c r="U4" s="18"/>
      <c r="V4" s="18"/>
      <c r="W4" s="18"/>
      <c r="X4" s="18"/>
      <c r="Y4" s="18"/>
      <c r="AB4" s="22" t="s">
        <v>23</v>
      </c>
      <c r="AC4" s="22"/>
      <c r="AU4" s="54"/>
      <c r="AW4" s="22" t="s">
        <v>23</v>
      </c>
      <c r="AX4" s="22"/>
      <c r="AY4" s="22"/>
      <c r="AZ4" s="19"/>
      <c r="BA4" s="18"/>
      <c r="BB4" s="18"/>
      <c r="BC4" s="18"/>
      <c r="BD4" s="18"/>
      <c r="BE4" s="20"/>
      <c r="BF4" s="19"/>
    </row>
    <row r="5" spans="1:62" s="21" customFormat="1" ht="23.5" x14ac:dyDescent="0.55000000000000004">
      <c r="A5" s="22" t="s">
        <v>1</v>
      </c>
      <c r="B5" s="22"/>
      <c r="C5" s="22"/>
      <c r="D5" s="19"/>
      <c r="E5" s="18"/>
      <c r="F5" s="18"/>
      <c r="G5" s="18"/>
      <c r="H5" s="18"/>
      <c r="I5" s="18"/>
      <c r="J5" s="18"/>
      <c r="K5" s="18"/>
      <c r="L5" s="18"/>
      <c r="M5" s="18"/>
      <c r="N5" s="19"/>
      <c r="O5" s="19"/>
      <c r="P5" s="18"/>
      <c r="Q5" s="18"/>
      <c r="R5" s="18"/>
      <c r="S5" s="18"/>
      <c r="T5" s="18"/>
      <c r="U5" s="18"/>
      <c r="V5" s="18"/>
      <c r="W5" s="18"/>
      <c r="X5" s="18"/>
      <c r="Y5" s="18"/>
      <c r="AB5" s="22" t="s">
        <v>1</v>
      </c>
      <c r="AC5" s="22"/>
      <c r="AU5" s="54"/>
      <c r="AW5" s="22" t="s">
        <v>1</v>
      </c>
      <c r="AX5" s="22"/>
      <c r="AY5" s="22"/>
      <c r="AZ5" s="19"/>
      <c r="BA5" s="18"/>
      <c r="BB5" s="18"/>
      <c r="BC5" s="18"/>
      <c r="BD5" s="18"/>
      <c r="BE5" s="20"/>
      <c r="BF5" s="19"/>
    </row>
    <row r="6" spans="1:62" ht="20" x14ac:dyDescent="0.4">
      <c r="A6" s="362" t="s">
        <v>18</v>
      </c>
      <c r="B6" s="362"/>
      <c r="C6" s="362"/>
      <c r="D6" s="362"/>
      <c r="E6" s="362"/>
      <c r="F6" s="362"/>
      <c r="G6" s="362"/>
      <c r="H6" s="362"/>
      <c r="I6" s="362"/>
      <c r="J6" s="362"/>
      <c r="K6" s="362"/>
      <c r="L6" s="362"/>
      <c r="M6" s="362"/>
      <c r="N6" s="362"/>
      <c r="O6" s="362"/>
      <c r="P6" s="362"/>
      <c r="Q6" s="362"/>
      <c r="R6" s="362"/>
      <c r="S6" s="362"/>
      <c r="T6" s="362"/>
      <c r="U6" s="362"/>
      <c r="V6" s="362"/>
      <c r="W6" s="362"/>
      <c r="X6" s="362"/>
      <c r="Y6" s="362"/>
      <c r="AF6" s="362" t="s">
        <v>16</v>
      </c>
      <c r="AG6" s="362"/>
      <c r="AH6" s="362"/>
      <c r="AI6" s="362"/>
      <c r="AJ6" s="362"/>
      <c r="AK6" s="362"/>
      <c r="AL6" s="362"/>
      <c r="AM6" s="362"/>
      <c r="AN6" s="362"/>
      <c r="AO6" s="24"/>
      <c r="AP6" s="24"/>
      <c r="AQ6" s="24"/>
      <c r="AR6" s="24"/>
      <c r="AS6" s="24"/>
      <c r="AT6" s="24"/>
      <c r="AY6" s="362" t="s">
        <v>30</v>
      </c>
      <c r="AZ6" s="362"/>
      <c r="BA6" s="362"/>
      <c r="BB6" s="362"/>
      <c r="BC6" s="362"/>
      <c r="BD6" s="362"/>
      <c r="BE6" s="362"/>
      <c r="BF6" s="362"/>
      <c r="BG6" s="362"/>
      <c r="BH6" s="362"/>
      <c r="BI6" s="362"/>
    </row>
    <row r="7" spans="1:62" ht="20.5" thickBot="1" x14ac:dyDescent="0.45">
      <c r="A7" s="363" t="s">
        <v>27</v>
      </c>
      <c r="B7" s="364"/>
      <c r="C7" s="364"/>
      <c r="D7" s="364"/>
      <c r="E7" s="363"/>
      <c r="F7" s="363"/>
      <c r="G7" s="363"/>
      <c r="H7" s="363"/>
      <c r="I7" s="363"/>
      <c r="J7" s="363"/>
      <c r="K7" s="363"/>
      <c r="L7" s="363"/>
      <c r="M7" s="363"/>
      <c r="N7" s="363"/>
      <c r="O7" s="363"/>
      <c r="P7" s="363"/>
      <c r="Q7" s="363"/>
      <c r="R7" s="363"/>
      <c r="S7" s="363"/>
      <c r="T7" s="364"/>
      <c r="U7" s="364"/>
      <c r="V7" s="364"/>
      <c r="W7" s="364"/>
      <c r="X7" s="364"/>
      <c r="Y7" s="364"/>
      <c r="AJ7" s="25" t="s">
        <v>31</v>
      </c>
      <c r="AK7" s="25"/>
      <c r="AL7" s="25"/>
      <c r="AN7" s="25"/>
      <c r="AO7" s="25"/>
      <c r="AP7" s="25"/>
      <c r="AQ7" s="25"/>
      <c r="AS7" s="25"/>
      <c r="AT7" s="25"/>
      <c r="BC7" s="25" t="s">
        <v>31</v>
      </c>
      <c r="BD7" s="25"/>
      <c r="BF7" s="25"/>
      <c r="BG7" s="25"/>
      <c r="BH7" s="25"/>
      <c r="BI7" s="25"/>
      <c r="BJ7" s="25"/>
    </row>
    <row r="8" spans="1:62" ht="41.5" customHeight="1" x14ac:dyDescent="0.35">
      <c r="A8" s="326" t="s">
        <v>24</v>
      </c>
      <c r="B8" s="365" t="s">
        <v>25</v>
      </c>
      <c r="C8" s="366" t="s">
        <v>11</v>
      </c>
      <c r="D8" s="366" t="s">
        <v>15</v>
      </c>
      <c r="E8" s="330" t="s">
        <v>5</v>
      </c>
      <c r="F8" s="330"/>
      <c r="G8" s="330"/>
      <c r="H8" s="330"/>
      <c r="I8" s="330"/>
      <c r="J8" s="330"/>
      <c r="K8" s="330" t="s">
        <v>7</v>
      </c>
      <c r="L8" s="330"/>
      <c r="M8" s="330"/>
      <c r="N8" s="330"/>
      <c r="O8" s="330"/>
      <c r="P8" s="330"/>
      <c r="Q8" s="356" t="s">
        <v>2</v>
      </c>
      <c r="R8" s="350"/>
      <c r="S8" s="358" t="s">
        <v>12</v>
      </c>
      <c r="T8" s="323" t="s">
        <v>8</v>
      </c>
      <c r="U8" s="323"/>
      <c r="V8" s="323" t="s">
        <v>9</v>
      </c>
      <c r="W8" s="323"/>
      <c r="X8" s="323" t="s">
        <v>20</v>
      </c>
      <c r="Y8" s="323"/>
      <c r="AB8" s="326" t="s">
        <v>24</v>
      </c>
      <c r="AC8" s="342" t="s">
        <v>28</v>
      </c>
      <c r="AD8" s="342" t="s">
        <v>14</v>
      </c>
      <c r="AE8" s="345" t="s">
        <v>45</v>
      </c>
      <c r="AF8" s="346"/>
      <c r="AG8" s="349" t="s">
        <v>10</v>
      </c>
      <c r="AH8" s="350"/>
      <c r="AI8" s="353" t="s">
        <v>46</v>
      </c>
      <c r="AJ8" s="336" t="s">
        <v>51</v>
      </c>
      <c r="AK8" s="336" t="s">
        <v>47</v>
      </c>
      <c r="AM8" s="339" t="s">
        <v>41</v>
      </c>
      <c r="AN8" s="341" t="s">
        <v>38</v>
      </c>
      <c r="AO8" s="341" t="s">
        <v>14</v>
      </c>
      <c r="AP8" s="341" t="s">
        <v>39</v>
      </c>
      <c r="AQ8" s="341"/>
      <c r="AR8" s="341" t="s">
        <v>50</v>
      </c>
      <c r="AS8" s="341"/>
      <c r="AT8" s="324" t="s">
        <v>40</v>
      </c>
      <c r="AU8" s="55"/>
      <c r="AW8" s="326" t="s">
        <v>28</v>
      </c>
      <c r="AX8" s="329" t="s">
        <v>48</v>
      </c>
      <c r="AY8" s="330"/>
      <c r="AZ8" s="330"/>
      <c r="BA8" s="330"/>
      <c r="BB8" s="330"/>
      <c r="BC8" s="331"/>
      <c r="BD8" s="332" t="s">
        <v>49</v>
      </c>
      <c r="BE8" s="330"/>
      <c r="BF8" s="330"/>
      <c r="BG8" s="330"/>
      <c r="BH8" s="330"/>
      <c r="BI8" s="331"/>
    </row>
    <row r="9" spans="1:62" ht="19.149999999999999" customHeight="1" x14ac:dyDescent="0.35">
      <c r="A9" s="327"/>
      <c r="B9" s="365"/>
      <c r="C9" s="366"/>
      <c r="D9" s="366"/>
      <c r="E9" s="333" t="s">
        <v>6</v>
      </c>
      <c r="F9" s="334"/>
      <c r="G9" s="335" t="s">
        <v>13</v>
      </c>
      <c r="H9" s="334"/>
      <c r="I9" s="323" t="s">
        <v>19</v>
      </c>
      <c r="J9" s="323"/>
      <c r="K9" s="333" t="s">
        <v>6</v>
      </c>
      <c r="L9" s="334"/>
      <c r="M9" s="335" t="s">
        <v>13</v>
      </c>
      <c r="N9" s="334"/>
      <c r="O9" s="323" t="s">
        <v>19</v>
      </c>
      <c r="P9" s="323"/>
      <c r="Q9" s="357"/>
      <c r="R9" s="352"/>
      <c r="S9" s="359"/>
      <c r="T9" s="323"/>
      <c r="U9" s="323"/>
      <c r="V9" s="323"/>
      <c r="W9" s="323"/>
      <c r="X9" s="323"/>
      <c r="Y9" s="323"/>
      <c r="AB9" s="327"/>
      <c r="AC9" s="343"/>
      <c r="AD9" s="343"/>
      <c r="AE9" s="347"/>
      <c r="AF9" s="348"/>
      <c r="AG9" s="351"/>
      <c r="AH9" s="352"/>
      <c r="AI9" s="354"/>
      <c r="AJ9" s="337"/>
      <c r="AK9" s="337"/>
      <c r="AM9" s="340"/>
      <c r="AN9" s="323"/>
      <c r="AO9" s="323"/>
      <c r="AP9" s="8" t="s">
        <v>3</v>
      </c>
      <c r="AQ9" s="8" t="s">
        <v>4</v>
      </c>
      <c r="AR9" s="43" t="s">
        <v>3</v>
      </c>
      <c r="AS9" s="43" t="s">
        <v>4</v>
      </c>
      <c r="AT9" s="325"/>
      <c r="AU9" s="55"/>
      <c r="AW9" s="327"/>
      <c r="AX9" s="314" t="s">
        <v>17</v>
      </c>
      <c r="AY9" s="314" t="s">
        <v>11</v>
      </c>
      <c r="AZ9" s="314" t="s">
        <v>32</v>
      </c>
      <c r="BA9" s="314" t="s">
        <v>37</v>
      </c>
      <c r="BB9" s="314" t="s">
        <v>34</v>
      </c>
      <c r="BC9" s="314" t="s">
        <v>12</v>
      </c>
      <c r="BD9" s="314" t="s">
        <v>33</v>
      </c>
      <c r="BE9" s="314" t="s">
        <v>11</v>
      </c>
      <c r="BF9" s="314" t="s">
        <v>35</v>
      </c>
      <c r="BG9" s="314" t="s">
        <v>37</v>
      </c>
      <c r="BH9" s="314" t="s">
        <v>34</v>
      </c>
      <c r="BI9" s="314" t="s">
        <v>12</v>
      </c>
    </row>
    <row r="10" spans="1:62" ht="53.5" customHeight="1" thickBot="1" x14ac:dyDescent="0.4">
      <c r="A10" s="328"/>
      <c r="B10" s="365"/>
      <c r="C10" s="366"/>
      <c r="D10" s="366"/>
      <c r="E10" s="7" t="s">
        <v>3</v>
      </c>
      <c r="F10" s="8" t="s">
        <v>4</v>
      </c>
      <c r="G10" s="7" t="s">
        <v>3</v>
      </c>
      <c r="H10" s="8" t="s">
        <v>4</v>
      </c>
      <c r="I10" s="8" t="s">
        <v>3</v>
      </c>
      <c r="J10" s="8" t="s">
        <v>4</v>
      </c>
      <c r="K10" s="7" t="s">
        <v>3</v>
      </c>
      <c r="L10" s="8" t="s">
        <v>4</v>
      </c>
      <c r="M10" s="7" t="s">
        <v>3</v>
      </c>
      <c r="N10" s="8" t="s">
        <v>4</v>
      </c>
      <c r="O10" s="8" t="s">
        <v>3</v>
      </c>
      <c r="P10" s="8" t="s">
        <v>4</v>
      </c>
      <c r="Q10" s="9" t="s">
        <v>3</v>
      </c>
      <c r="R10" s="9" t="s">
        <v>4</v>
      </c>
      <c r="S10" s="360"/>
      <c r="T10" s="8" t="s">
        <v>3</v>
      </c>
      <c r="U10" s="8" t="s">
        <v>4</v>
      </c>
      <c r="V10" s="8" t="s">
        <v>3</v>
      </c>
      <c r="W10" s="8" t="s">
        <v>4</v>
      </c>
      <c r="X10" s="8" t="s">
        <v>3</v>
      </c>
      <c r="Y10" s="8" t="s">
        <v>4</v>
      </c>
      <c r="AB10" s="361"/>
      <c r="AC10" s="344"/>
      <c r="AD10" s="344"/>
      <c r="AE10" s="49" t="s">
        <v>3</v>
      </c>
      <c r="AF10" s="50" t="s">
        <v>4</v>
      </c>
      <c r="AG10" s="51" t="s">
        <v>3</v>
      </c>
      <c r="AH10" s="52" t="s">
        <v>4</v>
      </c>
      <c r="AI10" s="355"/>
      <c r="AJ10" s="338"/>
      <c r="AK10" s="338"/>
      <c r="AM10" s="340"/>
      <c r="AN10" s="42" t="str">
        <f>'5'!AN10</f>
        <v>0124W120</v>
      </c>
      <c r="AO10" s="42">
        <f>'5'!AT10</f>
        <v>48</v>
      </c>
      <c r="AP10" s="42"/>
      <c r="AQ10" s="17">
        <f>AP10+'5'!AQ10</f>
        <v>73</v>
      </c>
      <c r="AR10" s="17"/>
      <c r="AS10" s="17">
        <f>AR10+'5'!AS10</f>
        <v>25</v>
      </c>
      <c r="AT10" s="44">
        <f>AO10+AP10-AR10</f>
        <v>48</v>
      </c>
      <c r="AU10" s="56"/>
      <c r="AW10" s="328"/>
      <c r="AX10" s="315"/>
      <c r="AY10" s="315"/>
      <c r="AZ10" s="315"/>
      <c r="BA10" s="315"/>
      <c r="BB10" s="315"/>
      <c r="BC10" s="315"/>
      <c r="BD10" s="315"/>
      <c r="BE10" s="315"/>
      <c r="BF10" s="315"/>
      <c r="BG10" s="315"/>
      <c r="BH10" s="315"/>
      <c r="BI10" s="315"/>
    </row>
    <row r="11" spans="1:62" ht="41.5" customHeight="1" x14ac:dyDescent="0.35">
      <c r="A11" s="5">
        <v>1</v>
      </c>
      <c r="B11" s="26" t="str">
        <f>'5'!B11</f>
        <v>مكتب الصحة</v>
      </c>
      <c r="C11" s="26">
        <f>'5'!C11</f>
        <v>12251</v>
      </c>
      <c r="D11" s="26"/>
      <c r="E11" s="12"/>
      <c r="F11" s="2">
        <f>E11+'5'!F11</f>
        <v>39</v>
      </c>
      <c r="G11" s="2"/>
      <c r="H11" s="2">
        <f>G11+'5'!H11</f>
        <v>1961</v>
      </c>
      <c r="I11" s="2"/>
      <c r="J11" s="2">
        <f>I11+'5'!J11</f>
        <v>5340</v>
      </c>
      <c r="K11" s="2"/>
      <c r="L11" s="2">
        <f>K11+'5'!L11</f>
        <v>0</v>
      </c>
      <c r="M11" s="2"/>
      <c r="N11" s="2">
        <f>M11+'5'!N11</f>
        <v>0</v>
      </c>
      <c r="O11" s="2"/>
      <c r="P11" s="2">
        <f>O11+'5'!P11</f>
        <v>0</v>
      </c>
      <c r="Q11" s="4">
        <f>O11+M11+K11+I11+G11+E11</f>
        <v>0</v>
      </c>
      <c r="R11" s="4">
        <f>Q11+'5'!R11</f>
        <v>7340</v>
      </c>
      <c r="S11" s="27">
        <f>R11/C11</f>
        <v>0.5991347645090197</v>
      </c>
      <c r="T11" s="12"/>
      <c r="U11" s="12">
        <f>T11+'5'!U11</f>
        <v>1397</v>
      </c>
      <c r="V11" s="12"/>
      <c r="W11" s="12">
        <f>V11+'5'!W11</f>
        <v>4</v>
      </c>
      <c r="X11" s="12"/>
      <c r="Y11" s="12">
        <f>X11+'5'!Y11</f>
        <v>1</v>
      </c>
      <c r="AB11" s="48">
        <v>1</v>
      </c>
      <c r="AC11" s="26" t="str">
        <f>'5'!AC11</f>
        <v>مكتب الصحة</v>
      </c>
      <c r="AD11" s="28">
        <f>'5'!AI11</f>
        <v>333</v>
      </c>
      <c r="AE11" s="3"/>
      <c r="AF11" s="28">
        <f>AE11+'5'!AF11</f>
        <v>1082</v>
      </c>
      <c r="AG11" s="4"/>
      <c r="AH11" s="28">
        <f>AG11+'5'!AH11</f>
        <v>749</v>
      </c>
      <c r="AI11" s="4">
        <f>AD11+AE11-AG11</f>
        <v>333</v>
      </c>
      <c r="AJ11" s="11" t="e">
        <f t="shared" ref="AJ11:AJ51" si="0">Q11/AG11</f>
        <v>#DIV/0!</v>
      </c>
      <c r="AK11" s="53">
        <f t="shared" ref="AK11:AK51" si="1">R11/AH11</f>
        <v>9.799732977303071</v>
      </c>
      <c r="AM11" s="340"/>
      <c r="AN11" s="42" t="str">
        <f>'5'!AN11</f>
        <v>420604325A</v>
      </c>
      <c r="AO11" s="42">
        <f>'5'!AT11</f>
        <v>3076</v>
      </c>
      <c r="AP11" s="16"/>
      <c r="AQ11" s="17">
        <f>AP11+'5'!AQ11</f>
        <v>8550</v>
      </c>
      <c r="AR11" s="16"/>
      <c r="AS11" s="17">
        <f>AR11+'5'!AS11</f>
        <v>5474</v>
      </c>
      <c r="AT11" s="44">
        <f>AO11+AP11-AR11</f>
        <v>3076</v>
      </c>
      <c r="AU11" s="56"/>
      <c r="AW11" s="26" t="str">
        <f>'5'!AW11</f>
        <v>مكتب الصحة</v>
      </c>
      <c r="AX11" s="12">
        <f>'5'!AX11</f>
        <v>11</v>
      </c>
      <c r="AY11" s="12">
        <f>'5'!AY11</f>
        <v>8411</v>
      </c>
      <c r="AZ11" s="12"/>
      <c r="BA11" s="12"/>
      <c r="BB11" s="12">
        <f>BA11+'5'!BB11</f>
        <v>5998</v>
      </c>
      <c r="BC11" s="30">
        <f t="shared" ref="BC11:BC51" si="2">BB11/AY11</f>
        <v>0.71311377957436695</v>
      </c>
      <c r="BD11" s="12">
        <f>'5'!BD11</f>
        <v>27</v>
      </c>
      <c r="BE11" s="12">
        <f>'5'!BE11</f>
        <v>1746</v>
      </c>
      <c r="BF11" s="12"/>
      <c r="BG11" s="12"/>
      <c r="BH11" s="12">
        <f>BG11+'5'!BH11</f>
        <v>477</v>
      </c>
      <c r="BI11" s="30">
        <f t="shared" ref="BI11:BI51" si="3">BH11/BE11</f>
        <v>0.27319587628865977</v>
      </c>
    </row>
    <row r="12" spans="1:62" ht="41.5" customHeight="1" x14ac:dyDescent="0.35">
      <c r="A12" s="5">
        <v>2</v>
      </c>
      <c r="B12" s="26" t="str">
        <f>'5'!B12</f>
        <v>شبرابخـــــــــــوم</v>
      </c>
      <c r="C12" s="26">
        <f>'5'!C12</f>
        <v>4445</v>
      </c>
      <c r="D12" s="26"/>
      <c r="E12" s="12"/>
      <c r="F12" s="2">
        <f>E12+'5'!F12</f>
        <v>14</v>
      </c>
      <c r="G12" s="2"/>
      <c r="H12" s="2">
        <f>G12+'5'!H12</f>
        <v>392</v>
      </c>
      <c r="I12" s="2"/>
      <c r="J12" s="2">
        <f>I12+'5'!J12</f>
        <v>1857</v>
      </c>
      <c r="K12" s="2"/>
      <c r="L12" s="2">
        <f>K12+'5'!L12</f>
        <v>0</v>
      </c>
      <c r="M12" s="2"/>
      <c r="N12" s="2">
        <f>M12+'5'!N12</f>
        <v>0</v>
      </c>
      <c r="O12" s="2"/>
      <c r="P12" s="2">
        <f>O12+'5'!P12</f>
        <v>0</v>
      </c>
      <c r="Q12" s="4">
        <f t="shared" ref="Q12:Q50" si="4">O12+M12+K12+I12+G12+E12</f>
        <v>0</v>
      </c>
      <c r="R12" s="4">
        <f>Q12+'5'!R12</f>
        <v>2263</v>
      </c>
      <c r="S12" s="27">
        <f t="shared" ref="S12:S50" si="5">R12/C12</f>
        <v>0.50911136107986499</v>
      </c>
      <c r="T12" s="12"/>
      <c r="U12" s="12">
        <f>T12+'5'!U12</f>
        <v>373</v>
      </c>
      <c r="V12" s="12"/>
      <c r="W12" s="12">
        <f>V12+'5'!W12</f>
        <v>15</v>
      </c>
      <c r="X12" s="12"/>
      <c r="Y12" s="12">
        <f>X12+'5'!Y12</f>
        <v>0</v>
      </c>
      <c r="AB12" s="5">
        <v>2</v>
      </c>
      <c r="AC12" s="26" t="str">
        <f>'5'!AC12</f>
        <v>شبرابخـــــــــــوم</v>
      </c>
      <c r="AD12" s="28">
        <f>'5'!AI12</f>
        <v>158</v>
      </c>
      <c r="AE12" s="3"/>
      <c r="AF12" s="28">
        <f>AE12+'5'!AF12</f>
        <v>390</v>
      </c>
      <c r="AG12" s="4"/>
      <c r="AH12" s="28">
        <f>AG12+'5'!AH12</f>
        <v>232</v>
      </c>
      <c r="AI12" s="4">
        <f>AD12+AE12-AG12</f>
        <v>158</v>
      </c>
      <c r="AJ12" s="11" t="e">
        <f t="shared" si="0"/>
        <v>#DIV/0!</v>
      </c>
      <c r="AK12" s="53">
        <f t="shared" si="1"/>
        <v>9.7543103448275854</v>
      </c>
      <c r="AM12" s="340"/>
      <c r="AN12" s="42" t="str">
        <f>'5'!AN12</f>
        <v>420604225A</v>
      </c>
      <c r="AO12" s="42">
        <f>'5'!AT12</f>
        <v>100</v>
      </c>
      <c r="AP12" s="16"/>
      <c r="AQ12" s="17">
        <f>AP12+'5'!AQ12</f>
        <v>100</v>
      </c>
      <c r="AR12" s="16"/>
      <c r="AS12" s="17">
        <f>AR12+'5'!AS12</f>
        <v>0</v>
      </c>
      <c r="AT12" s="44">
        <f>AO12+AP12-AR12</f>
        <v>100</v>
      </c>
      <c r="AU12" s="56"/>
      <c r="AW12" s="26" t="str">
        <f>'5'!AW12</f>
        <v>شبرابخـــــــــــوم</v>
      </c>
      <c r="AX12" s="12">
        <f>'5'!AX12</f>
        <v>6</v>
      </c>
      <c r="AY12" s="12">
        <f>'5'!AY12</f>
        <v>2215</v>
      </c>
      <c r="AZ12" s="12"/>
      <c r="BA12" s="12"/>
      <c r="BB12" s="12">
        <f>BA12+'5'!BB12</f>
        <v>2306</v>
      </c>
      <c r="BC12" s="30">
        <f t="shared" si="2"/>
        <v>1.0410835214446952</v>
      </c>
      <c r="BD12" s="12">
        <f>'5'!BD12</f>
        <v>16</v>
      </c>
      <c r="BE12" s="12">
        <f>'5'!BE12</f>
        <v>729</v>
      </c>
      <c r="BF12" s="12"/>
      <c r="BG12" s="12"/>
      <c r="BH12" s="12">
        <f>BG12+'5'!BH12</f>
        <v>224</v>
      </c>
      <c r="BI12" s="30">
        <f t="shared" si="3"/>
        <v>0.30727023319615915</v>
      </c>
    </row>
    <row r="13" spans="1:62" ht="41.5" customHeight="1" x14ac:dyDescent="0.35">
      <c r="A13" s="5">
        <v>3</v>
      </c>
      <c r="B13" s="26" t="str">
        <f>'5'!B13</f>
        <v>ميت بره</v>
      </c>
      <c r="C13" s="26">
        <f>'5'!C13</f>
        <v>11614</v>
      </c>
      <c r="D13" s="26"/>
      <c r="E13" s="12"/>
      <c r="F13" s="2">
        <f>E13+'5'!F13</f>
        <v>45</v>
      </c>
      <c r="G13" s="2"/>
      <c r="H13" s="2">
        <f>G13+'5'!H13</f>
        <v>465</v>
      </c>
      <c r="I13" s="2"/>
      <c r="J13" s="2">
        <f>I13+'5'!J13</f>
        <v>3703</v>
      </c>
      <c r="K13" s="2"/>
      <c r="L13" s="2">
        <f>K13+'5'!L13</f>
        <v>0</v>
      </c>
      <c r="M13" s="2"/>
      <c r="N13" s="2">
        <f>M13+'5'!N13</f>
        <v>0</v>
      </c>
      <c r="O13" s="2"/>
      <c r="P13" s="2">
        <f>O13+'5'!P13</f>
        <v>0</v>
      </c>
      <c r="Q13" s="4">
        <f t="shared" si="4"/>
        <v>0</v>
      </c>
      <c r="R13" s="4">
        <f>Q13+'5'!R13</f>
        <v>4213</v>
      </c>
      <c r="S13" s="27">
        <f t="shared" si="5"/>
        <v>0.36275185121405201</v>
      </c>
      <c r="T13" s="12"/>
      <c r="U13" s="12">
        <f>T13+'5'!U13</f>
        <v>641</v>
      </c>
      <c r="V13" s="12"/>
      <c r="W13" s="12">
        <f>V13+'5'!W13</f>
        <v>0</v>
      </c>
      <c r="X13" s="12"/>
      <c r="Y13" s="12">
        <f>X13+'5'!Y13</f>
        <v>0</v>
      </c>
      <c r="AB13" s="5">
        <v>3</v>
      </c>
      <c r="AC13" s="26" t="str">
        <f>'5'!AC13</f>
        <v>ميت بره</v>
      </c>
      <c r="AD13" s="28">
        <f>'5'!AI13</f>
        <v>584</v>
      </c>
      <c r="AE13" s="3"/>
      <c r="AF13" s="28">
        <f>AE13+'5'!AF13</f>
        <v>1020</v>
      </c>
      <c r="AG13" s="4"/>
      <c r="AH13" s="28">
        <f>AG13+'5'!AH13</f>
        <v>436</v>
      </c>
      <c r="AI13" s="4">
        <f t="shared" ref="AI13:AI50" si="6">AD13+AE13-AG13</f>
        <v>584</v>
      </c>
      <c r="AJ13" s="11" t="e">
        <f t="shared" si="0"/>
        <v>#DIV/0!</v>
      </c>
      <c r="AK13" s="53">
        <f t="shared" si="1"/>
        <v>9.6628440366972477</v>
      </c>
      <c r="AM13" s="340"/>
      <c r="AN13" s="46" t="s">
        <v>43</v>
      </c>
      <c r="AO13" s="45">
        <f t="shared" ref="AO13:AT13" si="7">SUM(AO10:AO12)</f>
        <v>3224</v>
      </c>
      <c r="AP13" s="45">
        <f t="shared" si="7"/>
        <v>0</v>
      </c>
      <c r="AQ13" s="45">
        <f t="shared" si="7"/>
        <v>8723</v>
      </c>
      <c r="AR13" s="45">
        <f t="shared" si="7"/>
        <v>0</v>
      </c>
      <c r="AS13" s="45">
        <f t="shared" si="7"/>
        <v>5499</v>
      </c>
      <c r="AT13" s="47">
        <f t="shared" si="7"/>
        <v>3224</v>
      </c>
      <c r="AU13" s="56"/>
      <c r="AW13" s="26" t="str">
        <f>'5'!AW13</f>
        <v>ميت بره</v>
      </c>
      <c r="AX13" s="12">
        <f>'5'!AX13</f>
        <v>8</v>
      </c>
      <c r="AY13" s="12">
        <f>'5'!AY13</f>
        <v>4849</v>
      </c>
      <c r="AZ13" s="12"/>
      <c r="BA13" s="12"/>
      <c r="BB13" s="12">
        <f>BA13+'5'!BB13</f>
        <v>4093</v>
      </c>
      <c r="BC13" s="30">
        <f t="shared" si="2"/>
        <v>0.84409156527118989</v>
      </c>
      <c r="BD13" s="12">
        <f>'5'!BD13</f>
        <v>21</v>
      </c>
      <c r="BE13" s="12">
        <f>'5'!BE13</f>
        <v>1129</v>
      </c>
      <c r="BF13" s="12"/>
      <c r="BG13" s="12"/>
      <c r="BH13" s="12">
        <f>BG13+'5'!BH13</f>
        <v>128</v>
      </c>
      <c r="BI13" s="30">
        <f t="shared" si="3"/>
        <v>0.11337466784765279</v>
      </c>
    </row>
    <row r="14" spans="1:62" ht="41.5" customHeight="1" thickBot="1" x14ac:dyDescent="0.4">
      <c r="A14" s="5">
        <v>4</v>
      </c>
      <c r="B14" s="26" t="str">
        <f>'5'!B14</f>
        <v>أبنــــــــــــــــهس</v>
      </c>
      <c r="C14" s="26">
        <f>'5'!C14</f>
        <v>5029</v>
      </c>
      <c r="D14" s="26"/>
      <c r="E14" s="12"/>
      <c r="F14" s="2">
        <f>E14+'5'!F14</f>
        <v>14</v>
      </c>
      <c r="G14" s="2"/>
      <c r="H14" s="2">
        <f>G14+'5'!H14</f>
        <v>349</v>
      </c>
      <c r="I14" s="2"/>
      <c r="J14" s="2">
        <f>I14+'5'!J14</f>
        <v>2016</v>
      </c>
      <c r="K14" s="2"/>
      <c r="L14" s="2">
        <f>K14+'5'!L14</f>
        <v>0</v>
      </c>
      <c r="M14" s="2"/>
      <c r="N14" s="2">
        <f>M14+'5'!N14</f>
        <v>0</v>
      </c>
      <c r="O14" s="2"/>
      <c r="P14" s="2">
        <f>O14+'5'!P14</f>
        <v>0</v>
      </c>
      <c r="Q14" s="4">
        <f t="shared" si="4"/>
        <v>0</v>
      </c>
      <c r="R14" s="4">
        <f>Q14+'5'!R14</f>
        <v>2379</v>
      </c>
      <c r="S14" s="27">
        <f t="shared" si="5"/>
        <v>0.47305627361304436</v>
      </c>
      <c r="T14" s="12"/>
      <c r="U14" s="12">
        <f>T14+'5'!U14</f>
        <v>341</v>
      </c>
      <c r="V14" s="12"/>
      <c r="W14" s="12">
        <f>V14+'5'!W14</f>
        <v>29</v>
      </c>
      <c r="X14" s="12"/>
      <c r="Y14" s="12">
        <f>X14+'5'!Y14</f>
        <v>0</v>
      </c>
      <c r="AB14" s="5">
        <v>4</v>
      </c>
      <c r="AC14" s="26" t="str">
        <f>'5'!AC14</f>
        <v>أبنــــــــــــــــهس</v>
      </c>
      <c r="AD14" s="28">
        <f>'5'!AI14</f>
        <v>196</v>
      </c>
      <c r="AE14" s="3"/>
      <c r="AF14" s="28">
        <f>AE14+'5'!AF14</f>
        <v>440</v>
      </c>
      <c r="AG14" s="4"/>
      <c r="AH14" s="28">
        <f>AG14+'5'!AH14</f>
        <v>244</v>
      </c>
      <c r="AI14" s="4">
        <f t="shared" si="6"/>
        <v>196</v>
      </c>
      <c r="AJ14" s="11" t="e">
        <f t="shared" si="0"/>
        <v>#DIV/0!</v>
      </c>
      <c r="AK14" s="53">
        <f t="shared" si="1"/>
        <v>9.75</v>
      </c>
      <c r="AM14" s="316" t="s">
        <v>42</v>
      </c>
      <c r="AN14" s="317"/>
      <c r="AO14" s="318"/>
      <c r="AP14" s="319"/>
      <c r="AQ14" s="319"/>
      <c r="AR14" s="319"/>
      <c r="AS14" s="320"/>
      <c r="AT14" s="39">
        <f>AT13+AI51</f>
        <v>6357</v>
      </c>
      <c r="AU14" s="57"/>
      <c r="AW14" s="26" t="str">
        <f>'5'!AW14</f>
        <v>أبنــــــــــــــــهس</v>
      </c>
      <c r="AX14" s="12">
        <f>'5'!AX14</f>
        <v>7</v>
      </c>
      <c r="AY14" s="12">
        <f>'5'!AY14</f>
        <v>2531</v>
      </c>
      <c r="AZ14" s="12"/>
      <c r="BA14" s="12"/>
      <c r="BB14" s="12">
        <f>BA14+'5'!BB14</f>
        <v>2092</v>
      </c>
      <c r="BC14" s="30">
        <f t="shared" si="2"/>
        <v>0.82655077044646386</v>
      </c>
      <c r="BD14" s="12">
        <f>'5'!BD14</f>
        <v>23</v>
      </c>
      <c r="BE14" s="12">
        <f>'5'!BE14</f>
        <v>921</v>
      </c>
      <c r="BF14" s="12"/>
      <c r="BG14" s="12"/>
      <c r="BH14" s="12">
        <f>BG14+'5'!BH14</f>
        <v>287</v>
      </c>
      <c r="BI14" s="30">
        <f t="shared" si="3"/>
        <v>0.31161780673181327</v>
      </c>
    </row>
    <row r="15" spans="1:62" ht="41.5" customHeight="1" x14ac:dyDescent="0.35">
      <c r="A15" s="5">
        <v>5</v>
      </c>
      <c r="B15" s="26" t="str">
        <f>'5'!B15</f>
        <v>ميت ســـــــــراج</v>
      </c>
      <c r="C15" s="26">
        <f>'5'!C15</f>
        <v>2369</v>
      </c>
      <c r="D15" s="26"/>
      <c r="E15" s="12"/>
      <c r="F15" s="2">
        <f>E15+'5'!F15</f>
        <v>4</v>
      </c>
      <c r="G15" s="2"/>
      <c r="H15" s="2">
        <f>G15+'5'!H15</f>
        <v>472</v>
      </c>
      <c r="I15" s="2"/>
      <c r="J15" s="2">
        <f>I15+'5'!J15</f>
        <v>839</v>
      </c>
      <c r="K15" s="2"/>
      <c r="L15" s="2">
        <f>K15+'5'!L15</f>
        <v>0</v>
      </c>
      <c r="M15" s="2"/>
      <c r="N15" s="2">
        <f>M15+'5'!N15</f>
        <v>0</v>
      </c>
      <c r="O15" s="2"/>
      <c r="P15" s="2">
        <f>O15+'5'!P15</f>
        <v>0</v>
      </c>
      <c r="Q15" s="4">
        <f t="shared" si="4"/>
        <v>0</v>
      </c>
      <c r="R15" s="4">
        <f>Q15+'5'!R15</f>
        <v>1315</v>
      </c>
      <c r="S15" s="27">
        <f t="shared" si="5"/>
        <v>0.55508653440270161</v>
      </c>
      <c r="T15" s="12"/>
      <c r="U15" s="12">
        <f>T15+'5'!U15</f>
        <v>105</v>
      </c>
      <c r="V15" s="12"/>
      <c r="W15" s="12">
        <f>V15+'5'!W15</f>
        <v>37</v>
      </c>
      <c r="X15" s="12"/>
      <c r="Y15" s="12">
        <f>X15+'5'!Y15</f>
        <v>0</v>
      </c>
      <c r="AB15" s="5">
        <v>5</v>
      </c>
      <c r="AC15" s="26" t="str">
        <f>'5'!AC15</f>
        <v>ميت ســـــــــراج</v>
      </c>
      <c r="AD15" s="28">
        <f>'5'!AI15</f>
        <v>74</v>
      </c>
      <c r="AE15" s="3"/>
      <c r="AF15" s="28">
        <f>AE15+'5'!AF15</f>
        <v>209</v>
      </c>
      <c r="AG15" s="4"/>
      <c r="AH15" s="28">
        <f>AG15+'5'!AH15</f>
        <v>135</v>
      </c>
      <c r="AI15" s="4">
        <f t="shared" si="6"/>
        <v>74</v>
      </c>
      <c r="AJ15" s="11" t="e">
        <f t="shared" si="0"/>
        <v>#DIV/0!</v>
      </c>
      <c r="AK15" s="53">
        <f t="shared" si="1"/>
        <v>9.7407407407407405</v>
      </c>
      <c r="AW15" s="26" t="str">
        <f>'5'!AW15</f>
        <v>ميت ســـــــــراج</v>
      </c>
      <c r="AX15" s="12">
        <f>'5'!AX15</f>
        <v>2</v>
      </c>
      <c r="AY15" s="12">
        <f>'5'!AY15</f>
        <v>1041</v>
      </c>
      <c r="AZ15" s="12"/>
      <c r="BA15" s="12"/>
      <c r="BB15" s="12">
        <f>BA15+'5'!BB15</f>
        <v>874</v>
      </c>
      <c r="BC15" s="30">
        <f t="shared" si="2"/>
        <v>0.83957732949087416</v>
      </c>
      <c r="BD15" s="12">
        <f>'5'!BD15</f>
        <v>5</v>
      </c>
      <c r="BE15" s="12">
        <f>'5'!BE15</f>
        <v>310</v>
      </c>
      <c r="BF15" s="12"/>
      <c r="BG15" s="12"/>
      <c r="BH15" s="12">
        <f>BG15+'5'!BH15</f>
        <v>385</v>
      </c>
      <c r="BI15" s="30">
        <f t="shared" si="3"/>
        <v>1.2419354838709677</v>
      </c>
    </row>
    <row r="16" spans="1:62" ht="41.5" customHeight="1" x14ac:dyDescent="0.35">
      <c r="A16" s="5">
        <v>6</v>
      </c>
      <c r="B16" s="26" t="str">
        <f>'5'!B16</f>
        <v>أم خــــــــــــــنان</v>
      </c>
      <c r="C16" s="26">
        <f>'5'!C16</f>
        <v>4900</v>
      </c>
      <c r="D16" s="26"/>
      <c r="E16" s="12"/>
      <c r="F16" s="2">
        <f>E16+'5'!F16</f>
        <v>11</v>
      </c>
      <c r="G16" s="2"/>
      <c r="H16" s="2">
        <f>G16+'5'!H16</f>
        <v>280</v>
      </c>
      <c r="I16" s="2"/>
      <c r="J16" s="2">
        <f>I16+'5'!J16</f>
        <v>1942</v>
      </c>
      <c r="K16" s="2"/>
      <c r="L16" s="2">
        <f>K16+'5'!L16</f>
        <v>0</v>
      </c>
      <c r="M16" s="2"/>
      <c r="N16" s="2">
        <f>M16+'5'!N16</f>
        <v>0</v>
      </c>
      <c r="O16" s="2"/>
      <c r="P16" s="2">
        <f>O16+'5'!P16</f>
        <v>0</v>
      </c>
      <c r="Q16" s="4">
        <f t="shared" si="4"/>
        <v>0</v>
      </c>
      <c r="R16" s="4">
        <f>Q16+'5'!R16</f>
        <v>2233</v>
      </c>
      <c r="S16" s="27">
        <f t="shared" si="5"/>
        <v>0.45571428571428574</v>
      </c>
      <c r="T16" s="12"/>
      <c r="U16" s="12">
        <f>T16+'5'!U16</f>
        <v>375</v>
      </c>
      <c r="V16" s="12"/>
      <c r="W16" s="12">
        <f>V16+'5'!W16</f>
        <v>0</v>
      </c>
      <c r="X16" s="12"/>
      <c r="Y16" s="12">
        <f>X16+'5'!Y16</f>
        <v>0</v>
      </c>
      <c r="AB16" s="5">
        <v>6</v>
      </c>
      <c r="AC16" s="26" t="str">
        <f>'5'!AC16</f>
        <v>أم خــــــــــــــنان</v>
      </c>
      <c r="AD16" s="28">
        <f>'5'!AI16</f>
        <v>204</v>
      </c>
      <c r="AE16" s="3"/>
      <c r="AF16" s="28">
        <f>AE16+'5'!AF16</f>
        <v>430</v>
      </c>
      <c r="AG16" s="4"/>
      <c r="AH16" s="28">
        <f>AG16+'5'!AH16</f>
        <v>226</v>
      </c>
      <c r="AI16" s="4">
        <f t="shared" si="6"/>
        <v>204</v>
      </c>
      <c r="AJ16" s="11" t="e">
        <f t="shared" si="0"/>
        <v>#DIV/0!</v>
      </c>
      <c r="AK16" s="53">
        <f t="shared" si="1"/>
        <v>9.8805309734513269</v>
      </c>
      <c r="AW16" s="26" t="str">
        <f>'5'!AW16</f>
        <v>أم خــــــــــــــنان</v>
      </c>
      <c r="AX16" s="12">
        <f>'5'!AX16</f>
        <v>8</v>
      </c>
      <c r="AY16" s="12">
        <f>'5'!AY16</f>
        <v>2981</v>
      </c>
      <c r="AZ16" s="12"/>
      <c r="BA16" s="12"/>
      <c r="BB16" s="12">
        <f>BA16+'5'!BB16</f>
        <v>2132</v>
      </c>
      <c r="BC16" s="30">
        <f t="shared" si="2"/>
        <v>0.71519624287151962</v>
      </c>
      <c r="BD16" s="12">
        <f>'5'!BD16</f>
        <v>12</v>
      </c>
      <c r="BE16" s="12">
        <f>'5'!BE16</f>
        <v>1313</v>
      </c>
      <c r="BF16" s="12"/>
      <c r="BG16" s="12"/>
      <c r="BH16" s="12">
        <f>BG16+'5'!BH16</f>
        <v>0</v>
      </c>
      <c r="BI16" s="30">
        <f t="shared" si="3"/>
        <v>0</v>
      </c>
    </row>
    <row r="17" spans="1:61" ht="41.5" customHeight="1" x14ac:dyDescent="0.35">
      <c r="A17" s="5">
        <v>7</v>
      </c>
      <c r="B17" s="26" t="str">
        <f>'5'!B17</f>
        <v>أجهور الرمل</v>
      </c>
      <c r="C17" s="26">
        <f>'5'!C17</f>
        <v>3590</v>
      </c>
      <c r="D17" s="26"/>
      <c r="E17" s="12"/>
      <c r="F17" s="2">
        <f>E17+'5'!F17</f>
        <v>17</v>
      </c>
      <c r="G17" s="2"/>
      <c r="H17" s="2">
        <f>G17+'5'!H17</f>
        <v>591</v>
      </c>
      <c r="I17" s="2"/>
      <c r="J17" s="2">
        <f>I17+'5'!J17</f>
        <v>1489</v>
      </c>
      <c r="K17" s="2"/>
      <c r="L17" s="2">
        <f>K17+'5'!L17</f>
        <v>0</v>
      </c>
      <c r="M17" s="2"/>
      <c r="N17" s="2">
        <f>M17+'5'!N17</f>
        <v>0</v>
      </c>
      <c r="O17" s="2"/>
      <c r="P17" s="2">
        <f>O17+'5'!P17</f>
        <v>0</v>
      </c>
      <c r="Q17" s="4">
        <f t="shared" si="4"/>
        <v>0</v>
      </c>
      <c r="R17" s="4">
        <f>Q17+'5'!R17</f>
        <v>2097</v>
      </c>
      <c r="S17" s="27">
        <f t="shared" si="5"/>
        <v>0.58412256267409468</v>
      </c>
      <c r="T17" s="12"/>
      <c r="U17" s="12">
        <f>T17+'5'!U17</f>
        <v>360</v>
      </c>
      <c r="V17" s="12"/>
      <c r="W17" s="12">
        <f>V17+'5'!W17</f>
        <v>121</v>
      </c>
      <c r="X17" s="12"/>
      <c r="Y17" s="12">
        <f>X17+'5'!Y17</f>
        <v>0</v>
      </c>
      <c r="AB17" s="5">
        <v>7</v>
      </c>
      <c r="AC17" s="26" t="str">
        <f>'5'!AC17</f>
        <v>أجهور الرمل</v>
      </c>
      <c r="AD17" s="28">
        <f>'5'!AI17</f>
        <v>100</v>
      </c>
      <c r="AE17" s="3"/>
      <c r="AF17" s="28">
        <f>AE17+'5'!AF17</f>
        <v>316</v>
      </c>
      <c r="AG17" s="4"/>
      <c r="AH17" s="28">
        <f>AG17+'5'!AH17</f>
        <v>216</v>
      </c>
      <c r="AI17" s="4">
        <f t="shared" si="6"/>
        <v>100</v>
      </c>
      <c r="AJ17" s="11" t="e">
        <f t="shared" si="0"/>
        <v>#DIV/0!</v>
      </c>
      <c r="AK17" s="53">
        <f t="shared" si="1"/>
        <v>9.7083333333333339</v>
      </c>
      <c r="AW17" s="26" t="str">
        <f>'5'!AW17</f>
        <v>أجهور الرمل</v>
      </c>
      <c r="AX17" s="12">
        <f>'5'!AX17</f>
        <v>4</v>
      </c>
      <c r="AY17" s="12">
        <f>'5'!AY17</f>
        <v>1796</v>
      </c>
      <c r="AZ17" s="12"/>
      <c r="BA17" s="12"/>
      <c r="BB17" s="12">
        <f>BA17+'5'!BB17</f>
        <v>1422</v>
      </c>
      <c r="BC17" s="30">
        <f t="shared" si="2"/>
        <v>0.79175946547884191</v>
      </c>
      <c r="BD17" s="12">
        <f>'5'!BD17</f>
        <v>3</v>
      </c>
      <c r="BE17" s="12">
        <f>'5'!BE17</f>
        <v>100</v>
      </c>
      <c r="BF17" s="12"/>
      <c r="BG17" s="12"/>
      <c r="BH17" s="12">
        <f>BG17+'5'!BH17</f>
        <v>441</v>
      </c>
      <c r="BI17" s="30">
        <f t="shared" si="3"/>
        <v>4.41</v>
      </c>
    </row>
    <row r="18" spans="1:61" ht="41.5" customHeight="1" x14ac:dyDescent="0.35">
      <c r="A18" s="5">
        <v>8</v>
      </c>
      <c r="B18" s="26" t="str">
        <f>'5'!B18</f>
        <v>منشأة دمــــــــــلو</v>
      </c>
      <c r="C18" s="26">
        <f>'5'!C18</f>
        <v>1320</v>
      </c>
      <c r="D18" s="26"/>
      <c r="E18" s="12"/>
      <c r="F18" s="2">
        <f>E18+'5'!F18</f>
        <v>18</v>
      </c>
      <c r="G18" s="2"/>
      <c r="H18" s="2">
        <f>G18+'5'!H18</f>
        <v>528</v>
      </c>
      <c r="I18" s="2"/>
      <c r="J18" s="2">
        <f>I18+'5'!J18</f>
        <v>704</v>
      </c>
      <c r="K18" s="2"/>
      <c r="L18" s="2">
        <f>K18+'5'!L18</f>
        <v>0</v>
      </c>
      <c r="M18" s="2"/>
      <c r="N18" s="2">
        <f>M18+'5'!N18</f>
        <v>0</v>
      </c>
      <c r="O18" s="2"/>
      <c r="P18" s="2">
        <f>O18+'5'!P18</f>
        <v>0</v>
      </c>
      <c r="Q18" s="4">
        <f t="shared" si="4"/>
        <v>0</v>
      </c>
      <c r="R18" s="4">
        <f>Q18+'5'!R18</f>
        <v>1250</v>
      </c>
      <c r="S18" s="27">
        <f t="shared" si="5"/>
        <v>0.94696969696969702</v>
      </c>
      <c r="T18" s="12"/>
      <c r="U18" s="12">
        <f>T18+'5'!U18</f>
        <v>175</v>
      </c>
      <c r="V18" s="12"/>
      <c r="W18" s="12">
        <f>V18+'5'!W18</f>
        <v>38</v>
      </c>
      <c r="X18" s="12"/>
      <c r="Y18" s="12">
        <f>X18+'5'!Y18</f>
        <v>0</v>
      </c>
      <c r="AB18" s="5">
        <v>8</v>
      </c>
      <c r="AC18" s="26" t="str">
        <f>'5'!AC18</f>
        <v>منشأة دمــــــــــلو</v>
      </c>
      <c r="AD18" s="28">
        <f>'5'!AI18</f>
        <v>4</v>
      </c>
      <c r="AE18" s="3"/>
      <c r="AF18" s="28">
        <f>AE18+'5'!AF18</f>
        <v>135</v>
      </c>
      <c r="AG18" s="4"/>
      <c r="AH18" s="28">
        <f>AG18+'5'!AH18</f>
        <v>131</v>
      </c>
      <c r="AI18" s="4">
        <f t="shared" si="6"/>
        <v>4</v>
      </c>
      <c r="AJ18" s="11" t="e">
        <f t="shared" si="0"/>
        <v>#DIV/0!</v>
      </c>
      <c r="AK18" s="53">
        <f t="shared" si="1"/>
        <v>9.5419847328244281</v>
      </c>
      <c r="AW18" s="26" t="str">
        <f>'5'!AW18</f>
        <v>منشأة دمــــــــــلو</v>
      </c>
      <c r="AX18" s="12">
        <f>'5'!AX18</f>
        <v>2</v>
      </c>
      <c r="AY18" s="12">
        <f>'5'!AY18</f>
        <v>896</v>
      </c>
      <c r="AZ18" s="12"/>
      <c r="BA18" s="12"/>
      <c r="BB18" s="12">
        <f>BA18+'5'!BB18</f>
        <v>748</v>
      </c>
      <c r="BC18" s="30">
        <f t="shared" si="2"/>
        <v>0.8348214285714286</v>
      </c>
      <c r="BD18" s="12">
        <f>'5'!BD18</f>
        <v>8</v>
      </c>
      <c r="BE18" s="12">
        <f>'5'!BE18</f>
        <v>340</v>
      </c>
      <c r="BF18" s="12"/>
      <c r="BG18" s="12"/>
      <c r="BH18" s="12">
        <f>BG18+'5'!BH18</f>
        <v>328</v>
      </c>
      <c r="BI18" s="30">
        <f t="shared" si="3"/>
        <v>0.96470588235294119</v>
      </c>
    </row>
    <row r="19" spans="1:61" ht="41.5" customHeight="1" x14ac:dyDescent="0.35">
      <c r="A19" s="5">
        <v>9</v>
      </c>
      <c r="B19" s="26" t="str">
        <f>'5'!B19</f>
        <v>شـــــــــــــرانيس</v>
      </c>
      <c r="C19" s="26">
        <f>'5'!C19</f>
        <v>1414</v>
      </c>
      <c r="D19" s="26"/>
      <c r="E19" s="12"/>
      <c r="F19" s="2">
        <f>E19+'5'!F19</f>
        <v>11</v>
      </c>
      <c r="G19" s="2"/>
      <c r="H19" s="2">
        <f>G19+'5'!H19</f>
        <v>359</v>
      </c>
      <c r="I19" s="2"/>
      <c r="J19" s="2">
        <f>I19+'5'!J19</f>
        <v>618</v>
      </c>
      <c r="K19" s="2"/>
      <c r="L19" s="2">
        <f>K19+'5'!L19</f>
        <v>0</v>
      </c>
      <c r="M19" s="2"/>
      <c r="N19" s="2">
        <f>M19+'5'!N19</f>
        <v>0</v>
      </c>
      <c r="O19" s="2"/>
      <c r="P19" s="2">
        <f>O19+'5'!P19</f>
        <v>0</v>
      </c>
      <c r="Q19" s="4">
        <f t="shared" si="4"/>
        <v>0</v>
      </c>
      <c r="R19" s="4">
        <f>Q19+'5'!R19</f>
        <v>988</v>
      </c>
      <c r="S19" s="27">
        <f t="shared" si="5"/>
        <v>0.69872701555869876</v>
      </c>
      <c r="T19" s="12"/>
      <c r="U19" s="12">
        <f>T19+'5'!U19</f>
        <v>143</v>
      </c>
      <c r="V19" s="12"/>
      <c r="W19" s="12">
        <f>V19+'5'!W19</f>
        <v>0</v>
      </c>
      <c r="X19" s="12"/>
      <c r="Y19" s="12">
        <f>X19+'5'!Y19</f>
        <v>0</v>
      </c>
      <c r="AB19" s="5">
        <v>9</v>
      </c>
      <c r="AC19" s="26" t="str">
        <f>'5'!AC19</f>
        <v>شـــــــــــــرانيس</v>
      </c>
      <c r="AD19" s="28">
        <f>'5'!AI19</f>
        <v>22</v>
      </c>
      <c r="AE19" s="3"/>
      <c r="AF19" s="28">
        <f>AE19+'5'!AF19</f>
        <v>125</v>
      </c>
      <c r="AG19" s="4"/>
      <c r="AH19" s="28">
        <f>AG19+'5'!AH19</f>
        <v>103</v>
      </c>
      <c r="AI19" s="4">
        <f t="shared" si="6"/>
        <v>22</v>
      </c>
      <c r="AJ19" s="11" t="e">
        <f t="shared" si="0"/>
        <v>#DIV/0!</v>
      </c>
      <c r="AK19" s="53">
        <f t="shared" si="1"/>
        <v>9.5922330097087372</v>
      </c>
      <c r="AW19" s="26" t="str">
        <f>'5'!AW19</f>
        <v>شـــــــــــــرانيس</v>
      </c>
      <c r="AX19" s="12">
        <f>'5'!AX19</f>
        <v>2</v>
      </c>
      <c r="AY19" s="12">
        <f>'5'!AY19</f>
        <v>675</v>
      </c>
      <c r="AZ19" s="12"/>
      <c r="BA19" s="12"/>
      <c r="BB19" s="12">
        <f>BA19+'5'!BB19</f>
        <v>569</v>
      </c>
      <c r="BC19" s="30">
        <f t="shared" si="2"/>
        <v>0.84296296296296291</v>
      </c>
      <c r="BD19" s="12">
        <f>'5'!BD19</f>
        <v>2</v>
      </c>
      <c r="BE19" s="12">
        <f>'5'!BE19</f>
        <v>397</v>
      </c>
      <c r="BF19" s="12"/>
      <c r="BG19" s="12"/>
      <c r="BH19" s="12">
        <f>BG19+'5'!BH19</f>
        <v>349</v>
      </c>
      <c r="BI19" s="30">
        <f t="shared" si="3"/>
        <v>0.87909319899244331</v>
      </c>
    </row>
    <row r="20" spans="1:61" ht="41.5" customHeight="1" x14ac:dyDescent="0.35">
      <c r="A20" s="5">
        <v>10</v>
      </c>
      <c r="B20" s="26" t="str">
        <f>'5'!B20</f>
        <v>قويســـــــــنا البلد</v>
      </c>
      <c r="C20" s="26">
        <f>'5'!C20</f>
        <v>4115</v>
      </c>
      <c r="D20" s="26"/>
      <c r="E20" s="12"/>
      <c r="F20" s="2">
        <f>E20+'5'!F20</f>
        <v>27</v>
      </c>
      <c r="G20" s="2"/>
      <c r="H20" s="2">
        <f>G20+'5'!H20</f>
        <v>406</v>
      </c>
      <c r="I20" s="2"/>
      <c r="J20" s="2">
        <f>I20+'5'!J20</f>
        <v>1286</v>
      </c>
      <c r="K20" s="2"/>
      <c r="L20" s="2">
        <f>K20+'5'!L20</f>
        <v>0</v>
      </c>
      <c r="M20" s="2"/>
      <c r="N20" s="2">
        <f>M20+'5'!N20</f>
        <v>0</v>
      </c>
      <c r="O20" s="2"/>
      <c r="P20" s="2">
        <f>O20+'5'!P20</f>
        <v>0</v>
      </c>
      <c r="Q20" s="4">
        <f t="shared" si="4"/>
        <v>0</v>
      </c>
      <c r="R20" s="4">
        <f>Q20+'5'!R20</f>
        <v>1719</v>
      </c>
      <c r="S20" s="27">
        <f t="shared" si="5"/>
        <v>0.41773997569866345</v>
      </c>
      <c r="T20" s="12"/>
      <c r="U20" s="12">
        <f>T20+'5'!U20</f>
        <v>405</v>
      </c>
      <c r="V20" s="12"/>
      <c r="W20" s="12">
        <f>V20+'5'!W20</f>
        <v>144</v>
      </c>
      <c r="X20" s="12"/>
      <c r="Y20" s="12">
        <f>X20+'5'!Y20</f>
        <v>0</v>
      </c>
      <c r="AB20" s="5">
        <v>10</v>
      </c>
      <c r="AC20" s="26" t="str">
        <f>'5'!AC20</f>
        <v>قويســـــــــنا البلد</v>
      </c>
      <c r="AD20" s="28">
        <f>'5'!AI20</f>
        <v>185</v>
      </c>
      <c r="AE20" s="3"/>
      <c r="AF20" s="28">
        <f>AE20+'5'!AF20</f>
        <v>360</v>
      </c>
      <c r="AG20" s="4"/>
      <c r="AH20" s="28">
        <f>AG20+'5'!AH20</f>
        <v>175</v>
      </c>
      <c r="AI20" s="4">
        <f t="shared" si="6"/>
        <v>185</v>
      </c>
      <c r="AJ20" s="11" t="e">
        <f t="shared" si="0"/>
        <v>#DIV/0!</v>
      </c>
      <c r="AK20" s="53">
        <f t="shared" si="1"/>
        <v>9.8228571428571421</v>
      </c>
      <c r="AW20" s="26" t="str">
        <f>'5'!AW20</f>
        <v>قويســـــــــنا البلد</v>
      </c>
      <c r="AX20" s="12">
        <f>'5'!AX20</f>
        <v>2</v>
      </c>
      <c r="AY20" s="12">
        <f>'5'!AY20</f>
        <v>1539</v>
      </c>
      <c r="AZ20" s="12"/>
      <c r="BA20" s="12"/>
      <c r="BB20" s="12">
        <f>BA20+'5'!BB20</f>
        <v>1355</v>
      </c>
      <c r="BC20" s="30">
        <f t="shared" si="2"/>
        <v>0.88044184535412606</v>
      </c>
      <c r="BD20" s="12">
        <f>'5'!BD20</f>
        <v>7</v>
      </c>
      <c r="BE20" s="12">
        <f>'5'!BE20</f>
        <v>580</v>
      </c>
      <c r="BF20" s="12"/>
      <c r="BG20" s="12"/>
      <c r="BH20" s="12">
        <f>BG20+'5'!BH20</f>
        <v>204</v>
      </c>
      <c r="BI20" s="30">
        <f t="shared" si="3"/>
        <v>0.35172413793103446</v>
      </c>
    </row>
    <row r="21" spans="1:61" ht="41.5" customHeight="1" x14ac:dyDescent="0.35">
      <c r="A21" s="5">
        <v>11</v>
      </c>
      <c r="B21" s="26" t="str">
        <f>'5'!B21</f>
        <v>بجيرم</v>
      </c>
      <c r="C21" s="26">
        <f>'5'!C21</f>
        <v>1782</v>
      </c>
      <c r="D21" s="26"/>
      <c r="E21" s="12"/>
      <c r="F21" s="2">
        <f>E21+'5'!F21</f>
        <v>8</v>
      </c>
      <c r="G21" s="2"/>
      <c r="H21" s="2">
        <f>G21+'5'!H21</f>
        <v>406</v>
      </c>
      <c r="I21" s="2"/>
      <c r="J21" s="2">
        <f>I21+'5'!J21</f>
        <v>755</v>
      </c>
      <c r="K21" s="2"/>
      <c r="L21" s="2">
        <f>K21+'5'!L21</f>
        <v>0</v>
      </c>
      <c r="M21" s="2"/>
      <c r="N21" s="2">
        <f>M21+'5'!N21</f>
        <v>0</v>
      </c>
      <c r="O21" s="2"/>
      <c r="P21" s="2">
        <f>O21+'5'!P21</f>
        <v>0</v>
      </c>
      <c r="Q21" s="4">
        <f t="shared" si="4"/>
        <v>0</v>
      </c>
      <c r="R21" s="4">
        <f>Q21+'5'!R21</f>
        <v>1169</v>
      </c>
      <c r="S21" s="27">
        <f t="shared" si="5"/>
        <v>0.65600448933782263</v>
      </c>
      <c r="T21" s="12"/>
      <c r="U21" s="12">
        <f>T21+'5'!U21</f>
        <v>126</v>
      </c>
      <c r="V21" s="12"/>
      <c r="W21" s="12">
        <f>V21+'5'!W21</f>
        <v>44</v>
      </c>
      <c r="X21" s="12"/>
      <c r="Y21" s="12">
        <f>X21+'5'!Y21</f>
        <v>0</v>
      </c>
      <c r="AB21" s="5">
        <v>11</v>
      </c>
      <c r="AC21" s="26" t="str">
        <f>'5'!AC21</f>
        <v>بجيرم</v>
      </c>
      <c r="AD21" s="28">
        <f>'5'!AI21</f>
        <v>37</v>
      </c>
      <c r="AE21" s="3"/>
      <c r="AF21" s="28">
        <f>AE21+'5'!AF21</f>
        <v>157</v>
      </c>
      <c r="AG21" s="4"/>
      <c r="AH21" s="28">
        <f>AG21+'5'!AH21</f>
        <v>120</v>
      </c>
      <c r="AI21" s="4">
        <f t="shared" si="6"/>
        <v>37</v>
      </c>
      <c r="AJ21" s="11" t="e">
        <f t="shared" si="0"/>
        <v>#DIV/0!</v>
      </c>
      <c r="AK21" s="53">
        <f t="shared" si="1"/>
        <v>9.7416666666666671</v>
      </c>
      <c r="AW21" s="26" t="str">
        <f>'5'!AW21</f>
        <v>بجيرم</v>
      </c>
      <c r="AX21" s="12">
        <f>'5'!AX21</f>
        <v>4</v>
      </c>
      <c r="AY21" s="12">
        <f>'5'!AY21</f>
        <v>946</v>
      </c>
      <c r="AZ21" s="12"/>
      <c r="BA21" s="12"/>
      <c r="BB21" s="12">
        <f>BA21+'5'!BB21</f>
        <v>823</v>
      </c>
      <c r="BC21" s="30">
        <f t="shared" si="2"/>
        <v>0.86997885835095135</v>
      </c>
      <c r="BD21" s="12">
        <f>'5'!BD21</f>
        <v>4</v>
      </c>
      <c r="BE21" s="12">
        <f>'5'!BE21</f>
        <v>99</v>
      </c>
      <c r="BF21" s="12"/>
      <c r="BG21" s="12"/>
      <c r="BH21" s="12">
        <f>BG21+'5'!BH21</f>
        <v>99</v>
      </c>
      <c r="BI21" s="30">
        <f t="shared" si="3"/>
        <v>1</v>
      </c>
    </row>
    <row r="22" spans="1:61" ht="30" customHeight="1" x14ac:dyDescent="0.35">
      <c r="A22" s="5">
        <v>12</v>
      </c>
      <c r="B22" s="26" t="str">
        <f>'5'!B22</f>
        <v>كفر بنى غريـــان</v>
      </c>
      <c r="C22" s="26">
        <f>'5'!C22</f>
        <v>2184</v>
      </c>
      <c r="D22" s="26"/>
      <c r="E22" s="12"/>
      <c r="F22" s="2">
        <f>E22+'5'!F22</f>
        <v>12</v>
      </c>
      <c r="G22" s="2"/>
      <c r="H22" s="2">
        <f>G22+'5'!H22</f>
        <v>471</v>
      </c>
      <c r="I22" s="2"/>
      <c r="J22" s="2">
        <f>I22+'5'!J22</f>
        <v>971</v>
      </c>
      <c r="K22" s="2"/>
      <c r="L22" s="2">
        <f>K22+'5'!L22</f>
        <v>0</v>
      </c>
      <c r="M22" s="2"/>
      <c r="N22" s="2">
        <f>M22+'5'!N22</f>
        <v>0</v>
      </c>
      <c r="O22" s="2"/>
      <c r="P22" s="2">
        <f>O22+'5'!P22</f>
        <v>0</v>
      </c>
      <c r="Q22" s="4">
        <f t="shared" si="4"/>
        <v>0</v>
      </c>
      <c r="R22" s="4">
        <f>Q22+'5'!R22</f>
        <v>1454</v>
      </c>
      <c r="S22" s="27">
        <f t="shared" si="5"/>
        <v>0.66575091575091572</v>
      </c>
      <c r="T22" s="12"/>
      <c r="U22" s="12">
        <f>T22+'5'!U22</f>
        <v>174</v>
      </c>
      <c r="V22" s="12"/>
      <c r="W22" s="12">
        <f>V22+'5'!W22</f>
        <v>7</v>
      </c>
      <c r="X22" s="12"/>
      <c r="Y22" s="12">
        <f>X22+'5'!Y22</f>
        <v>0</v>
      </c>
      <c r="AB22" s="5">
        <v>12</v>
      </c>
      <c r="AC22" s="26" t="str">
        <f>'5'!AC22</f>
        <v>كفر بنى غريـــان</v>
      </c>
      <c r="AD22" s="28">
        <f>'5'!AI22</f>
        <v>42</v>
      </c>
      <c r="AE22" s="3"/>
      <c r="AF22" s="28">
        <f>AE22+'5'!AF22</f>
        <v>192</v>
      </c>
      <c r="AG22" s="4"/>
      <c r="AH22" s="28">
        <f>AG22+'5'!AH22</f>
        <v>150</v>
      </c>
      <c r="AI22" s="4">
        <f t="shared" si="6"/>
        <v>42</v>
      </c>
      <c r="AJ22" s="11" t="e">
        <f t="shared" si="0"/>
        <v>#DIV/0!</v>
      </c>
      <c r="AK22" s="53">
        <f t="shared" si="1"/>
        <v>9.6933333333333334</v>
      </c>
      <c r="AW22" s="26" t="str">
        <f>'5'!AW22</f>
        <v>كفر بنى غريـــان</v>
      </c>
      <c r="AX22" s="12">
        <f>'5'!AX22</f>
        <v>3</v>
      </c>
      <c r="AY22" s="12">
        <f>'5'!AY22</f>
        <v>1327</v>
      </c>
      <c r="AZ22" s="12"/>
      <c r="BA22" s="12"/>
      <c r="BB22" s="12">
        <f>BA22+'5'!BB22</f>
        <v>994</v>
      </c>
      <c r="BC22" s="30">
        <f t="shared" si="2"/>
        <v>0.74905802562170309</v>
      </c>
      <c r="BD22" s="12">
        <f>'5'!BD22</f>
        <v>9</v>
      </c>
      <c r="BE22" s="12">
        <f>'5'!BE22</f>
        <v>381</v>
      </c>
      <c r="BF22" s="12"/>
      <c r="BG22" s="12"/>
      <c r="BH22" s="12">
        <f>BG22+'5'!BH22</f>
        <v>387</v>
      </c>
      <c r="BI22" s="30">
        <f t="shared" si="3"/>
        <v>1.015748031496063</v>
      </c>
    </row>
    <row r="23" spans="1:61" ht="30" customHeight="1" x14ac:dyDescent="0.35">
      <c r="A23" s="5">
        <v>13</v>
      </c>
      <c r="B23" s="26" t="str">
        <f>'5'!B23</f>
        <v>بــقســـــــــــــــــا</v>
      </c>
      <c r="C23" s="26">
        <f>'5'!C23</f>
        <v>862</v>
      </c>
      <c r="D23" s="26"/>
      <c r="E23" s="12"/>
      <c r="F23" s="2">
        <f>E23+'5'!F23</f>
        <v>8</v>
      </c>
      <c r="G23" s="2"/>
      <c r="H23" s="2">
        <f>G23+'5'!H23</f>
        <v>160</v>
      </c>
      <c r="I23" s="2"/>
      <c r="J23" s="2">
        <f>I23+'5'!J23</f>
        <v>359</v>
      </c>
      <c r="K23" s="2"/>
      <c r="L23" s="2">
        <f>K23+'5'!L23</f>
        <v>0</v>
      </c>
      <c r="M23" s="2"/>
      <c r="N23" s="2">
        <f>M23+'5'!N23</f>
        <v>0</v>
      </c>
      <c r="O23" s="2"/>
      <c r="P23" s="2">
        <f>O23+'5'!P23</f>
        <v>0</v>
      </c>
      <c r="Q23" s="4">
        <f t="shared" si="4"/>
        <v>0</v>
      </c>
      <c r="R23" s="4">
        <f>Q23+'5'!R23</f>
        <v>527</v>
      </c>
      <c r="S23" s="27">
        <f t="shared" si="5"/>
        <v>0.61136890951276102</v>
      </c>
      <c r="T23" s="12"/>
      <c r="U23" s="12">
        <f>T23+'5'!U23</f>
        <v>36</v>
      </c>
      <c r="V23" s="12"/>
      <c r="W23" s="12">
        <f>V23+'5'!W23</f>
        <v>14</v>
      </c>
      <c r="X23" s="12"/>
      <c r="Y23" s="12">
        <f>X23+'5'!Y23</f>
        <v>0</v>
      </c>
      <c r="AB23" s="5">
        <v>13</v>
      </c>
      <c r="AC23" s="26" t="str">
        <f>'5'!AC23</f>
        <v>بــقســـــــــــــــــا</v>
      </c>
      <c r="AD23" s="28">
        <f>'5'!AI23</f>
        <v>22</v>
      </c>
      <c r="AE23" s="3"/>
      <c r="AF23" s="28">
        <f>AE23+'5'!AF23</f>
        <v>75</v>
      </c>
      <c r="AG23" s="4"/>
      <c r="AH23" s="28">
        <f>AG23+'5'!AH23</f>
        <v>53</v>
      </c>
      <c r="AI23" s="4">
        <f t="shared" si="6"/>
        <v>22</v>
      </c>
      <c r="AJ23" s="11" t="e">
        <f t="shared" si="0"/>
        <v>#DIV/0!</v>
      </c>
      <c r="AK23" s="53">
        <f t="shared" si="1"/>
        <v>9.9433962264150946</v>
      </c>
      <c r="AW23" s="26" t="str">
        <f>'5'!AW23</f>
        <v>بــقســـــــــــــــــا</v>
      </c>
      <c r="AX23" s="12">
        <f>'5'!AX23</f>
        <v>1</v>
      </c>
      <c r="AY23" s="12">
        <f>'5'!AY23</f>
        <v>311</v>
      </c>
      <c r="AZ23" s="12"/>
      <c r="BA23" s="12"/>
      <c r="BB23" s="12">
        <f>BA23+'5'!BB23</f>
        <v>297</v>
      </c>
      <c r="BC23" s="30">
        <f t="shared" si="2"/>
        <v>0.954983922829582</v>
      </c>
      <c r="BD23" s="12">
        <f>'5'!BD23</f>
        <v>1</v>
      </c>
      <c r="BE23" s="12">
        <f>'5'!BE23</f>
        <v>40</v>
      </c>
      <c r="BF23" s="12"/>
      <c r="BG23" s="12"/>
      <c r="BH23" s="12">
        <f>BG23+'5'!BH23</f>
        <v>30</v>
      </c>
      <c r="BI23" s="30">
        <f t="shared" si="3"/>
        <v>0.75</v>
      </c>
    </row>
    <row r="24" spans="1:61" ht="37.15" customHeight="1" x14ac:dyDescent="0.35">
      <c r="A24" s="5">
        <v>14</v>
      </c>
      <c r="B24" s="26" t="str">
        <f>'5'!B24</f>
        <v>كفــــــــر الأكرم</v>
      </c>
      <c r="C24" s="26">
        <f>'5'!C24</f>
        <v>918</v>
      </c>
      <c r="D24" s="26"/>
      <c r="E24" s="12"/>
      <c r="F24" s="2">
        <f>E24+'5'!F24</f>
        <v>3</v>
      </c>
      <c r="G24" s="2"/>
      <c r="H24" s="2">
        <f>G24+'5'!H24</f>
        <v>233</v>
      </c>
      <c r="I24" s="2"/>
      <c r="J24" s="2">
        <f>I24+'5'!J24</f>
        <v>392</v>
      </c>
      <c r="K24" s="2"/>
      <c r="L24" s="2">
        <f>K24+'5'!L24</f>
        <v>0</v>
      </c>
      <c r="M24" s="2"/>
      <c r="N24" s="2">
        <f>M24+'5'!N24</f>
        <v>0</v>
      </c>
      <c r="O24" s="2"/>
      <c r="P24" s="2">
        <f>O24+'5'!P24</f>
        <v>0</v>
      </c>
      <c r="Q24" s="4">
        <f t="shared" si="4"/>
        <v>0</v>
      </c>
      <c r="R24" s="4">
        <f>Q24+'5'!R24</f>
        <v>628</v>
      </c>
      <c r="S24" s="27">
        <f t="shared" si="5"/>
        <v>0.68409586056644878</v>
      </c>
      <c r="T24" s="12"/>
      <c r="U24" s="12">
        <f>T24+'5'!U24</f>
        <v>87</v>
      </c>
      <c r="V24" s="12"/>
      <c r="W24" s="12">
        <f>V24+'5'!W24</f>
        <v>9</v>
      </c>
      <c r="X24" s="12"/>
      <c r="Y24" s="12">
        <f>X24+'5'!Y24</f>
        <v>0</v>
      </c>
      <c r="AB24" s="5">
        <v>14</v>
      </c>
      <c r="AC24" s="26" t="str">
        <f>'5'!AC24</f>
        <v>كفــــــــر الأكرم</v>
      </c>
      <c r="AD24" s="28">
        <f>'5'!AI24</f>
        <v>15</v>
      </c>
      <c r="AE24" s="3"/>
      <c r="AF24" s="28">
        <f>AE24+'5'!AF24</f>
        <v>80</v>
      </c>
      <c r="AG24" s="4"/>
      <c r="AH24" s="28">
        <f>AG24+'5'!AH24</f>
        <v>65</v>
      </c>
      <c r="AI24" s="4">
        <f t="shared" si="6"/>
        <v>15</v>
      </c>
      <c r="AJ24" s="11" t="e">
        <f t="shared" si="0"/>
        <v>#DIV/0!</v>
      </c>
      <c r="AK24" s="53">
        <f t="shared" si="1"/>
        <v>9.661538461538461</v>
      </c>
      <c r="AW24" s="26" t="str">
        <f>'5'!AW24</f>
        <v>كفــــــــر الأكرم</v>
      </c>
      <c r="AX24" s="12">
        <f>'5'!AX24</f>
        <v>2</v>
      </c>
      <c r="AY24" s="12">
        <f>'5'!AY24</f>
        <v>540</v>
      </c>
      <c r="AZ24" s="12"/>
      <c r="BA24" s="12"/>
      <c r="BB24" s="12">
        <f>BA24+'5'!BB24</f>
        <v>380</v>
      </c>
      <c r="BC24" s="30">
        <f t="shared" si="2"/>
        <v>0.70370370370370372</v>
      </c>
      <c r="BD24" s="12">
        <f>'5'!BD24</f>
        <v>2</v>
      </c>
      <c r="BE24" s="12">
        <f>'5'!BE24</f>
        <v>115</v>
      </c>
      <c r="BF24" s="12"/>
      <c r="BG24" s="12"/>
      <c r="BH24" s="12">
        <f>BG24+'5'!BH24</f>
        <v>160</v>
      </c>
      <c r="BI24" s="30">
        <f t="shared" si="3"/>
        <v>1.3913043478260869</v>
      </c>
    </row>
    <row r="25" spans="1:61" ht="28.9" customHeight="1" x14ac:dyDescent="0.35">
      <c r="A25" s="5">
        <v>15</v>
      </c>
      <c r="B25" s="26" t="str">
        <f>'5'!B25</f>
        <v>كفـــــــــر إبنهس</v>
      </c>
      <c r="C25" s="26">
        <f>'5'!C25</f>
        <v>2072</v>
      </c>
      <c r="D25" s="26"/>
      <c r="E25" s="12"/>
      <c r="F25" s="2">
        <f>E25+'5'!F25</f>
        <v>6</v>
      </c>
      <c r="G25" s="2"/>
      <c r="H25" s="2">
        <f>G25+'5'!H25</f>
        <v>345</v>
      </c>
      <c r="I25" s="2"/>
      <c r="J25" s="2">
        <f>I25+'5'!J25</f>
        <v>974</v>
      </c>
      <c r="K25" s="2"/>
      <c r="L25" s="2">
        <f>K25+'5'!L25</f>
        <v>0</v>
      </c>
      <c r="M25" s="2"/>
      <c r="N25" s="2">
        <f>M25+'5'!N25</f>
        <v>0</v>
      </c>
      <c r="O25" s="2"/>
      <c r="P25" s="2">
        <f>O25+'5'!P25</f>
        <v>0</v>
      </c>
      <c r="Q25" s="4">
        <f t="shared" si="4"/>
        <v>0</v>
      </c>
      <c r="R25" s="4">
        <f>Q25+'5'!R25</f>
        <v>1325</v>
      </c>
      <c r="S25" s="27">
        <f t="shared" si="5"/>
        <v>0.63947876447876451</v>
      </c>
      <c r="T25" s="12"/>
      <c r="U25" s="12">
        <f>T25+'5'!U25</f>
        <v>173</v>
      </c>
      <c r="V25" s="12"/>
      <c r="W25" s="12">
        <f>V25+'5'!W25</f>
        <v>50</v>
      </c>
      <c r="X25" s="12"/>
      <c r="Y25" s="12">
        <f>X25+'5'!Y25</f>
        <v>0</v>
      </c>
      <c r="AB25" s="5">
        <v>15</v>
      </c>
      <c r="AC25" s="26" t="str">
        <f>'5'!AC25</f>
        <v>كفـــــــــر إبنهس</v>
      </c>
      <c r="AD25" s="28">
        <f>'5'!AI25</f>
        <v>31</v>
      </c>
      <c r="AE25" s="3"/>
      <c r="AF25" s="28">
        <f>AE25+'5'!AF25</f>
        <v>180</v>
      </c>
      <c r="AG25" s="4"/>
      <c r="AH25" s="28">
        <f>AG25+'5'!AH25</f>
        <v>149</v>
      </c>
      <c r="AI25" s="4">
        <f t="shared" si="6"/>
        <v>31</v>
      </c>
      <c r="AJ25" s="11" t="e">
        <f t="shared" si="0"/>
        <v>#DIV/0!</v>
      </c>
      <c r="AK25" s="53">
        <f t="shared" si="1"/>
        <v>8.8926174496644297</v>
      </c>
      <c r="AW25" s="26" t="str">
        <f>'5'!AW25</f>
        <v>كفـــــــــر إبنهس</v>
      </c>
      <c r="AX25" s="12">
        <f>'5'!AX25</f>
        <v>3</v>
      </c>
      <c r="AY25" s="12">
        <f>'5'!AY25</f>
        <v>1013</v>
      </c>
      <c r="AZ25" s="12"/>
      <c r="BA25" s="12"/>
      <c r="BB25" s="12">
        <f>BA25+'5'!BB25</f>
        <v>838</v>
      </c>
      <c r="BC25" s="30">
        <f t="shared" si="2"/>
        <v>0.82724580454096741</v>
      </c>
      <c r="BD25" s="12">
        <f>'5'!BD25</f>
        <v>4</v>
      </c>
      <c r="BE25" s="12">
        <f>'5'!BE25</f>
        <v>620</v>
      </c>
      <c r="BF25" s="12"/>
      <c r="BG25" s="12"/>
      <c r="BH25" s="12">
        <f>BG25+'5'!BH25</f>
        <v>507</v>
      </c>
      <c r="BI25" s="30">
        <f t="shared" si="3"/>
        <v>0.81774193548387097</v>
      </c>
    </row>
    <row r="26" spans="1:61" ht="28.9" customHeight="1" x14ac:dyDescent="0.35">
      <c r="A26" s="5">
        <v>16</v>
      </c>
      <c r="B26" s="26" t="str">
        <f>'5'!B26</f>
        <v>الرمــــــــــــــالى</v>
      </c>
      <c r="C26" s="26">
        <f>'5'!C26</f>
        <v>2699</v>
      </c>
      <c r="D26" s="26"/>
      <c r="E26" s="12"/>
      <c r="F26" s="2">
        <f>E26+'5'!F26</f>
        <v>27</v>
      </c>
      <c r="G26" s="2"/>
      <c r="H26" s="2">
        <f>G26+'5'!H26</f>
        <v>312</v>
      </c>
      <c r="I26" s="2"/>
      <c r="J26" s="2">
        <f>I26+'5'!J26</f>
        <v>993</v>
      </c>
      <c r="K26" s="2"/>
      <c r="L26" s="2">
        <f>K26+'5'!L26</f>
        <v>0</v>
      </c>
      <c r="M26" s="2"/>
      <c r="N26" s="2">
        <f>M26+'5'!N26</f>
        <v>0</v>
      </c>
      <c r="O26" s="2"/>
      <c r="P26" s="2">
        <f>O26+'5'!P26</f>
        <v>0</v>
      </c>
      <c r="Q26" s="4">
        <f t="shared" si="4"/>
        <v>0</v>
      </c>
      <c r="R26" s="4">
        <f>Q26+'5'!R26</f>
        <v>1332</v>
      </c>
      <c r="S26" s="27">
        <f t="shared" si="5"/>
        <v>0.49351611708040016</v>
      </c>
      <c r="T26" s="12"/>
      <c r="U26" s="12">
        <f>T26+'5'!U26</f>
        <v>114</v>
      </c>
      <c r="V26" s="12"/>
      <c r="W26" s="12">
        <f>V26+'5'!W26</f>
        <v>108</v>
      </c>
      <c r="X26" s="12"/>
      <c r="Y26" s="12">
        <f>X26+'5'!Y26</f>
        <v>1</v>
      </c>
      <c r="Z26" s="38"/>
      <c r="AB26" s="5">
        <v>16</v>
      </c>
      <c r="AC26" s="26" t="str">
        <f>'5'!AC26</f>
        <v>الرمــــــــــــــالى</v>
      </c>
      <c r="AD26" s="28">
        <f>'5'!AI26</f>
        <v>96</v>
      </c>
      <c r="AE26" s="3"/>
      <c r="AF26" s="28">
        <f>AE26+'5'!AF26</f>
        <v>235</v>
      </c>
      <c r="AG26" s="4"/>
      <c r="AH26" s="28">
        <f>AG26+'5'!AH26</f>
        <v>139</v>
      </c>
      <c r="AI26" s="4">
        <f t="shared" si="6"/>
        <v>96</v>
      </c>
      <c r="AJ26" s="11" t="e">
        <f t="shared" si="0"/>
        <v>#DIV/0!</v>
      </c>
      <c r="AK26" s="53">
        <f t="shared" si="1"/>
        <v>9.5827338129496411</v>
      </c>
      <c r="AV26" s="38"/>
      <c r="AW26" s="26" t="str">
        <f>'5'!AW26</f>
        <v>الرمــــــــــــــالى</v>
      </c>
      <c r="AX26" s="12">
        <f>'5'!AX26</f>
        <v>3</v>
      </c>
      <c r="AY26" s="12">
        <f>'5'!AY26</f>
        <v>1486</v>
      </c>
      <c r="AZ26" s="12"/>
      <c r="BA26" s="12"/>
      <c r="BB26" s="12">
        <f>BA26+'5'!BB26</f>
        <v>1149</v>
      </c>
      <c r="BC26" s="30">
        <f t="shared" si="2"/>
        <v>0.77321668909825036</v>
      </c>
      <c r="BD26" s="12">
        <f>'5'!BD26</f>
        <v>3</v>
      </c>
      <c r="BE26" s="12">
        <f>'5'!BE26</f>
        <v>98</v>
      </c>
      <c r="BF26" s="12"/>
      <c r="BG26" s="12"/>
      <c r="BH26" s="12">
        <f>BG26+'5'!BH26</f>
        <v>0</v>
      </c>
      <c r="BI26" s="30">
        <f t="shared" si="3"/>
        <v>0</v>
      </c>
    </row>
    <row r="27" spans="1:61" ht="28.9" customHeight="1" x14ac:dyDescent="0.35">
      <c r="A27" s="5">
        <v>17</v>
      </c>
      <c r="B27" s="26" t="str">
        <f>'5'!B27</f>
        <v>مصطــــــــــــاى</v>
      </c>
      <c r="C27" s="26">
        <f>'5'!C27</f>
        <v>2666</v>
      </c>
      <c r="D27" s="26"/>
      <c r="E27" s="12"/>
      <c r="F27" s="2">
        <f>E27+'5'!F27</f>
        <v>54</v>
      </c>
      <c r="G27" s="2"/>
      <c r="H27" s="2">
        <f>G27+'5'!H27</f>
        <v>364</v>
      </c>
      <c r="I27" s="2"/>
      <c r="J27" s="2">
        <f>I27+'5'!J27</f>
        <v>1154</v>
      </c>
      <c r="K27" s="2"/>
      <c r="L27" s="2">
        <f>K27+'5'!L27</f>
        <v>0</v>
      </c>
      <c r="M27" s="2"/>
      <c r="N27" s="2">
        <f>M27+'5'!N27</f>
        <v>0</v>
      </c>
      <c r="O27" s="2"/>
      <c r="P27" s="2">
        <f>O27+'5'!P27</f>
        <v>0</v>
      </c>
      <c r="Q27" s="4">
        <f t="shared" si="4"/>
        <v>0</v>
      </c>
      <c r="R27" s="4">
        <f>Q27+'5'!R27</f>
        <v>1572</v>
      </c>
      <c r="S27" s="27">
        <f t="shared" si="5"/>
        <v>0.58964741185296321</v>
      </c>
      <c r="T27" s="12"/>
      <c r="U27" s="12">
        <f>T27+'5'!U27</f>
        <v>45</v>
      </c>
      <c r="V27" s="12"/>
      <c r="W27" s="12">
        <f>V27+'5'!W27</f>
        <v>15</v>
      </c>
      <c r="X27" s="12"/>
      <c r="Y27" s="12">
        <f>X27+'5'!Y27</f>
        <v>0</v>
      </c>
      <c r="AB27" s="5">
        <v>17</v>
      </c>
      <c r="AC27" s="26" t="str">
        <f>'5'!AC27</f>
        <v>مصطــــــــــــاى</v>
      </c>
      <c r="AD27" s="28">
        <f>'5'!AI27</f>
        <v>74</v>
      </c>
      <c r="AE27" s="3"/>
      <c r="AF27" s="28">
        <f>AE27+'5'!AF27</f>
        <v>234</v>
      </c>
      <c r="AG27" s="4"/>
      <c r="AH27" s="28">
        <f>AG27+'5'!AH27</f>
        <v>160</v>
      </c>
      <c r="AI27" s="4">
        <f t="shared" si="6"/>
        <v>74</v>
      </c>
      <c r="AJ27" s="11" t="e">
        <f t="shared" si="0"/>
        <v>#DIV/0!</v>
      </c>
      <c r="AK27" s="53">
        <f t="shared" si="1"/>
        <v>9.8249999999999993</v>
      </c>
      <c r="AW27" s="26" t="str">
        <f>'5'!AW27</f>
        <v>مصطــــــــــــاى</v>
      </c>
      <c r="AX27" s="12">
        <f>'5'!AX27</f>
        <v>3</v>
      </c>
      <c r="AY27" s="12">
        <f>'5'!AY27</f>
        <v>1709</v>
      </c>
      <c r="AZ27" s="12"/>
      <c r="BA27" s="12"/>
      <c r="BB27" s="12">
        <f>BA27+'5'!BB27</f>
        <v>1252</v>
      </c>
      <c r="BC27" s="30">
        <f t="shared" si="2"/>
        <v>0.73259215915740195</v>
      </c>
      <c r="BD27" s="12">
        <f>'5'!BD27</f>
        <v>6</v>
      </c>
      <c r="BE27" s="12">
        <f>'5'!BE27</f>
        <v>696</v>
      </c>
      <c r="BF27" s="12"/>
      <c r="BG27" s="12"/>
      <c r="BH27" s="12">
        <f>BG27+'5'!BH27</f>
        <v>120</v>
      </c>
      <c r="BI27" s="30">
        <f t="shared" si="3"/>
        <v>0.17241379310344829</v>
      </c>
    </row>
    <row r="28" spans="1:61" ht="28.9" customHeight="1" x14ac:dyDescent="0.35">
      <c r="A28" s="5">
        <v>18</v>
      </c>
      <c r="B28" s="26" t="str">
        <f>'5'!B28</f>
        <v>كفر طـــــــه شبرا</v>
      </c>
      <c r="C28" s="26">
        <f>'5'!C28</f>
        <v>1795</v>
      </c>
      <c r="D28" s="26"/>
      <c r="E28" s="12"/>
      <c r="F28" s="2">
        <f>E28+'5'!F28</f>
        <v>8</v>
      </c>
      <c r="G28" s="2"/>
      <c r="H28" s="2">
        <f>G28+'5'!H28</f>
        <v>294</v>
      </c>
      <c r="I28" s="2"/>
      <c r="J28" s="2">
        <f>I28+'5'!J28</f>
        <v>940</v>
      </c>
      <c r="K28" s="2"/>
      <c r="L28" s="2">
        <f>K28+'5'!L28</f>
        <v>0</v>
      </c>
      <c r="M28" s="2"/>
      <c r="N28" s="2">
        <f>M28+'5'!N28</f>
        <v>0</v>
      </c>
      <c r="O28" s="2"/>
      <c r="P28" s="2">
        <f>O28+'5'!P28</f>
        <v>0</v>
      </c>
      <c r="Q28" s="4">
        <f t="shared" si="4"/>
        <v>0</v>
      </c>
      <c r="R28" s="4">
        <f>Q28+'5'!R28</f>
        <v>1242</v>
      </c>
      <c r="S28" s="27">
        <f t="shared" si="5"/>
        <v>0.69192200557103067</v>
      </c>
      <c r="T28" s="12"/>
      <c r="U28" s="12">
        <f>T28+'5'!U28</f>
        <v>136</v>
      </c>
      <c r="V28" s="12"/>
      <c r="W28" s="12">
        <f>V28+'5'!W28</f>
        <v>33</v>
      </c>
      <c r="X28" s="12"/>
      <c r="Y28" s="12">
        <f>X28+'5'!Y28</f>
        <v>0</v>
      </c>
      <c r="AB28" s="5">
        <v>18</v>
      </c>
      <c r="AC28" s="26" t="str">
        <f>'5'!AC28</f>
        <v>كفر طـــــــه شبرا</v>
      </c>
      <c r="AD28" s="28">
        <f>'5'!AI28</f>
        <v>28</v>
      </c>
      <c r="AE28" s="3"/>
      <c r="AF28" s="28">
        <f>AE28+'5'!AF28</f>
        <v>158</v>
      </c>
      <c r="AG28" s="4"/>
      <c r="AH28" s="28">
        <f>AG28+'5'!AH28</f>
        <v>130</v>
      </c>
      <c r="AI28" s="4">
        <f t="shared" si="6"/>
        <v>28</v>
      </c>
      <c r="AJ28" s="11" t="e">
        <f t="shared" si="0"/>
        <v>#DIV/0!</v>
      </c>
      <c r="AK28" s="53">
        <f t="shared" si="1"/>
        <v>9.5538461538461537</v>
      </c>
      <c r="AW28" s="26" t="str">
        <f>'5'!AW28</f>
        <v>كفر طـــــــه شبرا</v>
      </c>
      <c r="AX28" s="12">
        <f>'5'!AX28</f>
        <v>4</v>
      </c>
      <c r="AY28" s="12">
        <f>'5'!AY28</f>
        <v>948</v>
      </c>
      <c r="AZ28" s="12"/>
      <c r="BA28" s="12"/>
      <c r="BB28" s="12">
        <f>BA28+'5'!BB28</f>
        <v>827</v>
      </c>
      <c r="BC28" s="30">
        <f t="shared" si="2"/>
        <v>0.87236286919831219</v>
      </c>
      <c r="BD28" s="12">
        <f>'5'!BD28</f>
        <v>7</v>
      </c>
      <c r="BE28" s="12">
        <f>'5'!BE28</f>
        <v>300</v>
      </c>
      <c r="BF28" s="12"/>
      <c r="BG28" s="12"/>
      <c r="BH28" s="12">
        <f>BG28+'5'!BH28</f>
        <v>403</v>
      </c>
      <c r="BI28" s="30">
        <f t="shared" si="3"/>
        <v>1.3433333333333333</v>
      </c>
    </row>
    <row r="29" spans="1:61" ht="28.9" customHeight="1" x14ac:dyDescent="0.35">
      <c r="A29" s="5">
        <v>19</v>
      </c>
      <c r="B29" s="26" t="str">
        <f>'5'!B29</f>
        <v>كفر أبـــو الحسن</v>
      </c>
      <c r="C29" s="26">
        <f>'5'!C29</f>
        <v>1397</v>
      </c>
      <c r="D29" s="26"/>
      <c r="E29" s="12"/>
      <c r="F29" s="2">
        <f>E29+'5'!F29</f>
        <v>4</v>
      </c>
      <c r="G29" s="2"/>
      <c r="H29" s="2">
        <f>G29+'5'!H29</f>
        <v>238</v>
      </c>
      <c r="I29" s="2"/>
      <c r="J29" s="2">
        <f>I29+'5'!J29</f>
        <v>841</v>
      </c>
      <c r="K29" s="2"/>
      <c r="L29" s="2">
        <f>K29+'5'!L29</f>
        <v>0</v>
      </c>
      <c r="M29" s="2"/>
      <c r="N29" s="2">
        <f>M29+'5'!N29</f>
        <v>0</v>
      </c>
      <c r="O29" s="2"/>
      <c r="P29" s="2">
        <f>O29+'5'!P29</f>
        <v>0</v>
      </c>
      <c r="Q29" s="4">
        <f t="shared" si="4"/>
        <v>0</v>
      </c>
      <c r="R29" s="4">
        <f>Q29+'5'!R29</f>
        <v>1083</v>
      </c>
      <c r="S29" s="27">
        <f t="shared" si="5"/>
        <v>0.77523264137437364</v>
      </c>
      <c r="T29" s="12"/>
      <c r="U29" s="12">
        <f>T29+'5'!U29</f>
        <v>205</v>
      </c>
      <c r="V29" s="12"/>
      <c r="W29" s="12">
        <f>V29+'5'!W29</f>
        <v>18</v>
      </c>
      <c r="X29" s="12"/>
      <c r="Y29" s="12">
        <f>X29+'5'!Y29</f>
        <v>0</v>
      </c>
      <c r="AB29" s="5">
        <v>19</v>
      </c>
      <c r="AC29" s="26" t="str">
        <f>'5'!AC29</f>
        <v>كفر أبـــو الحسن</v>
      </c>
      <c r="AD29" s="28">
        <f>'5'!AI29</f>
        <v>22</v>
      </c>
      <c r="AE29" s="3"/>
      <c r="AF29" s="28">
        <f>AE29+'5'!AF29</f>
        <v>133</v>
      </c>
      <c r="AG29" s="4"/>
      <c r="AH29" s="28">
        <f>AG29+'5'!AH29</f>
        <v>111</v>
      </c>
      <c r="AI29" s="4">
        <f t="shared" si="6"/>
        <v>22</v>
      </c>
      <c r="AJ29" s="11" t="e">
        <f t="shared" si="0"/>
        <v>#DIV/0!</v>
      </c>
      <c r="AK29" s="53">
        <f t="shared" si="1"/>
        <v>9.7567567567567561</v>
      </c>
      <c r="AW29" s="26" t="str">
        <f>'5'!AW29</f>
        <v>كفر أبـــو الحسن</v>
      </c>
      <c r="AX29" s="12">
        <f>'5'!AX29</f>
        <v>3</v>
      </c>
      <c r="AY29" s="12">
        <f>'5'!AY29</f>
        <v>912</v>
      </c>
      <c r="AZ29" s="12"/>
      <c r="BA29" s="12"/>
      <c r="BB29" s="12">
        <f>BA29+'5'!BB29</f>
        <v>760</v>
      </c>
      <c r="BC29" s="30">
        <f t="shared" si="2"/>
        <v>0.83333333333333337</v>
      </c>
      <c r="BD29" s="12">
        <f>'5'!BD29</f>
        <v>9</v>
      </c>
      <c r="BE29" s="12">
        <f>'5'!BE29</f>
        <v>258</v>
      </c>
      <c r="BF29" s="12"/>
      <c r="BG29" s="12"/>
      <c r="BH29" s="12">
        <f>BG29+'5'!BH29</f>
        <v>351</v>
      </c>
      <c r="BI29" s="30">
        <f t="shared" si="3"/>
        <v>1.3604651162790697</v>
      </c>
    </row>
    <row r="30" spans="1:61" ht="28.9" customHeight="1" x14ac:dyDescent="0.35">
      <c r="A30" s="5">
        <v>20</v>
      </c>
      <c r="B30" s="26" t="str">
        <f>'5'!B30</f>
        <v>ميت أبـــــوشيخه</v>
      </c>
      <c r="C30" s="26">
        <f>'5'!C30</f>
        <v>1134</v>
      </c>
      <c r="D30" s="26"/>
      <c r="E30" s="12"/>
      <c r="F30" s="2">
        <f>E30+'5'!F30</f>
        <v>10</v>
      </c>
      <c r="G30" s="2"/>
      <c r="H30" s="2">
        <f>G30+'5'!H30</f>
        <v>144</v>
      </c>
      <c r="I30" s="2"/>
      <c r="J30" s="2">
        <f>I30+'5'!J30</f>
        <v>435</v>
      </c>
      <c r="K30" s="2"/>
      <c r="L30" s="2">
        <f>K30+'5'!L30</f>
        <v>0</v>
      </c>
      <c r="M30" s="2"/>
      <c r="N30" s="2">
        <f>M30+'5'!N30</f>
        <v>0</v>
      </c>
      <c r="O30" s="2"/>
      <c r="P30" s="2">
        <f>O30+'5'!P30</f>
        <v>0</v>
      </c>
      <c r="Q30" s="4">
        <f t="shared" si="4"/>
        <v>0</v>
      </c>
      <c r="R30" s="4">
        <f>Q30+'5'!R30</f>
        <v>589</v>
      </c>
      <c r="S30" s="27">
        <f t="shared" si="5"/>
        <v>0.51940035273368612</v>
      </c>
      <c r="T30" s="12"/>
      <c r="U30" s="12">
        <f>T30+'5'!U30</f>
        <v>68</v>
      </c>
      <c r="V30" s="12"/>
      <c r="W30" s="12">
        <f>V30+'5'!W30</f>
        <v>10</v>
      </c>
      <c r="X30" s="12"/>
      <c r="Y30" s="12">
        <f>X30+'5'!Y30</f>
        <v>0</v>
      </c>
      <c r="AB30" s="5">
        <v>20</v>
      </c>
      <c r="AC30" s="26" t="str">
        <f>'5'!AC30</f>
        <v>ميت أبـــــوشيخه</v>
      </c>
      <c r="AD30" s="28">
        <f>'5'!AI30</f>
        <v>40</v>
      </c>
      <c r="AE30" s="3"/>
      <c r="AF30" s="28">
        <f>AE30+'5'!AF30</f>
        <v>100</v>
      </c>
      <c r="AG30" s="4"/>
      <c r="AH30" s="28">
        <f>AG30+'5'!AH30</f>
        <v>60</v>
      </c>
      <c r="AI30" s="4">
        <f t="shared" si="6"/>
        <v>40</v>
      </c>
      <c r="AJ30" s="11" t="e">
        <f t="shared" si="0"/>
        <v>#DIV/0!</v>
      </c>
      <c r="AK30" s="53">
        <f t="shared" si="1"/>
        <v>9.8166666666666664</v>
      </c>
      <c r="AW30" s="26" t="str">
        <f>'5'!AW30</f>
        <v>ميت أبـــــوشيخه</v>
      </c>
      <c r="AX30" s="12">
        <f>'5'!AX30</f>
        <v>2</v>
      </c>
      <c r="AY30" s="12">
        <f>'5'!AY30</f>
        <v>560</v>
      </c>
      <c r="AZ30" s="12"/>
      <c r="BA30" s="12"/>
      <c r="BB30" s="12">
        <f>BA30+'5'!BB30</f>
        <v>459</v>
      </c>
      <c r="BC30" s="30">
        <f t="shared" si="2"/>
        <v>0.81964285714285712</v>
      </c>
      <c r="BD30" s="12">
        <f>'5'!BD30</f>
        <v>2</v>
      </c>
      <c r="BE30" s="12">
        <f>'5'!BE30</f>
        <v>107</v>
      </c>
      <c r="BF30" s="12"/>
      <c r="BG30" s="12"/>
      <c r="BH30" s="12">
        <f>BG30+'5'!BH30</f>
        <v>85</v>
      </c>
      <c r="BI30" s="30">
        <f t="shared" si="3"/>
        <v>0.79439252336448596</v>
      </c>
    </row>
    <row r="31" spans="1:61" ht="28.9" customHeight="1" x14ac:dyDescent="0.35">
      <c r="A31" s="5">
        <v>21</v>
      </c>
      <c r="B31" s="26" t="str">
        <f>'5'!B31</f>
        <v>طــــــــــــه شبرا</v>
      </c>
      <c r="C31" s="26">
        <f>'5'!C31</f>
        <v>5149</v>
      </c>
      <c r="D31" s="26"/>
      <c r="E31" s="12"/>
      <c r="F31" s="2">
        <f>E31+'5'!F31</f>
        <v>22</v>
      </c>
      <c r="G31" s="2"/>
      <c r="H31" s="2">
        <f>G31+'5'!H31</f>
        <v>967</v>
      </c>
      <c r="I31" s="2"/>
      <c r="J31" s="2">
        <f>I31+'5'!J31</f>
        <v>1288</v>
      </c>
      <c r="K31" s="2"/>
      <c r="L31" s="2">
        <f>K31+'5'!L31</f>
        <v>0</v>
      </c>
      <c r="M31" s="2"/>
      <c r="N31" s="2">
        <f>M31+'5'!N31</f>
        <v>0</v>
      </c>
      <c r="O31" s="2"/>
      <c r="P31" s="2">
        <f>O31+'5'!P31</f>
        <v>0</v>
      </c>
      <c r="Q31" s="4">
        <f t="shared" si="4"/>
        <v>0</v>
      </c>
      <c r="R31" s="4">
        <f>Q31+'5'!R31</f>
        <v>2277</v>
      </c>
      <c r="S31" s="27">
        <f t="shared" si="5"/>
        <v>0.442221790638959</v>
      </c>
      <c r="T31" s="12"/>
      <c r="U31" s="12">
        <f>T31+'5'!U31</f>
        <v>277</v>
      </c>
      <c r="V31" s="12"/>
      <c r="W31" s="12">
        <f>V31+'5'!W31</f>
        <v>3</v>
      </c>
      <c r="X31" s="12"/>
      <c r="Y31" s="12">
        <f>X31+'5'!Y31</f>
        <v>0</v>
      </c>
      <c r="AB31" s="5">
        <v>21</v>
      </c>
      <c r="AC31" s="26" t="str">
        <f>'5'!AC31</f>
        <v>طــــــــــــه شبرا</v>
      </c>
      <c r="AD31" s="28">
        <f>'5'!AI31</f>
        <v>216</v>
      </c>
      <c r="AE31" s="3"/>
      <c r="AF31" s="28">
        <f>AE31+'5'!AF31</f>
        <v>452</v>
      </c>
      <c r="AG31" s="4"/>
      <c r="AH31" s="28">
        <f>AG31+'5'!AH31</f>
        <v>236</v>
      </c>
      <c r="AI31" s="4">
        <f t="shared" si="6"/>
        <v>216</v>
      </c>
      <c r="AJ31" s="11" t="e">
        <f t="shared" si="0"/>
        <v>#DIV/0!</v>
      </c>
      <c r="AK31" s="53">
        <f t="shared" si="1"/>
        <v>9.648305084745763</v>
      </c>
      <c r="AW31" s="26" t="str">
        <f>'5'!AW31</f>
        <v>طــــــــــــه شبرا</v>
      </c>
      <c r="AX31" s="12">
        <f>'5'!AX31</f>
        <v>6</v>
      </c>
      <c r="AY31" s="12">
        <f>'5'!AY31</f>
        <v>2219</v>
      </c>
      <c r="AZ31" s="12"/>
      <c r="BA31" s="12"/>
      <c r="BB31" s="12">
        <f>BA31+'5'!BB31</f>
        <v>1367</v>
      </c>
      <c r="BC31" s="30">
        <f t="shared" si="2"/>
        <v>0.61604326273095988</v>
      </c>
      <c r="BD31" s="12">
        <f>'5'!BD31</f>
        <v>8</v>
      </c>
      <c r="BE31" s="12">
        <f>'5'!BE31</f>
        <v>748</v>
      </c>
      <c r="BF31" s="12"/>
      <c r="BG31" s="12"/>
      <c r="BH31" s="12">
        <f>BG31+'5'!BH31</f>
        <v>690</v>
      </c>
      <c r="BI31" s="30">
        <f t="shared" si="3"/>
        <v>0.92245989304812837</v>
      </c>
    </row>
    <row r="32" spans="1:61" ht="28.9" customHeight="1" x14ac:dyDescent="0.35">
      <c r="A32" s="5">
        <v>22</v>
      </c>
      <c r="B32" s="26" t="str">
        <f>'5'!B32</f>
        <v>أشـــــــــــــــــليم</v>
      </c>
      <c r="C32" s="26">
        <f>'5'!C32</f>
        <v>2638</v>
      </c>
      <c r="D32" s="26"/>
      <c r="E32" s="12"/>
      <c r="F32" s="2">
        <f>E32+'5'!F32</f>
        <v>19</v>
      </c>
      <c r="G32" s="2"/>
      <c r="H32" s="2">
        <f>G32+'5'!H32</f>
        <v>606</v>
      </c>
      <c r="I32" s="2"/>
      <c r="J32" s="2">
        <f>I32+'5'!J32</f>
        <v>1522</v>
      </c>
      <c r="K32" s="2"/>
      <c r="L32" s="2">
        <f>K32+'5'!L32</f>
        <v>0</v>
      </c>
      <c r="M32" s="2"/>
      <c r="N32" s="2">
        <f>M32+'5'!N32</f>
        <v>0</v>
      </c>
      <c r="O32" s="2"/>
      <c r="P32" s="2">
        <f>O32+'5'!P32</f>
        <v>0</v>
      </c>
      <c r="Q32" s="4">
        <f t="shared" si="4"/>
        <v>0</v>
      </c>
      <c r="R32" s="4">
        <f>Q32+'5'!R32</f>
        <v>2147</v>
      </c>
      <c r="S32" s="27">
        <f t="shared" si="5"/>
        <v>0.81387414708112205</v>
      </c>
      <c r="T32" s="12"/>
      <c r="U32" s="12">
        <f>T32+'5'!U32</f>
        <v>149</v>
      </c>
      <c r="V32" s="12"/>
      <c r="W32" s="12">
        <f>V32+'5'!W32</f>
        <v>119</v>
      </c>
      <c r="X32" s="12"/>
      <c r="Y32" s="12">
        <f>X32+'5'!Y32</f>
        <v>0</v>
      </c>
      <c r="AB32" s="5">
        <v>22</v>
      </c>
      <c r="AC32" s="26" t="str">
        <f>'5'!AC32</f>
        <v>أشـــــــــــــــــليم</v>
      </c>
      <c r="AD32" s="28">
        <f>'5'!AI32</f>
        <v>31</v>
      </c>
      <c r="AE32" s="3"/>
      <c r="AF32" s="28">
        <f>AE32+'5'!AF32</f>
        <v>252</v>
      </c>
      <c r="AG32" s="4"/>
      <c r="AH32" s="28">
        <f>AG32+'5'!AH32</f>
        <v>221</v>
      </c>
      <c r="AI32" s="4">
        <f t="shared" si="6"/>
        <v>31</v>
      </c>
      <c r="AJ32" s="11" t="e">
        <f t="shared" si="0"/>
        <v>#DIV/0!</v>
      </c>
      <c r="AK32" s="53">
        <f t="shared" si="1"/>
        <v>9.7149321266968318</v>
      </c>
      <c r="AW32" s="26" t="str">
        <f>'5'!AW32</f>
        <v>أشـــــــــــــــــليم</v>
      </c>
      <c r="AX32" s="12">
        <f>'5'!AX32</f>
        <v>8</v>
      </c>
      <c r="AY32" s="12">
        <f>'5'!AY32</f>
        <v>1819</v>
      </c>
      <c r="AZ32" s="12"/>
      <c r="BA32" s="12"/>
      <c r="BB32" s="12">
        <f>BA32+'5'!BB32</f>
        <v>1506</v>
      </c>
      <c r="BC32" s="30">
        <f t="shared" si="2"/>
        <v>0.82792743265530511</v>
      </c>
      <c r="BD32" s="12">
        <f>'5'!BD32</f>
        <v>7</v>
      </c>
      <c r="BE32" s="12">
        <f>'5'!BE32</f>
        <v>176</v>
      </c>
      <c r="BF32" s="12"/>
      <c r="BG32" s="12"/>
      <c r="BH32" s="12">
        <f>BG32+'5'!BH32</f>
        <v>531</v>
      </c>
      <c r="BI32" s="30">
        <f t="shared" si="3"/>
        <v>3.0170454545454546</v>
      </c>
    </row>
    <row r="33" spans="1:61" ht="28.9" customHeight="1" x14ac:dyDescent="0.35">
      <c r="A33" s="5">
        <v>23</v>
      </c>
      <c r="B33" s="26" t="str">
        <f>'5'!B33</f>
        <v>شبرا قبالــــــــــه</v>
      </c>
      <c r="C33" s="26">
        <f>'5'!C33</f>
        <v>2050</v>
      </c>
      <c r="D33" s="26"/>
      <c r="E33" s="12"/>
      <c r="F33" s="2">
        <f>E33+'5'!F33</f>
        <v>23</v>
      </c>
      <c r="G33" s="2"/>
      <c r="H33" s="2">
        <f>G33+'5'!H33</f>
        <v>644</v>
      </c>
      <c r="I33" s="2"/>
      <c r="J33" s="2">
        <f>I33+'5'!J33</f>
        <v>773</v>
      </c>
      <c r="K33" s="2"/>
      <c r="L33" s="2">
        <f>K33+'5'!L33</f>
        <v>0</v>
      </c>
      <c r="M33" s="2"/>
      <c r="N33" s="2">
        <f>M33+'5'!N33</f>
        <v>0</v>
      </c>
      <c r="O33" s="2"/>
      <c r="P33" s="2">
        <f>O33+'5'!P33</f>
        <v>0</v>
      </c>
      <c r="Q33" s="4">
        <f t="shared" si="4"/>
        <v>0</v>
      </c>
      <c r="R33" s="4">
        <f>Q33+'5'!R33</f>
        <v>1440</v>
      </c>
      <c r="S33" s="27">
        <f t="shared" si="5"/>
        <v>0.70243902439024386</v>
      </c>
      <c r="T33" s="12"/>
      <c r="U33" s="12">
        <f>T33+'5'!U33</f>
        <v>96</v>
      </c>
      <c r="V33" s="12"/>
      <c r="W33" s="12">
        <f>V33+'5'!W33</f>
        <v>64</v>
      </c>
      <c r="X33" s="12"/>
      <c r="Y33" s="12">
        <f>X33+'5'!Y33</f>
        <v>0</v>
      </c>
      <c r="AB33" s="5">
        <v>23</v>
      </c>
      <c r="AC33" s="26" t="str">
        <f>'5'!AC33</f>
        <v>شبرا قبالــــــــــه</v>
      </c>
      <c r="AD33" s="28">
        <f>'5'!AI33</f>
        <v>36</v>
      </c>
      <c r="AE33" s="3"/>
      <c r="AF33" s="28">
        <f>AE33+'5'!AF33</f>
        <v>180</v>
      </c>
      <c r="AG33" s="4"/>
      <c r="AH33" s="28">
        <f>AG33+'5'!AH33</f>
        <v>144</v>
      </c>
      <c r="AI33" s="4">
        <f t="shared" si="6"/>
        <v>36</v>
      </c>
      <c r="AJ33" s="11" t="e">
        <f t="shared" si="0"/>
        <v>#DIV/0!</v>
      </c>
      <c r="AK33" s="53">
        <f t="shared" si="1"/>
        <v>10</v>
      </c>
      <c r="AW33" s="26" t="str">
        <f>'5'!AW33</f>
        <v>شبرا قبالــــــــــه</v>
      </c>
      <c r="AX33" s="12">
        <f>'5'!AX33</f>
        <v>1</v>
      </c>
      <c r="AY33" s="12">
        <f>'5'!AY33</f>
        <v>918</v>
      </c>
      <c r="AZ33" s="12"/>
      <c r="BA33" s="12"/>
      <c r="BB33" s="12">
        <f>BA33+'5'!BB33</f>
        <v>780</v>
      </c>
      <c r="BC33" s="30">
        <f t="shared" si="2"/>
        <v>0.84967320261437906</v>
      </c>
      <c r="BD33" s="12">
        <f>'5'!BD33</f>
        <v>5</v>
      </c>
      <c r="BE33" s="12">
        <f>'5'!BE33</f>
        <v>375</v>
      </c>
      <c r="BF33" s="12"/>
      <c r="BG33" s="12"/>
      <c r="BH33" s="12">
        <f>BG33+'5'!BH33</f>
        <v>430</v>
      </c>
      <c r="BI33" s="30">
        <f t="shared" si="3"/>
        <v>1.1466666666666667</v>
      </c>
    </row>
    <row r="34" spans="1:61" ht="28.9" customHeight="1" x14ac:dyDescent="0.35">
      <c r="A34" s="5">
        <v>24</v>
      </c>
      <c r="B34" s="26" t="str">
        <f>'5'!B34</f>
        <v>عرب الرمـــــــل</v>
      </c>
      <c r="C34" s="26">
        <f>'5'!C34</f>
        <v>5755</v>
      </c>
      <c r="D34" s="26"/>
      <c r="E34" s="12"/>
      <c r="F34" s="2">
        <f>E34+'5'!F34</f>
        <v>22</v>
      </c>
      <c r="G34" s="2"/>
      <c r="H34" s="2">
        <f>G34+'5'!H34</f>
        <v>1011</v>
      </c>
      <c r="I34" s="2"/>
      <c r="J34" s="2">
        <f>I34+'5'!J34</f>
        <v>1364</v>
      </c>
      <c r="K34" s="2"/>
      <c r="L34" s="2">
        <f>K34+'5'!L34</f>
        <v>0</v>
      </c>
      <c r="M34" s="2"/>
      <c r="N34" s="2">
        <f>M34+'5'!N34</f>
        <v>0</v>
      </c>
      <c r="O34" s="2"/>
      <c r="P34" s="2">
        <f>O34+'5'!P34</f>
        <v>0</v>
      </c>
      <c r="Q34" s="4">
        <f t="shared" si="4"/>
        <v>0</v>
      </c>
      <c r="R34" s="4">
        <f>Q34+'5'!R34</f>
        <v>2397</v>
      </c>
      <c r="S34" s="27">
        <f t="shared" si="5"/>
        <v>0.41650738488271066</v>
      </c>
      <c r="T34" s="12"/>
      <c r="U34" s="12">
        <f>T34+'5'!U34</f>
        <v>562</v>
      </c>
      <c r="V34" s="12"/>
      <c r="W34" s="12">
        <f>V34+'5'!W34</f>
        <v>41</v>
      </c>
      <c r="X34" s="12"/>
      <c r="Y34" s="12">
        <f>X34+'5'!Y34</f>
        <v>0</v>
      </c>
      <c r="AB34" s="5">
        <v>24</v>
      </c>
      <c r="AC34" s="26" t="str">
        <f>'5'!AC34</f>
        <v>عرب الرمـــــــل</v>
      </c>
      <c r="AD34" s="28">
        <f>'5'!AI34</f>
        <v>263</v>
      </c>
      <c r="AE34" s="3"/>
      <c r="AF34" s="28">
        <f>AE34+'5'!AF34</f>
        <v>505</v>
      </c>
      <c r="AG34" s="4"/>
      <c r="AH34" s="28">
        <f>AG34+'5'!AH34</f>
        <v>242</v>
      </c>
      <c r="AI34" s="4">
        <f t="shared" si="6"/>
        <v>263</v>
      </c>
      <c r="AJ34" s="11" t="e">
        <f t="shared" si="0"/>
        <v>#DIV/0!</v>
      </c>
      <c r="AK34" s="53">
        <f t="shared" si="1"/>
        <v>9.9049586776859506</v>
      </c>
      <c r="AW34" s="26" t="str">
        <f>'5'!AW34</f>
        <v>عرب الرمـــــــل</v>
      </c>
      <c r="AX34" s="12">
        <f>'5'!AX34</f>
        <v>6</v>
      </c>
      <c r="AY34" s="12">
        <f>'5'!AY34</f>
        <v>2210</v>
      </c>
      <c r="AZ34" s="12"/>
      <c r="BA34" s="12"/>
      <c r="BB34" s="12">
        <f>BA34+'5'!BB34</f>
        <v>1456</v>
      </c>
      <c r="BC34" s="30">
        <f t="shared" si="2"/>
        <v>0.6588235294117647</v>
      </c>
      <c r="BD34" s="12">
        <f>'5'!BD34</f>
        <v>9</v>
      </c>
      <c r="BE34" s="12">
        <f>'5'!BE34</f>
        <v>932</v>
      </c>
      <c r="BF34" s="12"/>
      <c r="BG34" s="12"/>
      <c r="BH34" s="12">
        <f>BG34+'5'!BH34</f>
        <v>941</v>
      </c>
      <c r="BI34" s="30">
        <f t="shared" si="3"/>
        <v>1.0096566523605151</v>
      </c>
    </row>
    <row r="35" spans="1:61" ht="28.9" customHeight="1" x14ac:dyDescent="0.35">
      <c r="A35" s="5">
        <v>25</v>
      </c>
      <c r="B35" s="26" t="str">
        <f>'5'!B35</f>
        <v>كفر ميت سراج</v>
      </c>
      <c r="C35" s="26">
        <f>'5'!C35</f>
        <v>1840</v>
      </c>
      <c r="D35" s="26"/>
      <c r="E35" s="12"/>
      <c r="F35" s="2">
        <f>E35+'5'!F35</f>
        <v>8</v>
      </c>
      <c r="G35" s="2"/>
      <c r="H35" s="2">
        <f>G35+'5'!H35</f>
        <v>386</v>
      </c>
      <c r="I35" s="2"/>
      <c r="J35" s="2">
        <f>I35+'5'!J35</f>
        <v>773</v>
      </c>
      <c r="K35" s="2"/>
      <c r="L35" s="2">
        <f>K35+'5'!L35</f>
        <v>0</v>
      </c>
      <c r="M35" s="2"/>
      <c r="N35" s="2">
        <f>M35+'5'!N35</f>
        <v>0</v>
      </c>
      <c r="O35" s="2"/>
      <c r="P35" s="2">
        <f>O35+'5'!P35</f>
        <v>0</v>
      </c>
      <c r="Q35" s="4">
        <f t="shared" si="4"/>
        <v>0</v>
      </c>
      <c r="R35" s="4">
        <f>Q35+'5'!R35</f>
        <v>1167</v>
      </c>
      <c r="S35" s="27">
        <f t="shared" si="5"/>
        <v>0.63423913043478264</v>
      </c>
      <c r="T35" s="12"/>
      <c r="U35" s="12">
        <f>T35+'5'!U35</f>
        <v>174</v>
      </c>
      <c r="V35" s="12"/>
      <c r="W35" s="12">
        <f>V35+'5'!W35</f>
        <v>11</v>
      </c>
      <c r="X35" s="12"/>
      <c r="Y35" s="12">
        <f>X35+'5'!Y35</f>
        <v>0</v>
      </c>
      <c r="AB35" s="5">
        <v>25</v>
      </c>
      <c r="AC35" s="26" t="str">
        <f>'5'!AC35</f>
        <v>كفر ميت سراج</v>
      </c>
      <c r="AD35" s="28">
        <f>'5'!AI35</f>
        <v>41</v>
      </c>
      <c r="AE35" s="3"/>
      <c r="AF35" s="28">
        <f>AE35+'5'!AF35</f>
        <v>162</v>
      </c>
      <c r="AG35" s="4"/>
      <c r="AH35" s="28">
        <f>AG35+'5'!AH35</f>
        <v>121</v>
      </c>
      <c r="AI35" s="4">
        <f t="shared" si="6"/>
        <v>41</v>
      </c>
      <c r="AJ35" s="11" t="e">
        <f t="shared" si="0"/>
        <v>#DIV/0!</v>
      </c>
      <c r="AK35" s="53">
        <f t="shared" si="1"/>
        <v>9.6446280991735538</v>
      </c>
      <c r="AW35" s="26" t="str">
        <f>'5'!AW35</f>
        <v>كفر ميت سراج</v>
      </c>
      <c r="AX35" s="12">
        <f>'5'!AX35</f>
        <v>3</v>
      </c>
      <c r="AY35" s="12">
        <f>'5'!AY35</f>
        <v>1011</v>
      </c>
      <c r="AZ35" s="12"/>
      <c r="BA35" s="12"/>
      <c r="BB35" s="12">
        <f>BA35+'5'!BB35</f>
        <v>773</v>
      </c>
      <c r="BC35" s="30">
        <f t="shared" si="2"/>
        <v>0.76458951533135511</v>
      </c>
      <c r="BD35" s="12">
        <f>'5'!BD35</f>
        <v>4</v>
      </c>
      <c r="BE35" s="12">
        <f>'5'!BE35</f>
        <v>413</v>
      </c>
      <c r="BF35" s="12"/>
      <c r="BG35" s="12"/>
      <c r="BH35" s="12">
        <f>BG35+'5'!BH35</f>
        <v>232</v>
      </c>
      <c r="BI35" s="30">
        <f t="shared" si="3"/>
        <v>0.56174334140435833</v>
      </c>
    </row>
    <row r="36" spans="1:61" ht="28.9" customHeight="1" x14ac:dyDescent="0.35">
      <c r="A36" s="5">
        <v>26</v>
      </c>
      <c r="B36" s="26" t="str">
        <f>'5'!B36</f>
        <v>كفر أبشيش</v>
      </c>
      <c r="C36" s="26">
        <f>'5'!C36</f>
        <v>1345</v>
      </c>
      <c r="D36" s="26"/>
      <c r="E36" s="12"/>
      <c r="F36" s="2">
        <f>E36+'5'!F36</f>
        <v>14</v>
      </c>
      <c r="G36" s="2"/>
      <c r="H36" s="2">
        <f>G36+'5'!H36</f>
        <v>207</v>
      </c>
      <c r="I36" s="2"/>
      <c r="J36" s="2">
        <f>I36+'5'!J36</f>
        <v>725</v>
      </c>
      <c r="K36" s="2"/>
      <c r="L36" s="2">
        <f>K36+'5'!L36</f>
        <v>0</v>
      </c>
      <c r="M36" s="2"/>
      <c r="N36" s="2">
        <f>M36+'5'!N36</f>
        <v>0</v>
      </c>
      <c r="O36" s="2"/>
      <c r="P36" s="2">
        <f>O36+'5'!P36</f>
        <v>0</v>
      </c>
      <c r="Q36" s="4">
        <f t="shared" si="4"/>
        <v>0</v>
      </c>
      <c r="R36" s="4">
        <f>Q36+'5'!R36</f>
        <v>946</v>
      </c>
      <c r="S36" s="27">
        <f t="shared" si="5"/>
        <v>0.70334572490706315</v>
      </c>
      <c r="T36" s="12"/>
      <c r="U36" s="12">
        <f>T36+'5'!U36</f>
        <v>113</v>
      </c>
      <c r="V36" s="12"/>
      <c r="W36" s="12">
        <f>V36+'5'!W36</f>
        <v>4</v>
      </c>
      <c r="X36" s="12"/>
      <c r="Y36" s="12">
        <f>X36+'5'!Y36</f>
        <v>0</v>
      </c>
      <c r="AB36" s="5">
        <v>26</v>
      </c>
      <c r="AC36" s="26" t="str">
        <f>'5'!AC36</f>
        <v>كفر أبشيش</v>
      </c>
      <c r="AD36" s="28">
        <f>'5'!AI36</f>
        <v>24</v>
      </c>
      <c r="AE36" s="3"/>
      <c r="AF36" s="28">
        <f>AE36+'5'!AF36</f>
        <v>119</v>
      </c>
      <c r="AG36" s="4"/>
      <c r="AH36" s="28">
        <f>AG36+'5'!AH36</f>
        <v>95</v>
      </c>
      <c r="AI36" s="4">
        <f t="shared" si="6"/>
        <v>24</v>
      </c>
      <c r="AJ36" s="11" t="e">
        <f t="shared" si="0"/>
        <v>#DIV/0!</v>
      </c>
      <c r="AK36" s="53">
        <f t="shared" si="1"/>
        <v>9.9578947368421051</v>
      </c>
      <c r="AW36" s="26" t="str">
        <f>'5'!AW36</f>
        <v>كفر أبشيش</v>
      </c>
      <c r="AX36" s="12">
        <f>'5'!AX36</f>
        <v>1</v>
      </c>
      <c r="AY36" s="12">
        <f>'5'!AY36</f>
        <v>860</v>
      </c>
      <c r="AZ36" s="12"/>
      <c r="BA36" s="12"/>
      <c r="BB36" s="12">
        <f>BA36+'5'!BB36</f>
        <v>730</v>
      </c>
      <c r="BC36" s="30">
        <f t="shared" si="2"/>
        <v>0.84883720930232553</v>
      </c>
      <c r="BD36" s="12">
        <f>'5'!BD36</f>
        <v>4</v>
      </c>
      <c r="BE36" s="12">
        <f>'5'!BE36</f>
        <v>194</v>
      </c>
      <c r="BF36" s="12"/>
      <c r="BG36" s="12"/>
      <c r="BH36" s="12">
        <f>BG36+'5'!BH36</f>
        <v>0</v>
      </c>
      <c r="BI36" s="30">
        <f t="shared" si="3"/>
        <v>0</v>
      </c>
    </row>
    <row r="37" spans="1:61" ht="28.9" customHeight="1" x14ac:dyDescent="0.35">
      <c r="A37" s="5">
        <v>27</v>
      </c>
      <c r="B37" s="26" t="str">
        <f>'5'!B37</f>
        <v>كفر ميت العبسى</v>
      </c>
      <c r="C37" s="26">
        <f>'5'!C37</f>
        <v>1180</v>
      </c>
      <c r="D37" s="26"/>
      <c r="E37" s="12"/>
      <c r="F37" s="2">
        <f>E37+'5'!F37</f>
        <v>12</v>
      </c>
      <c r="G37" s="2"/>
      <c r="H37" s="2">
        <f>G37+'5'!H37</f>
        <v>248</v>
      </c>
      <c r="I37" s="2"/>
      <c r="J37" s="2">
        <f>I37+'5'!J37</f>
        <v>443</v>
      </c>
      <c r="K37" s="2"/>
      <c r="L37" s="2">
        <f>K37+'5'!L37</f>
        <v>0</v>
      </c>
      <c r="M37" s="2"/>
      <c r="N37" s="2">
        <f>M37+'5'!N37</f>
        <v>0</v>
      </c>
      <c r="O37" s="2"/>
      <c r="P37" s="2">
        <f>O37+'5'!P37</f>
        <v>0</v>
      </c>
      <c r="Q37" s="4">
        <f t="shared" si="4"/>
        <v>0</v>
      </c>
      <c r="R37" s="4">
        <f>Q37+'5'!R37</f>
        <v>703</v>
      </c>
      <c r="S37" s="27">
        <f t="shared" si="5"/>
        <v>0.59576271186440677</v>
      </c>
      <c r="T37" s="12"/>
      <c r="U37" s="12">
        <f>T37+'5'!U37</f>
        <v>53</v>
      </c>
      <c r="V37" s="12"/>
      <c r="W37" s="12">
        <f>V37+'5'!W37</f>
        <v>11</v>
      </c>
      <c r="X37" s="12"/>
      <c r="Y37" s="12">
        <f>X37+'5'!Y37</f>
        <v>0</v>
      </c>
      <c r="AB37" s="5">
        <v>27</v>
      </c>
      <c r="AC37" s="26" t="str">
        <f>'5'!AC37</f>
        <v>كفر ميت العبسى</v>
      </c>
      <c r="AD37" s="28">
        <f>'5'!AI37</f>
        <v>33</v>
      </c>
      <c r="AE37" s="3"/>
      <c r="AF37" s="28">
        <f>AE37+'5'!AF37</f>
        <v>104</v>
      </c>
      <c r="AG37" s="4"/>
      <c r="AH37" s="28">
        <f>AG37+'5'!AH37</f>
        <v>71</v>
      </c>
      <c r="AI37" s="4">
        <f t="shared" si="6"/>
        <v>33</v>
      </c>
      <c r="AJ37" s="11" t="e">
        <f t="shared" si="0"/>
        <v>#DIV/0!</v>
      </c>
      <c r="AK37" s="53">
        <f t="shared" si="1"/>
        <v>9.9014084507042259</v>
      </c>
      <c r="AW37" s="26" t="str">
        <f>'5'!AW37</f>
        <v>كفر ميت العبسى</v>
      </c>
      <c r="AX37" s="12">
        <f>'5'!AX37</f>
        <v>2</v>
      </c>
      <c r="AY37" s="12">
        <f>'5'!AY37</f>
        <v>494</v>
      </c>
      <c r="AZ37" s="12"/>
      <c r="BA37" s="12"/>
      <c r="BB37" s="12">
        <f>BA37+'5'!BB37</f>
        <v>418</v>
      </c>
      <c r="BC37" s="30">
        <f t="shared" si="2"/>
        <v>0.84615384615384615</v>
      </c>
      <c r="BD37" s="12">
        <f>'5'!BD37</f>
        <v>4</v>
      </c>
      <c r="BE37" s="12">
        <f>'5'!BE37</f>
        <v>114</v>
      </c>
      <c r="BF37" s="12"/>
      <c r="BG37" s="12"/>
      <c r="BH37" s="12">
        <f>BG37+'5'!BH37</f>
        <v>73</v>
      </c>
      <c r="BI37" s="30">
        <f t="shared" si="3"/>
        <v>0.64035087719298245</v>
      </c>
    </row>
    <row r="38" spans="1:61" ht="28.9" customHeight="1" x14ac:dyDescent="0.35">
      <c r="A38" s="5">
        <v>28</v>
      </c>
      <c r="B38" s="26" t="str">
        <f>'5'!B38</f>
        <v>كفر وهــــــــــب</v>
      </c>
      <c r="C38" s="26">
        <f>'5'!C38</f>
        <v>1854.9999999999998</v>
      </c>
      <c r="D38" s="26"/>
      <c r="E38" s="12"/>
      <c r="F38" s="2">
        <f>E38+'5'!F38</f>
        <v>7</v>
      </c>
      <c r="G38" s="2"/>
      <c r="H38" s="2">
        <f>G38+'5'!H38</f>
        <v>265</v>
      </c>
      <c r="I38" s="2"/>
      <c r="J38" s="2">
        <f>I38+'5'!J38</f>
        <v>618</v>
      </c>
      <c r="K38" s="2"/>
      <c r="L38" s="2">
        <f>K38+'5'!L38</f>
        <v>0</v>
      </c>
      <c r="M38" s="2"/>
      <c r="N38" s="2">
        <f>M38+'5'!N38</f>
        <v>0</v>
      </c>
      <c r="O38" s="2"/>
      <c r="P38" s="2">
        <f>O38+'5'!P38</f>
        <v>0</v>
      </c>
      <c r="Q38" s="4">
        <f t="shared" si="4"/>
        <v>0</v>
      </c>
      <c r="R38" s="4">
        <f>Q38+'5'!R38</f>
        <v>890</v>
      </c>
      <c r="S38" s="27">
        <f t="shared" si="5"/>
        <v>0.47978436657681944</v>
      </c>
      <c r="T38" s="12"/>
      <c r="U38" s="12">
        <f>T38+'5'!U38</f>
        <v>123</v>
      </c>
      <c r="V38" s="12"/>
      <c r="W38" s="12">
        <f>V38+'5'!W38</f>
        <v>7</v>
      </c>
      <c r="X38" s="12"/>
      <c r="Y38" s="12">
        <f>X38+'5'!Y38</f>
        <v>0</v>
      </c>
      <c r="AB38" s="5">
        <v>28</v>
      </c>
      <c r="AC38" s="26" t="str">
        <f>'5'!AC38</f>
        <v>كفر وهــــــــــب</v>
      </c>
      <c r="AD38" s="28">
        <f>'5'!AI38</f>
        <v>72</v>
      </c>
      <c r="AE38" s="3"/>
      <c r="AF38" s="28">
        <f>AE38+'5'!AF38</f>
        <v>163</v>
      </c>
      <c r="AG38" s="4"/>
      <c r="AH38" s="28">
        <f>AG38+'5'!AH38</f>
        <v>91</v>
      </c>
      <c r="AI38" s="4">
        <f t="shared" si="6"/>
        <v>72</v>
      </c>
      <c r="AJ38" s="11" t="e">
        <f t="shared" si="0"/>
        <v>#DIV/0!</v>
      </c>
      <c r="AK38" s="53">
        <f t="shared" si="1"/>
        <v>9.780219780219781</v>
      </c>
      <c r="AW38" s="26" t="str">
        <f>'5'!AW38</f>
        <v>كفر وهــــــــــب</v>
      </c>
      <c r="AX38" s="12">
        <f>'5'!AX38</f>
        <v>2</v>
      </c>
      <c r="AY38" s="12">
        <f>'5'!AY38</f>
        <v>793</v>
      </c>
      <c r="AZ38" s="12"/>
      <c r="BA38" s="12"/>
      <c r="BB38" s="12">
        <f>BA38+'5'!BB38</f>
        <v>623</v>
      </c>
      <c r="BC38" s="30">
        <f t="shared" si="2"/>
        <v>0.78562421185372</v>
      </c>
      <c r="BD38" s="12">
        <f>'5'!BD38</f>
        <v>3</v>
      </c>
      <c r="BE38" s="12">
        <f>'5'!BE38</f>
        <v>180</v>
      </c>
      <c r="BF38" s="12"/>
      <c r="BG38" s="12"/>
      <c r="BH38" s="12">
        <f>BG38+'5'!BH38</f>
        <v>160</v>
      </c>
      <c r="BI38" s="30">
        <f t="shared" si="3"/>
        <v>0.88888888888888884</v>
      </c>
    </row>
    <row r="39" spans="1:61" ht="28.9" customHeight="1" x14ac:dyDescent="0.35">
      <c r="A39" s="5">
        <v>29</v>
      </c>
      <c r="B39" s="26" t="str">
        <f>'5'!B39</f>
        <v>دمــــــــــــــهوج</v>
      </c>
      <c r="C39" s="26">
        <f>'5'!C39</f>
        <v>2738</v>
      </c>
      <c r="D39" s="26"/>
      <c r="E39" s="12"/>
      <c r="F39" s="2">
        <f>E39+'5'!F39</f>
        <v>11</v>
      </c>
      <c r="G39" s="2"/>
      <c r="H39" s="2">
        <f>G39+'5'!H39</f>
        <v>437</v>
      </c>
      <c r="I39" s="2"/>
      <c r="J39" s="2">
        <f>I39+'5'!J39</f>
        <v>832</v>
      </c>
      <c r="K39" s="2"/>
      <c r="L39" s="2">
        <f>K39+'5'!L39</f>
        <v>0</v>
      </c>
      <c r="M39" s="2"/>
      <c r="N39" s="2">
        <f>M39+'5'!N39</f>
        <v>0</v>
      </c>
      <c r="O39" s="2"/>
      <c r="P39" s="2">
        <f>O39+'5'!P39</f>
        <v>0</v>
      </c>
      <c r="Q39" s="4">
        <f t="shared" si="4"/>
        <v>0</v>
      </c>
      <c r="R39" s="4">
        <f>Q39+'5'!R39</f>
        <v>1280</v>
      </c>
      <c r="S39" s="27">
        <f t="shared" si="5"/>
        <v>0.46749452154857563</v>
      </c>
      <c r="T39" s="12"/>
      <c r="U39" s="12">
        <f>T39+'5'!U39</f>
        <v>158</v>
      </c>
      <c r="V39" s="12"/>
      <c r="W39" s="12">
        <f>V39+'5'!W39</f>
        <v>7</v>
      </c>
      <c r="X39" s="12"/>
      <c r="Y39" s="12">
        <f>X39+'5'!Y39</f>
        <v>0</v>
      </c>
      <c r="AB39" s="5">
        <v>29</v>
      </c>
      <c r="AC39" s="26" t="str">
        <f>'5'!AC39</f>
        <v>دمــــــــــــــهوج</v>
      </c>
      <c r="AD39" s="28">
        <f>'5'!AI39</f>
        <v>109</v>
      </c>
      <c r="AE39" s="3"/>
      <c r="AF39" s="28">
        <f>AE39+'5'!AF39</f>
        <v>240</v>
      </c>
      <c r="AG39" s="4"/>
      <c r="AH39" s="28">
        <f>AG39+'5'!AH39</f>
        <v>131</v>
      </c>
      <c r="AI39" s="4">
        <f t="shared" si="6"/>
        <v>109</v>
      </c>
      <c r="AJ39" s="11" t="e">
        <f t="shared" si="0"/>
        <v>#DIV/0!</v>
      </c>
      <c r="AK39" s="53">
        <f t="shared" si="1"/>
        <v>9.770992366412214</v>
      </c>
      <c r="AW39" s="26" t="str">
        <f>'5'!AW39</f>
        <v>دمــــــــــــــهوج</v>
      </c>
      <c r="AX39" s="12">
        <f>'5'!AX39</f>
        <v>2</v>
      </c>
      <c r="AY39" s="12">
        <f>'5'!AY39</f>
        <v>1086</v>
      </c>
      <c r="AZ39" s="12"/>
      <c r="BA39" s="12"/>
      <c r="BB39" s="12">
        <f>BA39+'5'!BB39</f>
        <v>834</v>
      </c>
      <c r="BC39" s="30">
        <f t="shared" si="2"/>
        <v>0.76795580110497241</v>
      </c>
      <c r="BD39" s="12">
        <f>'5'!BD39</f>
        <v>10</v>
      </c>
      <c r="BE39" s="12">
        <f>'5'!BE39</f>
        <v>455</v>
      </c>
      <c r="BF39" s="12"/>
      <c r="BG39" s="12"/>
      <c r="BH39" s="12">
        <f>BG39+'5'!BH39</f>
        <v>439</v>
      </c>
      <c r="BI39" s="30">
        <f t="shared" si="3"/>
        <v>0.96483516483516485</v>
      </c>
    </row>
    <row r="40" spans="1:61" ht="28.9" customHeight="1" x14ac:dyDescent="0.35">
      <c r="A40" s="5">
        <v>30</v>
      </c>
      <c r="B40" s="26" t="str">
        <f>'5'!B40</f>
        <v>كفر زين الدين</v>
      </c>
      <c r="C40" s="26">
        <f>'5'!C40</f>
        <v>819</v>
      </c>
      <c r="D40" s="26"/>
      <c r="E40" s="12"/>
      <c r="F40" s="2">
        <f>E40+'5'!F40</f>
        <v>9</v>
      </c>
      <c r="G40" s="2"/>
      <c r="H40" s="2">
        <f>G40+'5'!H40</f>
        <v>266</v>
      </c>
      <c r="I40" s="2"/>
      <c r="J40" s="2">
        <f>I40+'5'!J40</f>
        <v>430</v>
      </c>
      <c r="K40" s="2"/>
      <c r="L40" s="2">
        <f>K40+'5'!L40</f>
        <v>0</v>
      </c>
      <c r="M40" s="2"/>
      <c r="N40" s="2">
        <f>M40+'5'!N40</f>
        <v>0</v>
      </c>
      <c r="O40" s="2"/>
      <c r="P40" s="2">
        <f>O40+'5'!P40</f>
        <v>0</v>
      </c>
      <c r="Q40" s="4">
        <f t="shared" si="4"/>
        <v>0</v>
      </c>
      <c r="R40" s="4">
        <f>Q40+'5'!R40</f>
        <v>705</v>
      </c>
      <c r="S40" s="27">
        <f t="shared" si="5"/>
        <v>0.86080586080586086</v>
      </c>
      <c r="T40" s="12"/>
      <c r="U40" s="12">
        <f>T40+'5'!U40</f>
        <v>76</v>
      </c>
      <c r="V40" s="12"/>
      <c r="W40" s="12">
        <f>V40+'5'!W40</f>
        <v>26</v>
      </c>
      <c r="X40" s="12"/>
      <c r="Y40" s="12">
        <f>X40+'5'!Y40</f>
        <v>0</v>
      </c>
      <c r="AB40" s="5">
        <v>30</v>
      </c>
      <c r="AC40" s="26" t="str">
        <f>'5'!AC40</f>
        <v>كفر زين الدين</v>
      </c>
      <c r="AD40" s="28">
        <f>'5'!AI40</f>
        <v>9</v>
      </c>
      <c r="AE40" s="3"/>
      <c r="AF40" s="28">
        <f>AE40+'5'!AF40</f>
        <v>80</v>
      </c>
      <c r="AG40" s="4"/>
      <c r="AH40" s="28">
        <f>AG40+'5'!AH40</f>
        <v>71</v>
      </c>
      <c r="AI40" s="4">
        <f t="shared" si="6"/>
        <v>9</v>
      </c>
      <c r="AJ40" s="11" t="e">
        <f t="shared" si="0"/>
        <v>#DIV/0!</v>
      </c>
      <c r="AK40" s="53">
        <f t="shared" si="1"/>
        <v>9.929577464788732</v>
      </c>
      <c r="AW40" s="26" t="str">
        <f>'5'!AW40</f>
        <v>كفر زين الدين</v>
      </c>
      <c r="AX40" s="12">
        <f>'5'!AX40</f>
        <v>1</v>
      </c>
      <c r="AY40" s="12">
        <f>'5'!AY40</f>
        <v>563</v>
      </c>
      <c r="AZ40" s="12"/>
      <c r="BA40" s="12"/>
      <c r="BB40" s="12">
        <f>BA40+'5'!BB40</f>
        <v>364</v>
      </c>
      <c r="BC40" s="30">
        <f t="shared" si="2"/>
        <v>0.64653641207815271</v>
      </c>
      <c r="BD40" s="12">
        <f>'5'!BD40</f>
        <v>2</v>
      </c>
      <c r="BE40" s="12">
        <f>'5'!BE40</f>
        <v>87</v>
      </c>
      <c r="BF40" s="12"/>
      <c r="BG40" s="12"/>
      <c r="BH40" s="12">
        <f>BG40+'5'!BH40</f>
        <v>166</v>
      </c>
      <c r="BI40" s="30">
        <f t="shared" si="3"/>
        <v>1.9080459770114941</v>
      </c>
    </row>
    <row r="41" spans="1:61" ht="28.9" customHeight="1" x14ac:dyDescent="0.35">
      <c r="A41" s="5">
        <v>31</v>
      </c>
      <c r="B41" s="26" t="str">
        <f>'5'!B41</f>
        <v>عزبــة أبوالنصر</v>
      </c>
      <c r="C41" s="26">
        <f>'5'!C41</f>
        <v>410</v>
      </c>
      <c r="D41" s="26"/>
      <c r="E41" s="12"/>
      <c r="F41" s="2">
        <f>E41+'5'!F41</f>
        <v>10</v>
      </c>
      <c r="G41" s="2"/>
      <c r="H41" s="2">
        <f>G41+'5'!H41</f>
        <v>229</v>
      </c>
      <c r="I41" s="2"/>
      <c r="J41" s="2">
        <f>I41+'5'!J41</f>
        <v>120</v>
      </c>
      <c r="K41" s="2"/>
      <c r="L41" s="2">
        <f>K41+'5'!L41</f>
        <v>0</v>
      </c>
      <c r="M41" s="2"/>
      <c r="N41" s="2">
        <f>M41+'5'!N41</f>
        <v>0</v>
      </c>
      <c r="O41" s="2"/>
      <c r="P41" s="2">
        <f>O41+'5'!P41</f>
        <v>0</v>
      </c>
      <c r="Q41" s="4">
        <f t="shared" si="4"/>
        <v>0</v>
      </c>
      <c r="R41" s="4">
        <f>Q41+'5'!R41</f>
        <v>359</v>
      </c>
      <c r="S41" s="27">
        <f t="shared" si="5"/>
        <v>0.87560975609756098</v>
      </c>
      <c r="T41" s="12"/>
      <c r="U41" s="12">
        <f>T41+'5'!U41</f>
        <v>0</v>
      </c>
      <c r="V41" s="12"/>
      <c r="W41" s="12">
        <f>V41+'5'!W41</f>
        <v>0</v>
      </c>
      <c r="X41" s="12"/>
      <c r="Y41" s="12">
        <f>X41+'5'!Y41</f>
        <v>0</v>
      </c>
      <c r="AB41" s="5">
        <v>31</v>
      </c>
      <c r="AC41" s="26" t="str">
        <f>'5'!AC41</f>
        <v>عزبــة أبوالنصر</v>
      </c>
      <c r="AD41" s="28">
        <f>'5'!AI41</f>
        <v>4</v>
      </c>
      <c r="AE41" s="3"/>
      <c r="AF41" s="28">
        <f>AE41+'5'!AF41</f>
        <v>41</v>
      </c>
      <c r="AG41" s="4"/>
      <c r="AH41" s="28">
        <f>AG41+'5'!AH41</f>
        <v>37</v>
      </c>
      <c r="AI41" s="4">
        <f t="shared" si="6"/>
        <v>4</v>
      </c>
      <c r="AJ41" s="11" t="e">
        <f t="shared" si="0"/>
        <v>#DIV/0!</v>
      </c>
      <c r="AK41" s="53">
        <f t="shared" si="1"/>
        <v>9.7027027027027035</v>
      </c>
      <c r="AW41" s="26" t="str">
        <f>'5'!AW41</f>
        <v>عزبــة أبوالنصر</v>
      </c>
      <c r="AX41" s="12">
        <f>'5'!AX41</f>
        <v>2</v>
      </c>
      <c r="AY41" s="12">
        <f>'5'!AY41</f>
        <v>70</v>
      </c>
      <c r="AZ41" s="12"/>
      <c r="BA41" s="12"/>
      <c r="BB41" s="12">
        <f>BA41+'5'!BB41</f>
        <v>65</v>
      </c>
      <c r="BC41" s="30">
        <f t="shared" si="2"/>
        <v>0.9285714285714286</v>
      </c>
      <c r="BD41" s="12">
        <f>'5'!BD41</f>
        <v>3</v>
      </c>
      <c r="BE41" s="12">
        <f>'5'!BE41</f>
        <v>75</v>
      </c>
      <c r="BF41" s="12"/>
      <c r="BG41" s="12"/>
      <c r="BH41" s="12">
        <f>BG41+'5'!BH41</f>
        <v>36</v>
      </c>
      <c r="BI41" s="30">
        <f t="shared" si="3"/>
        <v>0.48</v>
      </c>
    </row>
    <row r="42" spans="1:61" ht="28.9" customHeight="1" x14ac:dyDescent="0.35">
      <c r="A42" s="5">
        <v>32</v>
      </c>
      <c r="B42" s="26" t="str">
        <f>'5'!B42</f>
        <v>شمنديــــــــــــــل</v>
      </c>
      <c r="C42" s="26">
        <f>'5'!C42</f>
        <v>880</v>
      </c>
      <c r="D42" s="26"/>
      <c r="E42" s="12"/>
      <c r="F42" s="2">
        <f>E42+'5'!F42</f>
        <v>7</v>
      </c>
      <c r="G42" s="2"/>
      <c r="H42" s="2">
        <f>G42+'5'!H42</f>
        <v>219</v>
      </c>
      <c r="I42" s="2"/>
      <c r="J42" s="2">
        <f>I42+'5'!J42</f>
        <v>421</v>
      </c>
      <c r="K42" s="2"/>
      <c r="L42" s="2">
        <f>K42+'5'!L42</f>
        <v>0</v>
      </c>
      <c r="M42" s="2"/>
      <c r="N42" s="2">
        <f>M42+'5'!N42</f>
        <v>0</v>
      </c>
      <c r="O42" s="2"/>
      <c r="P42" s="2">
        <f>O42+'5'!P42</f>
        <v>0</v>
      </c>
      <c r="Q42" s="4">
        <f t="shared" si="4"/>
        <v>0</v>
      </c>
      <c r="R42" s="4">
        <f>Q42+'5'!R42</f>
        <v>647</v>
      </c>
      <c r="S42" s="27">
        <f t="shared" si="5"/>
        <v>0.73522727272727273</v>
      </c>
      <c r="T42" s="12"/>
      <c r="U42" s="12">
        <f>T42+'5'!U42</f>
        <v>69</v>
      </c>
      <c r="V42" s="12"/>
      <c r="W42" s="12">
        <f>V42+'5'!W42</f>
        <v>11</v>
      </c>
      <c r="X42" s="12"/>
      <c r="Y42" s="12">
        <f>X42+'5'!Y42</f>
        <v>0</v>
      </c>
      <c r="AB42" s="5">
        <v>32</v>
      </c>
      <c r="AC42" s="26" t="str">
        <f>'5'!AC42</f>
        <v>شمنديــــــــــــــل</v>
      </c>
      <c r="AD42" s="28">
        <f>'5'!AI42</f>
        <v>9</v>
      </c>
      <c r="AE42" s="3"/>
      <c r="AF42" s="28">
        <f>AE42+'5'!AF42</f>
        <v>78</v>
      </c>
      <c r="AG42" s="4"/>
      <c r="AH42" s="28">
        <f>AG42+'5'!AH42</f>
        <v>69</v>
      </c>
      <c r="AI42" s="4">
        <f t="shared" si="6"/>
        <v>9</v>
      </c>
      <c r="AJ42" s="11" t="e">
        <f t="shared" si="0"/>
        <v>#DIV/0!</v>
      </c>
      <c r="AK42" s="53">
        <f t="shared" si="1"/>
        <v>9.3768115942028984</v>
      </c>
      <c r="AW42" s="26" t="str">
        <f>'5'!AW42</f>
        <v>شمنديــــــــــــــل</v>
      </c>
      <c r="AX42" s="12">
        <f>'5'!AX42</f>
        <v>2</v>
      </c>
      <c r="AY42" s="12">
        <f>'5'!AY42</f>
        <v>569</v>
      </c>
      <c r="AZ42" s="12"/>
      <c r="BA42" s="12"/>
      <c r="BB42" s="12">
        <f>BA42+'5'!BB42</f>
        <v>453</v>
      </c>
      <c r="BC42" s="30">
        <f t="shared" si="2"/>
        <v>0.79613356766256593</v>
      </c>
      <c r="BD42" s="12">
        <f>'5'!BD42</f>
        <v>1</v>
      </c>
      <c r="BE42" s="12">
        <f>'5'!BE42</f>
        <v>39</v>
      </c>
      <c r="BF42" s="12"/>
      <c r="BG42" s="12"/>
      <c r="BH42" s="12">
        <f>BG42+'5'!BH42</f>
        <v>82</v>
      </c>
      <c r="BI42" s="30">
        <f t="shared" si="3"/>
        <v>2.1025641025641026</v>
      </c>
    </row>
    <row r="43" spans="1:61" ht="28.9" customHeight="1" x14ac:dyDescent="0.35">
      <c r="A43" s="5">
        <v>33</v>
      </c>
      <c r="B43" s="26" t="str">
        <f>'5'!B43</f>
        <v>كفور الرمل</v>
      </c>
      <c r="C43" s="26">
        <f>'5'!C43</f>
        <v>1721</v>
      </c>
      <c r="D43" s="26"/>
      <c r="E43" s="12"/>
      <c r="F43" s="2">
        <f>E43+'5'!F43</f>
        <v>17</v>
      </c>
      <c r="G43" s="2"/>
      <c r="H43" s="2">
        <f>G43+'5'!H43</f>
        <v>505</v>
      </c>
      <c r="I43" s="2"/>
      <c r="J43" s="2">
        <f>I43+'5'!J43</f>
        <v>718</v>
      </c>
      <c r="K43" s="2"/>
      <c r="L43" s="2">
        <f>K43+'5'!L43</f>
        <v>0</v>
      </c>
      <c r="M43" s="2"/>
      <c r="N43" s="2">
        <f>M43+'5'!N43</f>
        <v>0</v>
      </c>
      <c r="O43" s="2"/>
      <c r="P43" s="2">
        <f>O43+'5'!P43</f>
        <v>0</v>
      </c>
      <c r="Q43" s="4">
        <f t="shared" si="4"/>
        <v>0</v>
      </c>
      <c r="R43" s="4">
        <f>Q43+'5'!R43</f>
        <v>1240</v>
      </c>
      <c r="S43" s="27">
        <f t="shared" si="5"/>
        <v>0.72051133062173156</v>
      </c>
      <c r="T43" s="12"/>
      <c r="U43" s="12">
        <f>T43+'5'!U43</f>
        <v>192</v>
      </c>
      <c r="V43" s="12"/>
      <c r="W43" s="12">
        <f>V43+'5'!W43</f>
        <v>100</v>
      </c>
      <c r="X43" s="12"/>
      <c r="Y43" s="12">
        <f>X43+'5'!Y43</f>
        <v>0</v>
      </c>
      <c r="AB43" s="5">
        <v>33</v>
      </c>
      <c r="AC43" s="26" t="str">
        <f>'5'!AC43</f>
        <v>كفور الرمل</v>
      </c>
      <c r="AD43" s="28">
        <f>'5'!AI43</f>
        <v>15</v>
      </c>
      <c r="AE43" s="3"/>
      <c r="AF43" s="28">
        <f>AE43+'5'!AF43</f>
        <v>150</v>
      </c>
      <c r="AG43" s="4"/>
      <c r="AH43" s="28">
        <f>AG43+'5'!AH43</f>
        <v>135</v>
      </c>
      <c r="AI43" s="4">
        <f t="shared" si="6"/>
        <v>15</v>
      </c>
      <c r="AJ43" s="11" t="e">
        <f t="shared" si="0"/>
        <v>#DIV/0!</v>
      </c>
      <c r="AK43" s="53">
        <f t="shared" si="1"/>
        <v>9.1851851851851851</v>
      </c>
      <c r="AW43" s="26" t="str">
        <f>'5'!AW43</f>
        <v>كفور الرمل</v>
      </c>
      <c r="AX43" s="12">
        <f>'5'!AX43</f>
        <v>4</v>
      </c>
      <c r="AY43" s="12">
        <f>'5'!AY43</f>
        <v>1335</v>
      </c>
      <c r="AZ43" s="12"/>
      <c r="BA43" s="12"/>
      <c r="BB43" s="12">
        <f>BA43+'5'!BB43</f>
        <v>918</v>
      </c>
      <c r="BC43" s="30">
        <f t="shared" si="2"/>
        <v>0.68764044943820224</v>
      </c>
      <c r="BD43" s="12">
        <f>'5'!BD43</f>
        <v>7</v>
      </c>
      <c r="BE43" s="12">
        <f>'5'!BE43</f>
        <v>753</v>
      </c>
      <c r="BF43" s="12"/>
      <c r="BG43" s="12"/>
      <c r="BH43" s="12">
        <f>BG43+'5'!BH43</f>
        <v>414</v>
      </c>
      <c r="BI43" s="30">
        <f t="shared" si="3"/>
        <v>0.54980079681274896</v>
      </c>
    </row>
    <row r="44" spans="1:61" ht="28.9" customHeight="1" x14ac:dyDescent="0.35">
      <c r="A44" s="5">
        <v>34</v>
      </c>
      <c r="B44" s="26" t="str">
        <f>'5'!B44</f>
        <v>منشأة أم خنان</v>
      </c>
      <c r="C44" s="26">
        <f>'5'!C44</f>
        <v>510</v>
      </c>
      <c r="D44" s="26"/>
      <c r="E44" s="12"/>
      <c r="F44" s="2">
        <f>E44+'5'!F44</f>
        <v>12</v>
      </c>
      <c r="G44" s="2"/>
      <c r="H44" s="2">
        <f>G44+'5'!H44</f>
        <v>194</v>
      </c>
      <c r="I44" s="2"/>
      <c r="J44" s="2">
        <f>I44+'5'!J44</f>
        <v>291</v>
      </c>
      <c r="K44" s="2"/>
      <c r="L44" s="2">
        <f>K44+'5'!L44</f>
        <v>0</v>
      </c>
      <c r="M44" s="2"/>
      <c r="N44" s="2">
        <f>M44+'5'!N44</f>
        <v>0</v>
      </c>
      <c r="O44" s="2"/>
      <c r="P44" s="2">
        <f>O44+'5'!P44</f>
        <v>0</v>
      </c>
      <c r="Q44" s="4">
        <f t="shared" si="4"/>
        <v>0</v>
      </c>
      <c r="R44" s="4">
        <f>Q44+'5'!R44</f>
        <v>497</v>
      </c>
      <c r="S44" s="27">
        <f t="shared" si="5"/>
        <v>0.97450980392156861</v>
      </c>
      <c r="T44" s="12"/>
      <c r="U44" s="12">
        <f>T44+'5'!U44</f>
        <v>11</v>
      </c>
      <c r="V44" s="12"/>
      <c r="W44" s="12">
        <f>V44+'5'!W44</f>
        <v>7</v>
      </c>
      <c r="X44" s="12"/>
      <c r="Y44" s="12">
        <f>X44+'5'!Y44</f>
        <v>0</v>
      </c>
      <c r="AB44" s="5">
        <v>34</v>
      </c>
      <c r="AC44" s="26" t="str">
        <f>'5'!AC44</f>
        <v>منشأة أم خنان</v>
      </c>
      <c r="AD44" s="28">
        <f>'5'!AI44</f>
        <v>4</v>
      </c>
      <c r="AE44" s="3"/>
      <c r="AF44" s="28">
        <f>AE44+'5'!AF44</f>
        <v>55</v>
      </c>
      <c r="AG44" s="4"/>
      <c r="AH44" s="28">
        <f>AG44+'5'!AH44</f>
        <v>51</v>
      </c>
      <c r="AI44" s="4">
        <f t="shared" si="6"/>
        <v>4</v>
      </c>
      <c r="AJ44" s="11" t="e">
        <f t="shared" si="0"/>
        <v>#DIV/0!</v>
      </c>
      <c r="AK44" s="53">
        <f t="shared" si="1"/>
        <v>9.7450980392156854</v>
      </c>
      <c r="AW44" s="26" t="str">
        <f>'5'!AW44</f>
        <v>منشأة أم خنان</v>
      </c>
      <c r="AX44" s="12">
        <f>'5'!AX44</f>
        <v>1</v>
      </c>
      <c r="AY44" s="12">
        <f>'5'!AY44</f>
        <v>277</v>
      </c>
      <c r="AZ44" s="12"/>
      <c r="BA44" s="12"/>
      <c r="BB44" s="12">
        <f>BA44+'5'!BB44</f>
        <v>269</v>
      </c>
      <c r="BC44" s="30">
        <f t="shared" si="2"/>
        <v>0.97111913357400725</v>
      </c>
      <c r="BD44" s="12">
        <f>'5'!BD44</f>
        <v>3</v>
      </c>
      <c r="BE44" s="12">
        <f>'5'!BE44</f>
        <v>170</v>
      </c>
      <c r="BF44" s="12"/>
      <c r="BG44" s="12"/>
      <c r="BH44" s="12">
        <f>BG44+'5'!BH44</f>
        <v>115</v>
      </c>
      <c r="BI44" s="30">
        <f t="shared" si="3"/>
        <v>0.67647058823529416</v>
      </c>
    </row>
    <row r="45" spans="1:61" ht="28.9" customHeight="1" x14ac:dyDescent="0.35">
      <c r="A45" s="5">
        <v>35</v>
      </c>
      <c r="B45" s="26">
        <f>'5'!B45</f>
        <v>0</v>
      </c>
      <c r="C45" s="26">
        <f>'5'!C45</f>
        <v>0</v>
      </c>
      <c r="D45" s="26"/>
      <c r="E45" s="12"/>
      <c r="F45" s="2">
        <f>E45+'5'!F45</f>
        <v>0</v>
      </c>
      <c r="G45" s="2"/>
      <c r="H45" s="2">
        <f>G45+'5'!H45</f>
        <v>0</v>
      </c>
      <c r="I45" s="2"/>
      <c r="J45" s="2">
        <f>I45+'5'!J45</f>
        <v>0</v>
      </c>
      <c r="K45" s="2"/>
      <c r="L45" s="2">
        <f>K45+'5'!L45</f>
        <v>0</v>
      </c>
      <c r="M45" s="2"/>
      <c r="N45" s="2">
        <f>M45+'5'!N45</f>
        <v>0</v>
      </c>
      <c r="O45" s="2"/>
      <c r="P45" s="2">
        <f>O45+'5'!P45</f>
        <v>0</v>
      </c>
      <c r="Q45" s="4">
        <f t="shared" si="4"/>
        <v>0</v>
      </c>
      <c r="R45" s="4">
        <f>Q45+'5'!R45</f>
        <v>0</v>
      </c>
      <c r="S45" s="27" t="e">
        <f t="shared" si="5"/>
        <v>#DIV/0!</v>
      </c>
      <c r="T45" s="12"/>
      <c r="U45" s="12">
        <f>T45+'5'!U45</f>
        <v>0</v>
      </c>
      <c r="V45" s="12"/>
      <c r="W45" s="12">
        <f>V45+'5'!W45</f>
        <v>0</v>
      </c>
      <c r="X45" s="12"/>
      <c r="Y45" s="12">
        <f>X45+'5'!Y45</f>
        <v>0</v>
      </c>
      <c r="AB45" s="5">
        <v>35</v>
      </c>
      <c r="AC45" s="26">
        <f>'5'!AC45</f>
        <v>0</v>
      </c>
      <c r="AD45" s="28">
        <f>'5'!AI45</f>
        <v>0</v>
      </c>
      <c r="AE45" s="3"/>
      <c r="AF45" s="28">
        <f>AE45+'5'!AF45</f>
        <v>0</v>
      </c>
      <c r="AG45" s="4"/>
      <c r="AH45" s="28">
        <f>AG45+'5'!AH45</f>
        <v>0</v>
      </c>
      <c r="AI45" s="4">
        <f t="shared" si="6"/>
        <v>0</v>
      </c>
      <c r="AJ45" s="11" t="e">
        <f t="shared" si="0"/>
        <v>#DIV/0!</v>
      </c>
      <c r="AK45" s="53" t="e">
        <f t="shared" si="1"/>
        <v>#DIV/0!</v>
      </c>
      <c r="AW45" s="26">
        <f>'5'!AW45</f>
        <v>0</v>
      </c>
      <c r="AX45" s="12">
        <f>'5'!AX45</f>
        <v>0</v>
      </c>
      <c r="AY45" s="12">
        <f>'5'!AY45</f>
        <v>0</v>
      </c>
      <c r="AZ45" s="12"/>
      <c r="BA45" s="12"/>
      <c r="BB45" s="12">
        <f>BA45+'5'!BB45</f>
        <v>0</v>
      </c>
      <c r="BC45" s="30" t="e">
        <f t="shared" si="2"/>
        <v>#DIV/0!</v>
      </c>
      <c r="BD45" s="12">
        <f>'5'!BD45</f>
        <v>0</v>
      </c>
      <c r="BE45" s="12">
        <f>'5'!BE45</f>
        <v>0</v>
      </c>
      <c r="BF45" s="12"/>
      <c r="BG45" s="12"/>
      <c r="BH45" s="12">
        <f>BG45+'5'!BH45</f>
        <v>0</v>
      </c>
      <c r="BI45" s="30" t="e">
        <f t="shared" si="3"/>
        <v>#DIV/0!</v>
      </c>
    </row>
    <row r="46" spans="1:61" ht="28.9" customHeight="1" x14ac:dyDescent="0.35">
      <c r="A46" s="5">
        <v>36</v>
      </c>
      <c r="B46" s="26">
        <f>'5'!B46</f>
        <v>0</v>
      </c>
      <c r="C46" s="26">
        <f>'5'!C46</f>
        <v>0</v>
      </c>
      <c r="D46" s="26"/>
      <c r="E46" s="12"/>
      <c r="F46" s="2">
        <f>E46+'5'!F46</f>
        <v>0</v>
      </c>
      <c r="G46" s="2"/>
      <c r="H46" s="2">
        <f>G46+'5'!H46</f>
        <v>0</v>
      </c>
      <c r="I46" s="2"/>
      <c r="J46" s="2">
        <f>I46+'5'!J46</f>
        <v>0</v>
      </c>
      <c r="K46" s="2"/>
      <c r="L46" s="2">
        <f>K46+'5'!L46</f>
        <v>0</v>
      </c>
      <c r="M46" s="2"/>
      <c r="N46" s="2">
        <f>M46+'5'!N46</f>
        <v>0</v>
      </c>
      <c r="O46" s="2"/>
      <c r="P46" s="2">
        <f>O46+'5'!P46</f>
        <v>0</v>
      </c>
      <c r="Q46" s="4">
        <f t="shared" si="4"/>
        <v>0</v>
      </c>
      <c r="R46" s="4">
        <f>Q46+'5'!R46</f>
        <v>0</v>
      </c>
      <c r="S46" s="27" t="e">
        <f t="shared" si="5"/>
        <v>#DIV/0!</v>
      </c>
      <c r="T46" s="12"/>
      <c r="U46" s="12">
        <f>T46+'5'!U46</f>
        <v>0</v>
      </c>
      <c r="V46" s="12"/>
      <c r="W46" s="12">
        <f>V46+'5'!W46</f>
        <v>0</v>
      </c>
      <c r="X46" s="12"/>
      <c r="Y46" s="12">
        <f>X46+'5'!Y46</f>
        <v>0</v>
      </c>
      <c r="AB46" s="5">
        <v>36</v>
      </c>
      <c r="AC46" s="26">
        <f>'5'!AC46</f>
        <v>0</v>
      </c>
      <c r="AD46" s="28">
        <f>'5'!AI46</f>
        <v>0</v>
      </c>
      <c r="AE46" s="3"/>
      <c r="AF46" s="28">
        <f>AE46+'5'!AF46</f>
        <v>0</v>
      </c>
      <c r="AG46" s="4"/>
      <c r="AH46" s="28">
        <f>AG46+'5'!AH46</f>
        <v>0</v>
      </c>
      <c r="AI46" s="4">
        <f t="shared" si="6"/>
        <v>0</v>
      </c>
      <c r="AJ46" s="11" t="e">
        <f t="shared" si="0"/>
        <v>#DIV/0!</v>
      </c>
      <c r="AK46" s="53" t="e">
        <f t="shared" si="1"/>
        <v>#DIV/0!</v>
      </c>
      <c r="AW46" s="26">
        <f>'5'!AW46</f>
        <v>0</v>
      </c>
      <c r="AX46" s="12">
        <f>'5'!AX46</f>
        <v>0</v>
      </c>
      <c r="AY46" s="12">
        <f>'5'!AY46</f>
        <v>0</v>
      </c>
      <c r="AZ46" s="12"/>
      <c r="BA46" s="12"/>
      <c r="BB46" s="12">
        <f>BA46+'5'!BB46</f>
        <v>0</v>
      </c>
      <c r="BC46" s="30" t="e">
        <f t="shared" si="2"/>
        <v>#DIV/0!</v>
      </c>
      <c r="BD46" s="12">
        <f>'5'!BD46</f>
        <v>0</v>
      </c>
      <c r="BE46" s="12">
        <f>'5'!BE46</f>
        <v>0</v>
      </c>
      <c r="BF46" s="12"/>
      <c r="BG46" s="12"/>
      <c r="BH46" s="12">
        <f>BG46+'5'!BH46</f>
        <v>0</v>
      </c>
      <c r="BI46" s="30" t="e">
        <f t="shared" si="3"/>
        <v>#DIV/0!</v>
      </c>
    </row>
    <row r="47" spans="1:61" ht="28.9" customHeight="1" x14ac:dyDescent="0.35">
      <c r="A47" s="5">
        <v>37</v>
      </c>
      <c r="B47" s="26">
        <f>'5'!B47</f>
        <v>0</v>
      </c>
      <c r="C47" s="26">
        <f>'5'!C47</f>
        <v>0</v>
      </c>
      <c r="D47" s="26"/>
      <c r="E47" s="12"/>
      <c r="F47" s="2">
        <f>E47+'5'!F47</f>
        <v>0</v>
      </c>
      <c r="G47" s="2"/>
      <c r="H47" s="2">
        <f>G47+'5'!H47</f>
        <v>0</v>
      </c>
      <c r="I47" s="2"/>
      <c r="J47" s="2">
        <f>I47+'5'!J47</f>
        <v>0</v>
      </c>
      <c r="K47" s="2"/>
      <c r="L47" s="2">
        <f>K47+'5'!L47</f>
        <v>0</v>
      </c>
      <c r="M47" s="2"/>
      <c r="N47" s="2">
        <f>M47+'5'!N47</f>
        <v>0</v>
      </c>
      <c r="O47" s="2"/>
      <c r="P47" s="2">
        <f>O47+'5'!P47</f>
        <v>0</v>
      </c>
      <c r="Q47" s="4">
        <f t="shared" si="4"/>
        <v>0</v>
      </c>
      <c r="R47" s="4">
        <f>Q47+'5'!R47</f>
        <v>0</v>
      </c>
      <c r="S47" s="27" t="e">
        <f t="shared" si="5"/>
        <v>#DIV/0!</v>
      </c>
      <c r="T47" s="12"/>
      <c r="U47" s="12">
        <f>T47+'5'!U47</f>
        <v>0</v>
      </c>
      <c r="V47" s="12"/>
      <c r="W47" s="12">
        <f>V47+'5'!W47</f>
        <v>0</v>
      </c>
      <c r="X47" s="12"/>
      <c r="Y47" s="12">
        <f>X47+'5'!Y47</f>
        <v>0</v>
      </c>
      <c r="AB47" s="5">
        <v>37</v>
      </c>
      <c r="AC47" s="26">
        <f>'5'!AC47</f>
        <v>0</v>
      </c>
      <c r="AD47" s="28">
        <f>'5'!AI47</f>
        <v>0</v>
      </c>
      <c r="AE47" s="3"/>
      <c r="AF47" s="28">
        <f>AE47+'5'!AF47</f>
        <v>0</v>
      </c>
      <c r="AG47" s="4"/>
      <c r="AH47" s="28">
        <f>AG47+'5'!AH47</f>
        <v>0</v>
      </c>
      <c r="AI47" s="4">
        <f t="shared" si="6"/>
        <v>0</v>
      </c>
      <c r="AJ47" s="11" t="e">
        <f t="shared" si="0"/>
        <v>#DIV/0!</v>
      </c>
      <c r="AK47" s="53" t="e">
        <f t="shared" si="1"/>
        <v>#DIV/0!</v>
      </c>
      <c r="AW47" s="26">
        <f>'5'!AW47</f>
        <v>0</v>
      </c>
      <c r="AX47" s="12">
        <f>'5'!AX47</f>
        <v>0</v>
      </c>
      <c r="AY47" s="12">
        <f>'5'!AY47</f>
        <v>0</v>
      </c>
      <c r="AZ47" s="12"/>
      <c r="BA47" s="12"/>
      <c r="BB47" s="12">
        <f>BA47+'5'!BB47</f>
        <v>0</v>
      </c>
      <c r="BC47" s="30" t="e">
        <f t="shared" si="2"/>
        <v>#DIV/0!</v>
      </c>
      <c r="BD47" s="12">
        <f>'5'!BD47</f>
        <v>0</v>
      </c>
      <c r="BE47" s="12">
        <f>'5'!BE47</f>
        <v>0</v>
      </c>
      <c r="BF47" s="12"/>
      <c r="BG47" s="12"/>
      <c r="BH47" s="12">
        <f>BG47+'5'!BH47</f>
        <v>0</v>
      </c>
      <c r="BI47" s="30" t="e">
        <f t="shared" si="3"/>
        <v>#DIV/0!</v>
      </c>
    </row>
    <row r="48" spans="1:61" ht="28.9" customHeight="1" x14ac:dyDescent="0.35">
      <c r="A48" s="5">
        <v>38</v>
      </c>
      <c r="B48" s="26">
        <f>'5'!B48</f>
        <v>0</v>
      </c>
      <c r="C48" s="26">
        <f>'5'!C48</f>
        <v>0</v>
      </c>
      <c r="D48" s="26"/>
      <c r="E48" s="12"/>
      <c r="F48" s="2">
        <f>E48+'5'!F48</f>
        <v>0</v>
      </c>
      <c r="G48" s="2"/>
      <c r="H48" s="2">
        <f>G48+'5'!H48</f>
        <v>0</v>
      </c>
      <c r="I48" s="2"/>
      <c r="J48" s="2">
        <f>I48+'5'!J48</f>
        <v>0</v>
      </c>
      <c r="K48" s="2"/>
      <c r="L48" s="2">
        <f>K48+'5'!L48</f>
        <v>0</v>
      </c>
      <c r="M48" s="2"/>
      <c r="N48" s="2">
        <f>M48+'5'!N48</f>
        <v>0</v>
      </c>
      <c r="O48" s="2"/>
      <c r="P48" s="2">
        <f>O48+'5'!P48</f>
        <v>0</v>
      </c>
      <c r="Q48" s="4">
        <f t="shared" si="4"/>
        <v>0</v>
      </c>
      <c r="R48" s="4">
        <f>Q48+'5'!R48</f>
        <v>0</v>
      </c>
      <c r="S48" s="27" t="e">
        <f t="shared" si="5"/>
        <v>#DIV/0!</v>
      </c>
      <c r="T48" s="12"/>
      <c r="U48" s="12">
        <f>T48+'5'!U48</f>
        <v>0</v>
      </c>
      <c r="V48" s="12"/>
      <c r="W48" s="12">
        <f>V48+'5'!W48</f>
        <v>0</v>
      </c>
      <c r="X48" s="12"/>
      <c r="Y48" s="12">
        <f>X48+'5'!Y48</f>
        <v>0</v>
      </c>
      <c r="AB48" s="5">
        <v>38</v>
      </c>
      <c r="AC48" s="26">
        <f>'5'!AC48</f>
        <v>0</v>
      </c>
      <c r="AD48" s="28">
        <f>'5'!AI48</f>
        <v>0</v>
      </c>
      <c r="AE48" s="3"/>
      <c r="AF48" s="28">
        <f>AE48+'5'!AF48</f>
        <v>0</v>
      </c>
      <c r="AG48" s="4"/>
      <c r="AH48" s="28">
        <f>AG48+'5'!AH48</f>
        <v>0</v>
      </c>
      <c r="AI48" s="4">
        <f t="shared" si="6"/>
        <v>0</v>
      </c>
      <c r="AJ48" s="11" t="e">
        <f t="shared" si="0"/>
        <v>#DIV/0!</v>
      </c>
      <c r="AK48" s="53" t="e">
        <f t="shared" si="1"/>
        <v>#DIV/0!</v>
      </c>
      <c r="AW48" s="26">
        <f>'5'!AW48</f>
        <v>0</v>
      </c>
      <c r="AX48" s="12">
        <f>'5'!AX48</f>
        <v>0</v>
      </c>
      <c r="AY48" s="12">
        <f>'5'!AY48</f>
        <v>0</v>
      </c>
      <c r="AZ48" s="12"/>
      <c r="BA48" s="12"/>
      <c r="BB48" s="12">
        <f>BA48+'5'!BB48</f>
        <v>0</v>
      </c>
      <c r="BC48" s="30" t="e">
        <f t="shared" si="2"/>
        <v>#DIV/0!</v>
      </c>
      <c r="BD48" s="12">
        <f>'5'!BD48</f>
        <v>0</v>
      </c>
      <c r="BE48" s="12">
        <f>'5'!BE48</f>
        <v>0</v>
      </c>
      <c r="BF48" s="12"/>
      <c r="BG48" s="12"/>
      <c r="BH48" s="12">
        <f>BG48+'5'!BH48</f>
        <v>0</v>
      </c>
      <c r="BI48" s="30" t="e">
        <f t="shared" si="3"/>
        <v>#DIV/0!</v>
      </c>
    </row>
    <row r="49" spans="1:61" ht="28.9" customHeight="1" x14ac:dyDescent="0.35">
      <c r="A49" s="5">
        <v>39</v>
      </c>
      <c r="B49" s="26">
        <f>'5'!B49</f>
        <v>0</v>
      </c>
      <c r="C49" s="26">
        <f>'5'!C49</f>
        <v>0</v>
      </c>
      <c r="D49" s="26"/>
      <c r="E49" s="12"/>
      <c r="F49" s="2">
        <f>E49+'5'!F49</f>
        <v>0</v>
      </c>
      <c r="G49" s="2"/>
      <c r="H49" s="2">
        <f>G49+'5'!H49</f>
        <v>0</v>
      </c>
      <c r="I49" s="2"/>
      <c r="J49" s="2">
        <f>I49+'5'!J49</f>
        <v>0</v>
      </c>
      <c r="K49" s="2"/>
      <c r="L49" s="2">
        <f>K49+'5'!L49</f>
        <v>0</v>
      </c>
      <c r="M49" s="2"/>
      <c r="N49" s="2">
        <f>M49+'5'!N49</f>
        <v>0</v>
      </c>
      <c r="O49" s="2"/>
      <c r="P49" s="2">
        <f>O49+'5'!P49</f>
        <v>0</v>
      </c>
      <c r="Q49" s="4">
        <f t="shared" si="4"/>
        <v>0</v>
      </c>
      <c r="R49" s="4">
        <f>Q49+'5'!R49</f>
        <v>0</v>
      </c>
      <c r="S49" s="27" t="e">
        <f t="shared" si="5"/>
        <v>#DIV/0!</v>
      </c>
      <c r="T49" s="12"/>
      <c r="U49" s="12">
        <f>T49+'5'!U49</f>
        <v>0</v>
      </c>
      <c r="V49" s="12"/>
      <c r="W49" s="12">
        <f>V49+'5'!W49</f>
        <v>0</v>
      </c>
      <c r="X49" s="12"/>
      <c r="Y49" s="12">
        <f>X49+'5'!Y49</f>
        <v>0</v>
      </c>
      <c r="AB49" s="5">
        <v>39</v>
      </c>
      <c r="AC49" s="26">
        <f>'5'!AC49</f>
        <v>0</v>
      </c>
      <c r="AD49" s="28">
        <f>'5'!AI49</f>
        <v>0</v>
      </c>
      <c r="AE49" s="3"/>
      <c r="AF49" s="28">
        <f>AE49+'5'!AF49</f>
        <v>0</v>
      </c>
      <c r="AG49" s="4"/>
      <c r="AH49" s="28">
        <f>AG49+'5'!AH49</f>
        <v>0</v>
      </c>
      <c r="AI49" s="4">
        <f t="shared" si="6"/>
        <v>0</v>
      </c>
      <c r="AJ49" s="11" t="e">
        <f t="shared" si="0"/>
        <v>#DIV/0!</v>
      </c>
      <c r="AK49" s="53" t="e">
        <f t="shared" si="1"/>
        <v>#DIV/0!</v>
      </c>
      <c r="AW49" s="26">
        <f>'5'!AW49</f>
        <v>0</v>
      </c>
      <c r="AX49" s="12">
        <f>'5'!AX49</f>
        <v>0</v>
      </c>
      <c r="AY49" s="12">
        <f>'5'!AY49</f>
        <v>0</v>
      </c>
      <c r="AZ49" s="12"/>
      <c r="BA49" s="12"/>
      <c r="BB49" s="12">
        <f>BA49+'5'!BB49</f>
        <v>0</v>
      </c>
      <c r="BC49" s="30" t="e">
        <f t="shared" si="2"/>
        <v>#DIV/0!</v>
      </c>
      <c r="BD49" s="12">
        <f>'5'!BD49</f>
        <v>0</v>
      </c>
      <c r="BE49" s="12">
        <f>'5'!BE49</f>
        <v>0</v>
      </c>
      <c r="BF49" s="12"/>
      <c r="BG49" s="12"/>
      <c r="BH49" s="12">
        <f>BG49+'5'!BH49</f>
        <v>0</v>
      </c>
      <c r="BI49" s="30" t="e">
        <f t="shared" si="3"/>
        <v>#DIV/0!</v>
      </c>
    </row>
    <row r="50" spans="1:61" ht="28.9" customHeight="1" x14ac:dyDescent="0.35">
      <c r="A50" s="5">
        <v>40</v>
      </c>
      <c r="B50" s="26">
        <f>'5'!B50</f>
        <v>0</v>
      </c>
      <c r="C50" s="26">
        <f>'5'!C50</f>
        <v>0</v>
      </c>
      <c r="D50" s="26"/>
      <c r="E50" s="12"/>
      <c r="F50" s="2">
        <f>E50+'5'!F50</f>
        <v>0</v>
      </c>
      <c r="G50" s="2"/>
      <c r="H50" s="2">
        <f>G50+'5'!H50</f>
        <v>0</v>
      </c>
      <c r="I50" s="2"/>
      <c r="J50" s="2">
        <f>I50+'5'!J50</f>
        <v>0</v>
      </c>
      <c r="K50" s="2"/>
      <c r="L50" s="2">
        <f>K50+'5'!L50</f>
        <v>0</v>
      </c>
      <c r="M50" s="2"/>
      <c r="N50" s="2">
        <f>M50+'5'!N50</f>
        <v>0</v>
      </c>
      <c r="O50" s="2"/>
      <c r="P50" s="2">
        <f>O50+'5'!P50</f>
        <v>0</v>
      </c>
      <c r="Q50" s="4">
        <f t="shared" si="4"/>
        <v>0</v>
      </c>
      <c r="R50" s="4">
        <f>Q50+'5'!R50</f>
        <v>0</v>
      </c>
      <c r="S50" s="27" t="e">
        <f t="shared" si="5"/>
        <v>#DIV/0!</v>
      </c>
      <c r="T50" s="12"/>
      <c r="U50" s="12">
        <f>T50+'5'!U50</f>
        <v>0</v>
      </c>
      <c r="V50" s="12"/>
      <c r="W50" s="12">
        <f>V50+'5'!W50</f>
        <v>0</v>
      </c>
      <c r="X50" s="12"/>
      <c r="Y50" s="12">
        <f>X50+'5'!Y50</f>
        <v>0</v>
      </c>
      <c r="AB50" s="5">
        <v>40</v>
      </c>
      <c r="AC50" s="26">
        <f>'5'!AC50</f>
        <v>0</v>
      </c>
      <c r="AD50" s="28">
        <f>'5'!AI50</f>
        <v>0</v>
      </c>
      <c r="AE50" s="3"/>
      <c r="AF50" s="28">
        <f>AE50+'5'!AF50</f>
        <v>0</v>
      </c>
      <c r="AG50" s="4"/>
      <c r="AH50" s="28">
        <f>AG50+'5'!AH50</f>
        <v>0</v>
      </c>
      <c r="AI50" s="4">
        <f t="shared" si="6"/>
        <v>0</v>
      </c>
      <c r="AJ50" s="11" t="e">
        <f t="shared" si="0"/>
        <v>#DIV/0!</v>
      </c>
      <c r="AK50" s="53" t="e">
        <f t="shared" si="1"/>
        <v>#DIV/0!</v>
      </c>
      <c r="AW50" s="26">
        <f>'5'!AW50</f>
        <v>0</v>
      </c>
      <c r="AX50" s="12">
        <f>'5'!AX50</f>
        <v>0</v>
      </c>
      <c r="AY50" s="12">
        <f>'5'!AY50</f>
        <v>0</v>
      </c>
      <c r="AZ50" s="12"/>
      <c r="BA50" s="12"/>
      <c r="BB50" s="12">
        <f>BA50+'5'!BB50</f>
        <v>0</v>
      </c>
      <c r="BC50" s="30" t="e">
        <f t="shared" si="2"/>
        <v>#DIV/0!</v>
      </c>
      <c r="BD50" s="12">
        <f>'5'!BD50</f>
        <v>0</v>
      </c>
      <c r="BE50" s="12">
        <f>'5'!BE50</f>
        <v>0</v>
      </c>
      <c r="BF50" s="12"/>
      <c r="BG50" s="12"/>
      <c r="BH50" s="12">
        <f>BG50+'5'!BH50</f>
        <v>0</v>
      </c>
      <c r="BI50" s="30" t="e">
        <f t="shared" si="3"/>
        <v>#DIV/0!</v>
      </c>
    </row>
    <row r="51" spans="1:61" ht="25.5" thickBot="1" x14ac:dyDescent="0.4">
      <c r="A51" s="321" t="s">
        <v>26</v>
      </c>
      <c r="B51" s="321"/>
      <c r="C51" s="35">
        <f>SUM(C11:C50)</f>
        <v>97446</v>
      </c>
      <c r="D51" s="35">
        <f>SUM(D11:D50)</f>
        <v>0</v>
      </c>
      <c r="E51" s="6">
        <f>SUM(E11:E50)</f>
        <v>0</v>
      </c>
      <c r="F51" s="6">
        <f>SUM(F11:F50)</f>
        <v>533</v>
      </c>
      <c r="G51" s="6">
        <f t="shared" ref="G51:R51" si="8">SUM(G11:G50)</f>
        <v>0</v>
      </c>
      <c r="H51" s="6">
        <f t="shared" si="8"/>
        <v>14954</v>
      </c>
      <c r="I51" s="6">
        <f t="shared" si="8"/>
        <v>0</v>
      </c>
      <c r="J51" s="6">
        <f t="shared" si="8"/>
        <v>37926</v>
      </c>
      <c r="K51" s="6">
        <f t="shared" si="8"/>
        <v>0</v>
      </c>
      <c r="L51" s="6">
        <f t="shared" si="8"/>
        <v>0</v>
      </c>
      <c r="M51" s="6">
        <f t="shared" si="8"/>
        <v>0</v>
      </c>
      <c r="N51" s="6">
        <f t="shared" si="8"/>
        <v>0</v>
      </c>
      <c r="O51" s="6">
        <f t="shared" si="8"/>
        <v>0</v>
      </c>
      <c r="P51" s="6">
        <f t="shared" si="8"/>
        <v>0</v>
      </c>
      <c r="Q51" s="6">
        <f t="shared" si="8"/>
        <v>0</v>
      </c>
      <c r="R51" s="6">
        <f t="shared" si="8"/>
        <v>53413</v>
      </c>
      <c r="S51" s="10">
        <f>R51/C51</f>
        <v>0.54812922028610722</v>
      </c>
      <c r="T51" s="23">
        <f t="shared" ref="T51:Y51" si="9">SUM(T11:T50)</f>
        <v>0</v>
      </c>
      <c r="U51" s="23">
        <f t="shared" si="9"/>
        <v>7532</v>
      </c>
      <c r="V51" s="23">
        <f t="shared" si="9"/>
        <v>0</v>
      </c>
      <c r="W51" s="23">
        <f t="shared" si="9"/>
        <v>1107</v>
      </c>
      <c r="X51" s="23">
        <f t="shared" si="9"/>
        <v>0</v>
      </c>
      <c r="Y51" s="23">
        <f t="shared" si="9"/>
        <v>2</v>
      </c>
      <c r="AB51" s="37" t="s">
        <v>29</v>
      </c>
      <c r="AC51" s="37"/>
      <c r="AD51" s="34">
        <f t="shared" ref="AD51:AI51" si="10">SUM(AD11:AD50)</f>
        <v>3133</v>
      </c>
      <c r="AE51" s="23">
        <f t="shared" si="10"/>
        <v>0</v>
      </c>
      <c r="AF51" s="14">
        <f t="shared" si="10"/>
        <v>8632</v>
      </c>
      <c r="AG51" s="14">
        <f t="shared" si="10"/>
        <v>0</v>
      </c>
      <c r="AH51" s="14">
        <f t="shared" si="10"/>
        <v>5499</v>
      </c>
      <c r="AI51" s="14">
        <f t="shared" si="10"/>
        <v>3133</v>
      </c>
      <c r="AJ51" s="11" t="e">
        <f t="shared" si="0"/>
        <v>#DIV/0!</v>
      </c>
      <c r="AK51" s="53">
        <f t="shared" si="1"/>
        <v>9.713220585561011</v>
      </c>
      <c r="AW51" s="33" t="s">
        <v>26</v>
      </c>
      <c r="AX51" s="13">
        <f>SUM(AX11:AX50)</f>
        <v>121</v>
      </c>
      <c r="AY51" s="13">
        <f>SUM(AY11:AY50)</f>
        <v>50910</v>
      </c>
      <c r="AZ51" s="13">
        <f>SUM(AZ11:AZ50)</f>
        <v>0</v>
      </c>
      <c r="BA51" s="13">
        <f>SUM(BA11:BA50)</f>
        <v>0</v>
      </c>
      <c r="BB51" s="13">
        <f>SUM(BB11:BB50)</f>
        <v>39924</v>
      </c>
      <c r="BC51" s="31">
        <f t="shared" si="2"/>
        <v>0.78420742486741313</v>
      </c>
      <c r="BD51" s="32">
        <f>SUM(BD11:BD50)</f>
        <v>241</v>
      </c>
      <c r="BE51" s="32">
        <f>SUM(BE11:BE50)</f>
        <v>14990</v>
      </c>
      <c r="BF51" s="32">
        <f>SUM(BF11:BF50)</f>
        <v>0</v>
      </c>
      <c r="BG51" s="32">
        <f>SUM(BG11:BG50)</f>
        <v>0</v>
      </c>
      <c r="BH51" s="32">
        <f>SUM(BH11:BH50)</f>
        <v>9274</v>
      </c>
      <c r="BI51" s="31">
        <f t="shared" si="3"/>
        <v>0.61867911941294196</v>
      </c>
    </row>
    <row r="52" spans="1:61" ht="17.5" x14ac:dyDescent="0.35">
      <c r="AB52" s="36"/>
      <c r="AC52" s="36"/>
      <c r="AD52" s="36"/>
      <c r="AE52" s="36"/>
      <c r="AF52" s="40"/>
      <c r="AG52" s="40"/>
      <c r="AH52" s="40"/>
      <c r="AI52" s="41"/>
      <c r="AJ52" s="15"/>
      <c r="AK52" s="15"/>
    </row>
    <row r="54" spans="1:61" ht="18.5" x14ac:dyDescent="0.45">
      <c r="G54" s="322" t="s">
        <v>36</v>
      </c>
      <c r="H54" s="322"/>
      <c r="I54" s="322"/>
      <c r="J54" s="322"/>
      <c r="K54" s="322"/>
      <c r="L54" s="322"/>
      <c r="M54" s="322"/>
      <c r="N54" s="322"/>
      <c r="O54" s="322"/>
      <c r="P54" s="322"/>
      <c r="Q54" s="322"/>
      <c r="R54" s="322"/>
      <c r="S54" s="322"/>
      <c r="AB54" s="313" t="s">
        <v>44</v>
      </c>
      <c r="AC54" s="313"/>
      <c r="AD54" s="313"/>
      <c r="AE54" s="313"/>
      <c r="AF54" s="313"/>
      <c r="AG54" s="313"/>
      <c r="AH54" s="313"/>
      <c r="AI54" s="313"/>
      <c r="AJ54" s="313"/>
      <c r="AK54" s="313"/>
      <c r="AL54" s="313"/>
      <c r="AM54" s="313"/>
      <c r="AN54" s="313"/>
    </row>
    <row r="55" spans="1:61" ht="18.5" x14ac:dyDescent="0.45">
      <c r="AX55" s="313" t="s">
        <v>44</v>
      </c>
      <c r="AY55" s="313"/>
      <c r="AZ55" s="313"/>
      <c r="BA55" s="313"/>
      <c r="BB55" s="313"/>
      <c r="BC55" s="313"/>
      <c r="BD55" s="313"/>
      <c r="BE55" s="313"/>
      <c r="BF55" s="313"/>
      <c r="BG55" s="313"/>
      <c r="BH55" s="313"/>
      <c r="BI55" s="313"/>
    </row>
    <row r="56" spans="1:61" ht="15.5" x14ac:dyDescent="0.35">
      <c r="AG56" s="38"/>
      <c r="AH56" s="38"/>
      <c r="AI56" s="38"/>
    </row>
  </sheetData>
  <mergeCells count="56">
    <mergeCell ref="A6:Y6"/>
    <mergeCell ref="AF6:AN6"/>
    <mergeCell ref="AY6:BI6"/>
    <mergeCell ref="A7:Y7"/>
    <mergeCell ref="A8:A10"/>
    <mergeCell ref="B8:B10"/>
    <mergeCell ref="C8:C10"/>
    <mergeCell ref="D8:D10"/>
    <mergeCell ref="E8:J8"/>
    <mergeCell ref="K8:P8"/>
    <mergeCell ref="Q8:R9"/>
    <mergeCell ref="S8:S10"/>
    <mergeCell ref="T8:U9"/>
    <mergeCell ref="V8:W9"/>
    <mergeCell ref="X8:Y9"/>
    <mergeCell ref="AB8:AB10"/>
    <mergeCell ref="AN8:AN9"/>
    <mergeCell ref="AO8:AO9"/>
    <mergeCell ref="AP8:AQ8"/>
    <mergeCell ref="AR8:AS8"/>
    <mergeCell ref="AC8:AC10"/>
    <mergeCell ref="AD8:AD10"/>
    <mergeCell ref="AE8:AF9"/>
    <mergeCell ref="AG8:AH9"/>
    <mergeCell ref="AI8:AI10"/>
    <mergeCell ref="AJ8:AJ10"/>
    <mergeCell ref="AW8:AW10"/>
    <mergeCell ref="AX8:BC8"/>
    <mergeCell ref="BD8:BI8"/>
    <mergeCell ref="E9:F9"/>
    <mergeCell ref="G9:H9"/>
    <mergeCell ref="I9:J9"/>
    <mergeCell ref="K9:L9"/>
    <mergeCell ref="M9:N9"/>
    <mergeCell ref="AK8:AK10"/>
    <mergeCell ref="AM8:AM13"/>
    <mergeCell ref="BF9:BF10"/>
    <mergeCell ref="BG9:BG10"/>
    <mergeCell ref="BH9:BH10"/>
    <mergeCell ref="O9:P9"/>
    <mergeCell ref="AX9:AX10"/>
    <mergeCell ref="AY9:AY10"/>
    <mergeCell ref="AZ9:AZ10"/>
    <mergeCell ref="BA9:BA10"/>
    <mergeCell ref="BB9:BB10"/>
    <mergeCell ref="AT8:AT9"/>
    <mergeCell ref="AX55:BI55"/>
    <mergeCell ref="BI9:BI10"/>
    <mergeCell ref="AM14:AN14"/>
    <mergeCell ref="AO14:AS14"/>
    <mergeCell ref="A51:B51"/>
    <mergeCell ref="G54:S54"/>
    <mergeCell ref="AB54:AN54"/>
    <mergeCell ref="BC9:BC10"/>
    <mergeCell ref="BD9:BD10"/>
    <mergeCell ref="BE9:BE10"/>
  </mergeCells>
  <pageMargins left="0.7" right="0.7" top="0.75" bottom="0.75" header="0.3" footer="0.3"/>
  <pageSetup paperSize="9" scale="17" orientation="landscape" r:id="rId1"/>
  <colBreaks count="2" manualBreakCount="2">
    <brk id="26" max="55" man="1"/>
    <brk id="47" max="5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D63AA-F485-4DC4-BFC4-1561FC171AEA}">
  <dimension ref="A1:BJ56"/>
  <sheetViews>
    <sheetView rightToLeft="1" view="pageBreakPreview" topLeftCell="AA1" zoomScale="55" zoomScaleNormal="29" zoomScalePageLayoutView="40" workbookViewId="0">
      <selection activeCell="AP16" sqref="AP16"/>
    </sheetView>
  </sheetViews>
  <sheetFormatPr defaultRowHeight="14.5" x14ac:dyDescent="0.35"/>
  <cols>
    <col min="1" max="1" width="11.26953125" style="1" customWidth="1"/>
    <col min="2" max="4" width="18.7265625" style="1" customWidth="1"/>
    <col min="5" max="6" width="15.26953125" customWidth="1"/>
    <col min="7" max="7" width="18.453125" customWidth="1"/>
    <col min="8" max="8" width="16.81640625" customWidth="1"/>
    <col min="9" max="9" width="15.26953125" customWidth="1"/>
    <col min="10" max="10" width="15.54296875" customWidth="1"/>
    <col min="11" max="23" width="15.26953125" customWidth="1"/>
    <col min="24" max="25" width="12.54296875" customWidth="1"/>
    <col min="27" max="27" width="19.1796875" customWidth="1"/>
    <col min="28" max="30" width="15.26953125" customWidth="1"/>
    <col min="31" max="32" width="13.7265625" customWidth="1"/>
    <col min="33" max="33" width="14.1796875" customWidth="1"/>
    <col min="34" max="34" width="13" customWidth="1"/>
    <col min="35" max="35" width="18.26953125" customWidth="1"/>
    <col min="36" max="40" width="15" customWidth="1"/>
    <col min="41" max="41" width="16.7265625" customWidth="1"/>
    <col min="42" max="42" width="18" customWidth="1"/>
    <col min="43" max="46" width="15" customWidth="1"/>
    <col min="47" max="47" width="14" style="1" customWidth="1"/>
    <col min="49" max="49" width="15.1796875" customWidth="1"/>
    <col min="50" max="50" width="22.26953125" customWidth="1"/>
    <col min="51" max="51" width="16.26953125" customWidth="1"/>
    <col min="52" max="52" width="13.453125" customWidth="1"/>
    <col min="53" max="53" width="14" customWidth="1"/>
    <col min="54" max="54" width="11.7265625" customWidth="1"/>
    <col min="55" max="55" width="14.26953125" customWidth="1"/>
    <col min="56" max="56" width="17.7265625" customWidth="1"/>
    <col min="57" max="57" width="22.453125" customWidth="1"/>
    <col min="58" max="58" width="17.7265625" customWidth="1"/>
    <col min="59" max="59" width="11.7265625" customWidth="1"/>
    <col min="60" max="60" width="16.81640625" customWidth="1"/>
    <col min="61" max="61" width="12.81640625" customWidth="1"/>
    <col min="62" max="62" width="15.26953125" customWidth="1"/>
  </cols>
  <sheetData>
    <row r="1" spans="1:62" s="21" customFormat="1" ht="23.5" x14ac:dyDescent="0.55000000000000004">
      <c r="A1" s="22" t="s">
        <v>0</v>
      </c>
      <c r="B1" s="22"/>
      <c r="C1" s="22"/>
      <c r="D1" s="18"/>
      <c r="E1" s="18"/>
      <c r="F1" s="18"/>
      <c r="G1" s="18"/>
      <c r="H1" s="18"/>
      <c r="I1" s="18"/>
      <c r="J1" s="18"/>
      <c r="K1" s="18"/>
      <c r="L1" s="18"/>
      <c r="M1" s="18"/>
      <c r="N1" s="19"/>
      <c r="O1" s="19"/>
      <c r="P1" s="18"/>
      <c r="Q1" s="18"/>
      <c r="R1" s="18"/>
      <c r="S1" s="18"/>
      <c r="T1" s="18"/>
      <c r="U1" s="18"/>
      <c r="V1" s="18"/>
      <c r="W1" s="18"/>
      <c r="X1" s="18"/>
      <c r="Y1" s="18"/>
      <c r="AA1" s="29"/>
      <c r="AB1" s="22" t="s">
        <v>0</v>
      </c>
      <c r="AC1" s="22"/>
      <c r="AD1" s="29"/>
      <c r="AE1" s="29"/>
      <c r="AF1" s="29"/>
      <c r="AU1" s="54"/>
      <c r="AW1" s="22" t="s">
        <v>0</v>
      </c>
      <c r="AX1" s="22"/>
      <c r="AY1" s="22"/>
      <c r="AZ1" s="18"/>
      <c r="BA1" s="18"/>
      <c r="BB1" s="18"/>
      <c r="BC1" s="18"/>
      <c r="BD1" s="18"/>
      <c r="BE1" s="20"/>
      <c r="BF1" s="19"/>
      <c r="BI1" s="29"/>
      <c r="BJ1" s="29"/>
    </row>
    <row r="2" spans="1:62" s="21" customFormat="1" ht="23.5" x14ac:dyDescent="0.55000000000000004">
      <c r="A2" s="22" t="s">
        <v>21</v>
      </c>
      <c r="B2" s="22"/>
      <c r="C2" s="22"/>
      <c r="D2" s="18"/>
      <c r="E2" s="18"/>
      <c r="F2" s="18"/>
      <c r="G2" s="18"/>
      <c r="H2" s="18"/>
      <c r="I2" s="18"/>
      <c r="J2" s="18"/>
      <c r="K2" s="18"/>
      <c r="L2" s="18"/>
      <c r="M2" s="18"/>
      <c r="N2" s="19"/>
      <c r="O2" s="19"/>
      <c r="P2" s="18"/>
      <c r="Q2" s="18"/>
      <c r="R2" s="18"/>
      <c r="S2" s="18"/>
      <c r="T2" s="18"/>
      <c r="U2" s="18"/>
      <c r="V2" s="18"/>
      <c r="W2" s="18"/>
      <c r="X2" s="18"/>
      <c r="Y2" s="18"/>
      <c r="AA2" s="29"/>
      <c r="AB2" s="22" t="s">
        <v>21</v>
      </c>
      <c r="AC2" s="22"/>
      <c r="AD2" s="29"/>
      <c r="AE2" s="29"/>
      <c r="AF2" s="29"/>
      <c r="AU2" s="54"/>
      <c r="AW2" s="22" t="s">
        <v>21</v>
      </c>
      <c r="AX2" s="22"/>
      <c r="AY2" s="22"/>
      <c r="AZ2" s="18"/>
      <c r="BA2" s="18"/>
      <c r="BB2" s="18"/>
      <c r="BC2" s="18"/>
      <c r="BD2" s="18"/>
      <c r="BE2" s="20"/>
      <c r="BF2" s="19"/>
      <c r="BI2" s="29"/>
      <c r="BJ2" s="29"/>
    </row>
    <row r="3" spans="1:62" s="21" customFormat="1" ht="23.5" x14ac:dyDescent="0.55000000000000004">
      <c r="A3" s="22" t="s">
        <v>22</v>
      </c>
      <c r="B3" s="22"/>
      <c r="C3" s="22"/>
      <c r="D3" s="18"/>
      <c r="E3" s="18"/>
      <c r="F3" s="18"/>
      <c r="G3" s="18"/>
      <c r="H3" s="18"/>
      <c r="I3" s="18"/>
      <c r="J3" s="18"/>
      <c r="K3" s="18"/>
      <c r="L3" s="18"/>
      <c r="M3" s="18"/>
      <c r="N3" s="19"/>
      <c r="O3" s="19"/>
      <c r="P3" s="18"/>
      <c r="Q3" s="18"/>
      <c r="R3" s="18"/>
      <c r="S3" s="18"/>
      <c r="T3" s="18"/>
      <c r="U3" s="18"/>
      <c r="V3" s="18"/>
      <c r="W3" s="18"/>
      <c r="X3" s="18"/>
      <c r="Y3" s="18"/>
      <c r="AA3" s="29"/>
      <c r="AB3" s="22" t="s">
        <v>22</v>
      </c>
      <c r="AC3" s="22"/>
      <c r="AD3" s="29"/>
      <c r="AE3" s="29"/>
      <c r="AF3" s="29"/>
      <c r="AU3" s="54"/>
      <c r="AW3" s="22" t="s">
        <v>22</v>
      </c>
      <c r="AX3" s="22"/>
      <c r="AY3" s="22"/>
      <c r="AZ3" s="18"/>
      <c r="BA3" s="18"/>
      <c r="BB3" s="18"/>
      <c r="BC3" s="18"/>
      <c r="BD3" s="18"/>
      <c r="BE3" s="20"/>
      <c r="BF3" s="19"/>
      <c r="BI3" s="29"/>
      <c r="BJ3" s="29"/>
    </row>
    <row r="4" spans="1:62" s="21" customFormat="1" ht="23.5" x14ac:dyDescent="0.55000000000000004">
      <c r="A4" s="22" t="s">
        <v>23</v>
      </c>
      <c r="B4" s="22"/>
      <c r="C4" s="22"/>
      <c r="D4" s="19"/>
      <c r="E4" s="20"/>
      <c r="F4" s="20"/>
      <c r="G4" s="20"/>
      <c r="H4" s="20"/>
      <c r="I4" s="18"/>
      <c r="J4" s="18"/>
      <c r="K4" s="18"/>
      <c r="L4" s="18"/>
      <c r="M4" s="18"/>
      <c r="N4" s="19"/>
      <c r="O4" s="19"/>
      <c r="P4" s="18"/>
      <c r="Q4" s="18"/>
      <c r="R4" s="18"/>
      <c r="S4" s="18"/>
      <c r="T4" s="18"/>
      <c r="U4" s="18"/>
      <c r="V4" s="18"/>
      <c r="W4" s="18"/>
      <c r="X4" s="18"/>
      <c r="Y4" s="18"/>
      <c r="AB4" s="22" t="s">
        <v>23</v>
      </c>
      <c r="AC4" s="22"/>
      <c r="AU4" s="54"/>
      <c r="AW4" s="22" t="s">
        <v>23</v>
      </c>
      <c r="AX4" s="22"/>
      <c r="AY4" s="22"/>
      <c r="AZ4" s="19"/>
      <c r="BA4" s="18"/>
      <c r="BB4" s="18"/>
      <c r="BC4" s="18"/>
      <c r="BD4" s="18"/>
      <c r="BE4" s="20"/>
      <c r="BF4" s="19"/>
    </row>
    <row r="5" spans="1:62" s="21" customFormat="1" ht="23.5" x14ac:dyDescent="0.55000000000000004">
      <c r="A5" s="22" t="s">
        <v>1</v>
      </c>
      <c r="B5" s="22"/>
      <c r="C5" s="22"/>
      <c r="D5" s="19"/>
      <c r="E5" s="18"/>
      <c r="F5" s="18"/>
      <c r="G5" s="18"/>
      <c r="H5" s="18"/>
      <c r="I5" s="18"/>
      <c r="J5" s="18"/>
      <c r="K5" s="18"/>
      <c r="L5" s="18"/>
      <c r="M5" s="18"/>
      <c r="N5" s="19"/>
      <c r="O5" s="19"/>
      <c r="P5" s="18"/>
      <c r="Q5" s="18"/>
      <c r="R5" s="18"/>
      <c r="S5" s="18"/>
      <c r="T5" s="18"/>
      <c r="U5" s="18"/>
      <c r="V5" s="18"/>
      <c r="W5" s="18"/>
      <c r="X5" s="18"/>
      <c r="Y5" s="18"/>
      <c r="AB5" s="22" t="s">
        <v>1</v>
      </c>
      <c r="AC5" s="22"/>
      <c r="AU5" s="54"/>
      <c r="AW5" s="22" t="s">
        <v>1</v>
      </c>
      <c r="AX5" s="22"/>
      <c r="AY5" s="22"/>
      <c r="AZ5" s="19"/>
      <c r="BA5" s="18"/>
      <c r="BB5" s="18"/>
      <c r="BC5" s="18"/>
      <c r="BD5" s="18"/>
      <c r="BE5" s="20"/>
      <c r="BF5" s="19"/>
    </row>
    <row r="6" spans="1:62" ht="20" x14ac:dyDescent="0.4">
      <c r="A6" s="362" t="s">
        <v>18</v>
      </c>
      <c r="B6" s="362"/>
      <c r="C6" s="362"/>
      <c r="D6" s="362"/>
      <c r="E6" s="362"/>
      <c r="F6" s="362"/>
      <c r="G6" s="362"/>
      <c r="H6" s="362"/>
      <c r="I6" s="362"/>
      <c r="J6" s="362"/>
      <c r="K6" s="362"/>
      <c r="L6" s="362"/>
      <c r="M6" s="362"/>
      <c r="N6" s="362"/>
      <c r="O6" s="362"/>
      <c r="P6" s="362"/>
      <c r="Q6" s="362"/>
      <c r="R6" s="362"/>
      <c r="S6" s="362"/>
      <c r="T6" s="362"/>
      <c r="U6" s="362"/>
      <c r="V6" s="362"/>
      <c r="W6" s="362"/>
      <c r="X6" s="362"/>
      <c r="Y6" s="362"/>
      <c r="AF6" s="362" t="s">
        <v>16</v>
      </c>
      <c r="AG6" s="362"/>
      <c r="AH6" s="362"/>
      <c r="AI6" s="362"/>
      <c r="AJ6" s="362"/>
      <c r="AK6" s="362"/>
      <c r="AL6" s="362"/>
      <c r="AM6" s="362"/>
      <c r="AN6" s="362"/>
      <c r="AO6" s="24"/>
      <c r="AP6" s="24"/>
      <c r="AQ6" s="24"/>
      <c r="AR6" s="24"/>
      <c r="AS6" s="24"/>
      <c r="AT6" s="24"/>
      <c r="AY6" s="362" t="s">
        <v>30</v>
      </c>
      <c r="AZ6" s="362"/>
      <c r="BA6" s="362"/>
      <c r="BB6" s="362"/>
      <c r="BC6" s="362"/>
      <c r="BD6" s="362"/>
      <c r="BE6" s="362"/>
      <c r="BF6" s="362"/>
      <c r="BG6" s="362"/>
      <c r="BH6" s="362"/>
      <c r="BI6" s="362"/>
    </row>
    <row r="7" spans="1:62" ht="20.5" thickBot="1" x14ac:dyDescent="0.45">
      <c r="A7" s="363" t="s">
        <v>27</v>
      </c>
      <c r="B7" s="364"/>
      <c r="C7" s="364"/>
      <c r="D7" s="364"/>
      <c r="E7" s="363"/>
      <c r="F7" s="363"/>
      <c r="G7" s="363"/>
      <c r="H7" s="363"/>
      <c r="I7" s="363"/>
      <c r="J7" s="363"/>
      <c r="K7" s="363"/>
      <c r="L7" s="363"/>
      <c r="M7" s="363"/>
      <c r="N7" s="363"/>
      <c r="O7" s="363"/>
      <c r="P7" s="363"/>
      <c r="Q7" s="363"/>
      <c r="R7" s="363"/>
      <c r="S7" s="363"/>
      <c r="T7" s="364"/>
      <c r="U7" s="364"/>
      <c r="V7" s="364"/>
      <c r="W7" s="364"/>
      <c r="X7" s="364"/>
      <c r="Y7" s="364"/>
      <c r="AJ7" s="25" t="s">
        <v>31</v>
      </c>
      <c r="AK7" s="25"/>
      <c r="AL7" s="25"/>
      <c r="AN7" s="25"/>
      <c r="AO7" s="25"/>
      <c r="AP7" s="25"/>
      <c r="AQ7" s="25"/>
      <c r="AS7" s="25"/>
      <c r="AT7" s="25"/>
      <c r="BC7" s="25" t="s">
        <v>31</v>
      </c>
      <c r="BD7" s="25"/>
      <c r="BF7" s="25"/>
      <c r="BG7" s="25"/>
      <c r="BH7" s="25"/>
      <c r="BI7" s="25"/>
      <c r="BJ7" s="25"/>
    </row>
    <row r="8" spans="1:62" ht="41.5" customHeight="1" x14ac:dyDescent="0.35">
      <c r="A8" s="326" t="s">
        <v>24</v>
      </c>
      <c r="B8" s="365" t="s">
        <v>25</v>
      </c>
      <c r="C8" s="366" t="s">
        <v>11</v>
      </c>
      <c r="D8" s="366" t="s">
        <v>15</v>
      </c>
      <c r="E8" s="330" t="s">
        <v>5</v>
      </c>
      <c r="F8" s="330"/>
      <c r="G8" s="330"/>
      <c r="H8" s="330"/>
      <c r="I8" s="330"/>
      <c r="J8" s="330"/>
      <c r="K8" s="330" t="s">
        <v>7</v>
      </c>
      <c r="L8" s="330"/>
      <c r="M8" s="330"/>
      <c r="N8" s="330"/>
      <c r="O8" s="330"/>
      <c r="P8" s="330"/>
      <c r="Q8" s="356" t="s">
        <v>2</v>
      </c>
      <c r="R8" s="350"/>
      <c r="S8" s="358" t="s">
        <v>12</v>
      </c>
      <c r="T8" s="323" t="s">
        <v>8</v>
      </c>
      <c r="U8" s="323"/>
      <c r="V8" s="323" t="s">
        <v>9</v>
      </c>
      <c r="W8" s="323"/>
      <c r="X8" s="323" t="s">
        <v>20</v>
      </c>
      <c r="Y8" s="323"/>
      <c r="AB8" s="326" t="s">
        <v>24</v>
      </c>
      <c r="AC8" s="342" t="s">
        <v>28</v>
      </c>
      <c r="AD8" s="342" t="s">
        <v>14</v>
      </c>
      <c r="AE8" s="345" t="s">
        <v>45</v>
      </c>
      <c r="AF8" s="346"/>
      <c r="AG8" s="349" t="s">
        <v>10</v>
      </c>
      <c r="AH8" s="350"/>
      <c r="AI8" s="353" t="s">
        <v>46</v>
      </c>
      <c r="AJ8" s="336" t="s">
        <v>51</v>
      </c>
      <c r="AK8" s="336" t="s">
        <v>47</v>
      </c>
      <c r="AM8" s="339" t="s">
        <v>41</v>
      </c>
      <c r="AN8" s="341" t="s">
        <v>38</v>
      </c>
      <c r="AO8" s="341" t="s">
        <v>14</v>
      </c>
      <c r="AP8" s="341" t="s">
        <v>39</v>
      </c>
      <c r="AQ8" s="341"/>
      <c r="AR8" s="341" t="s">
        <v>50</v>
      </c>
      <c r="AS8" s="341"/>
      <c r="AT8" s="324" t="s">
        <v>40</v>
      </c>
      <c r="AU8" s="55"/>
      <c r="AW8" s="326" t="s">
        <v>28</v>
      </c>
      <c r="AX8" s="329" t="s">
        <v>48</v>
      </c>
      <c r="AY8" s="330"/>
      <c r="AZ8" s="330"/>
      <c r="BA8" s="330"/>
      <c r="BB8" s="330"/>
      <c r="BC8" s="331"/>
      <c r="BD8" s="332" t="s">
        <v>49</v>
      </c>
      <c r="BE8" s="330"/>
      <c r="BF8" s="330"/>
      <c r="BG8" s="330"/>
      <c r="BH8" s="330"/>
      <c r="BI8" s="331"/>
    </row>
    <row r="9" spans="1:62" ht="19.149999999999999" customHeight="1" x14ac:dyDescent="0.35">
      <c r="A9" s="327"/>
      <c r="B9" s="365"/>
      <c r="C9" s="366"/>
      <c r="D9" s="366"/>
      <c r="E9" s="333" t="s">
        <v>6</v>
      </c>
      <c r="F9" s="334"/>
      <c r="G9" s="335" t="s">
        <v>13</v>
      </c>
      <c r="H9" s="334"/>
      <c r="I9" s="323" t="s">
        <v>19</v>
      </c>
      <c r="J9" s="323"/>
      <c r="K9" s="333" t="s">
        <v>6</v>
      </c>
      <c r="L9" s="334"/>
      <c r="M9" s="335" t="s">
        <v>13</v>
      </c>
      <c r="N9" s="334"/>
      <c r="O9" s="323" t="s">
        <v>19</v>
      </c>
      <c r="P9" s="323"/>
      <c r="Q9" s="357"/>
      <c r="R9" s="352"/>
      <c r="S9" s="359"/>
      <c r="T9" s="323"/>
      <c r="U9" s="323"/>
      <c r="V9" s="323"/>
      <c r="W9" s="323"/>
      <c r="X9" s="323"/>
      <c r="Y9" s="323"/>
      <c r="AB9" s="327"/>
      <c r="AC9" s="343"/>
      <c r="AD9" s="343"/>
      <c r="AE9" s="347"/>
      <c r="AF9" s="348"/>
      <c r="AG9" s="351"/>
      <c r="AH9" s="352"/>
      <c r="AI9" s="354"/>
      <c r="AJ9" s="337"/>
      <c r="AK9" s="337"/>
      <c r="AM9" s="340"/>
      <c r="AN9" s="323"/>
      <c r="AO9" s="323"/>
      <c r="AP9" s="8" t="s">
        <v>3</v>
      </c>
      <c r="AQ9" s="8" t="s">
        <v>4</v>
      </c>
      <c r="AR9" s="43" t="s">
        <v>3</v>
      </c>
      <c r="AS9" s="43" t="s">
        <v>4</v>
      </c>
      <c r="AT9" s="325"/>
      <c r="AU9" s="55"/>
      <c r="AW9" s="327"/>
      <c r="AX9" s="314" t="s">
        <v>17</v>
      </c>
      <c r="AY9" s="314" t="s">
        <v>11</v>
      </c>
      <c r="AZ9" s="314" t="s">
        <v>32</v>
      </c>
      <c r="BA9" s="314" t="s">
        <v>37</v>
      </c>
      <c r="BB9" s="314" t="s">
        <v>34</v>
      </c>
      <c r="BC9" s="314" t="s">
        <v>12</v>
      </c>
      <c r="BD9" s="314" t="s">
        <v>33</v>
      </c>
      <c r="BE9" s="314" t="s">
        <v>11</v>
      </c>
      <c r="BF9" s="314" t="s">
        <v>35</v>
      </c>
      <c r="BG9" s="314" t="s">
        <v>37</v>
      </c>
      <c r="BH9" s="314" t="s">
        <v>34</v>
      </c>
      <c r="BI9" s="314" t="s">
        <v>12</v>
      </c>
    </row>
    <row r="10" spans="1:62" ht="53.5" customHeight="1" thickBot="1" x14ac:dyDescent="0.4">
      <c r="A10" s="328"/>
      <c r="B10" s="365"/>
      <c r="C10" s="366"/>
      <c r="D10" s="366"/>
      <c r="E10" s="7" t="s">
        <v>3</v>
      </c>
      <c r="F10" s="8" t="s">
        <v>4</v>
      </c>
      <c r="G10" s="7" t="s">
        <v>3</v>
      </c>
      <c r="H10" s="8" t="s">
        <v>4</v>
      </c>
      <c r="I10" s="8" t="s">
        <v>3</v>
      </c>
      <c r="J10" s="8" t="s">
        <v>4</v>
      </c>
      <c r="K10" s="7" t="s">
        <v>3</v>
      </c>
      <c r="L10" s="8" t="s">
        <v>4</v>
      </c>
      <c r="M10" s="7" t="s">
        <v>3</v>
      </c>
      <c r="N10" s="8" t="s">
        <v>4</v>
      </c>
      <c r="O10" s="8" t="s">
        <v>3</v>
      </c>
      <c r="P10" s="8" t="s">
        <v>4</v>
      </c>
      <c r="Q10" s="9" t="s">
        <v>3</v>
      </c>
      <c r="R10" s="9" t="s">
        <v>4</v>
      </c>
      <c r="S10" s="360"/>
      <c r="T10" s="8" t="s">
        <v>3</v>
      </c>
      <c r="U10" s="8" t="s">
        <v>4</v>
      </c>
      <c r="V10" s="8" t="s">
        <v>3</v>
      </c>
      <c r="W10" s="8" t="s">
        <v>4</v>
      </c>
      <c r="X10" s="8" t="s">
        <v>3</v>
      </c>
      <c r="Y10" s="8" t="s">
        <v>4</v>
      </c>
      <c r="AB10" s="361"/>
      <c r="AC10" s="344"/>
      <c r="AD10" s="344"/>
      <c r="AE10" s="49" t="s">
        <v>3</v>
      </c>
      <c r="AF10" s="50" t="s">
        <v>4</v>
      </c>
      <c r="AG10" s="51" t="s">
        <v>3</v>
      </c>
      <c r="AH10" s="52" t="s">
        <v>4</v>
      </c>
      <c r="AI10" s="355"/>
      <c r="AJ10" s="338"/>
      <c r="AK10" s="338"/>
      <c r="AM10" s="340"/>
      <c r="AN10" s="42" t="str">
        <f>'6'!AN10</f>
        <v>0124W120</v>
      </c>
      <c r="AO10" s="42">
        <f>'6'!AT10</f>
        <v>48</v>
      </c>
      <c r="AP10" s="42"/>
      <c r="AQ10" s="17">
        <f>AP10+'6'!AQ10</f>
        <v>73</v>
      </c>
      <c r="AR10" s="17"/>
      <c r="AS10" s="17">
        <f>AR10+'6'!AS10</f>
        <v>25</v>
      </c>
      <c r="AT10" s="44">
        <f>AO10+AP10-AR10</f>
        <v>48</v>
      </c>
      <c r="AU10" s="56"/>
      <c r="AW10" s="328"/>
      <c r="AX10" s="315"/>
      <c r="AY10" s="315"/>
      <c r="AZ10" s="315"/>
      <c r="BA10" s="315"/>
      <c r="BB10" s="315"/>
      <c r="BC10" s="315"/>
      <c r="BD10" s="315"/>
      <c r="BE10" s="315"/>
      <c r="BF10" s="315"/>
      <c r="BG10" s="315"/>
      <c r="BH10" s="315"/>
      <c r="BI10" s="315"/>
    </row>
    <row r="11" spans="1:62" ht="41.5" customHeight="1" x14ac:dyDescent="0.35">
      <c r="A11" s="5">
        <v>1</v>
      </c>
      <c r="B11" s="26" t="str">
        <f>'6'!B11</f>
        <v>مكتب الصحة</v>
      </c>
      <c r="C11" s="26">
        <f>'6'!C11</f>
        <v>12251</v>
      </c>
      <c r="D11" s="26"/>
      <c r="E11" s="12"/>
      <c r="F11" s="2">
        <f>E11+'6'!F11</f>
        <v>39</v>
      </c>
      <c r="G11" s="2"/>
      <c r="H11" s="2">
        <f>G11+'6'!H11</f>
        <v>1961</v>
      </c>
      <c r="I11" s="2"/>
      <c r="J11" s="2">
        <f>I11+'6'!J11</f>
        <v>5340</v>
      </c>
      <c r="K11" s="2"/>
      <c r="L11" s="2">
        <f>K11+'6'!L11</f>
        <v>0</v>
      </c>
      <c r="M11" s="2"/>
      <c r="N11" s="2">
        <f>M11+'6'!N11</f>
        <v>0</v>
      </c>
      <c r="O11" s="2"/>
      <c r="P11" s="2">
        <f>O11+'6'!P11</f>
        <v>0</v>
      </c>
      <c r="Q11" s="4">
        <f>O11+M11+K11+I11+G11+E11</f>
        <v>0</v>
      </c>
      <c r="R11" s="4">
        <f>Q11+'6'!R11</f>
        <v>7340</v>
      </c>
      <c r="S11" s="27">
        <f>R11/C11</f>
        <v>0.5991347645090197</v>
      </c>
      <c r="T11" s="12"/>
      <c r="U11" s="12">
        <f>T11+'6'!U11</f>
        <v>1397</v>
      </c>
      <c r="V11" s="12"/>
      <c r="W11" s="12">
        <f>V11+'6'!W11</f>
        <v>4</v>
      </c>
      <c r="X11" s="12"/>
      <c r="Y11" s="12">
        <f>X11+'6'!Y11</f>
        <v>1</v>
      </c>
      <c r="AB11" s="48">
        <v>1</v>
      </c>
      <c r="AC11" s="26" t="str">
        <f>'6'!AC11</f>
        <v>مكتب الصحة</v>
      </c>
      <c r="AD11" s="28">
        <f>'6'!AI11</f>
        <v>333</v>
      </c>
      <c r="AE11" s="3"/>
      <c r="AF11" s="28">
        <f>AE11+'6'!AF11</f>
        <v>1082</v>
      </c>
      <c r="AG11" s="4"/>
      <c r="AH11" s="28">
        <f>AG11+'6'!AH11</f>
        <v>749</v>
      </c>
      <c r="AI11" s="4">
        <f>AD11+AE11-AG11</f>
        <v>333</v>
      </c>
      <c r="AJ11" s="11" t="e">
        <f t="shared" ref="AJ11:AJ51" si="0">Q11/AG11</f>
        <v>#DIV/0!</v>
      </c>
      <c r="AK11" s="53">
        <f t="shared" ref="AK11:AK51" si="1">R11/AH11</f>
        <v>9.799732977303071</v>
      </c>
      <c r="AM11" s="340"/>
      <c r="AN11" s="42" t="str">
        <f>'6'!AN11</f>
        <v>420604325A</v>
      </c>
      <c r="AO11" s="42">
        <f>'6'!AT11</f>
        <v>3076</v>
      </c>
      <c r="AP11" s="16"/>
      <c r="AQ11" s="17">
        <f>AP11+'6'!AQ11</f>
        <v>8550</v>
      </c>
      <c r="AR11" s="16"/>
      <c r="AS11" s="17">
        <f>AR11+'6'!AS11</f>
        <v>5474</v>
      </c>
      <c r="AT11" s="44">
        <f>AO11+AP11-AR11</f>
        <v>3076</v>
      </c>
      <c r="AU11" s="56"/>
      <c r="AW11" s="26" t="str">
        <f>'6'!AW11</f>
        <v>مكتب الصحة</v>
      </c>
      <c r="AX11" s="12">
        <f>'6'!AX11</f>
        <v>11</v>
      </c>
      <c r="AY11" s="12">
        <f>'6'!AY11</f>
        <v>8411</v>
      </c>
      <c r="AZ11" s="12"/>
      <c r="BA11" s="12"/>
      <c r="BB11" s="12">
        <f>BA11+'6'!BB11</f>
        <v>5998</v>
      </c>
      <c r="BC11" s="30">
        <f t="shared" ref="BC11:BC51" si="2">BB11/AY11</f>
        <v>0.71311377957436695</v>
      </c>
      <c r="BD11" s="12">
        <f>'6'!BD11</f>
        <v>27</v>
      </c>
      <c r="BE11" s="12">
        <f>'6'!BE11</f>
        <v>1746</v>
      </c>
      <c r="BF11" s="12"/>
      <c r="BG11" s="12"/>
      <c r="BH11" s="12">
        <f>BG11+'6'!BH11</f>
        <v>477</v>
      </c>
      <c r="BI11" s="30">
        <f t="shared" ref="BI11:BI51" si="3">BH11/BE11</f>
        <v>0.27319587628865977</v>
      </c>
    </row>
    <row r="12" spans="1:62" ht="41.5" customHeight="1" x14ac:dyDescent="0.35">
      <c r="A12" s="5">
        <v>2</v>
      </c>
      <c r="B12" s="26" t="str">
        <f>'6'!B12</f>
        <v>شبرابخـــــــــــوم</v>
      </c>
      <c r="C12" s="26">
        <f>'6'!C12</f>
        <v>4445</v>
      </c>
      <c r="D12" s="26"/>
      <c r="E12" s="12"/>
      <c r="F12" s="2">
        <f>E12+'6'!F12</f>
        <v>14</v>
      </c>
      <c r="G12" s="2"/>
      <c r="H12" s="2">
        <f>G12+'6'!H12</f>
        <v>392</v>
      </c>
      <c r="I12" s="2"/>
      <c r="J12" s="2">
        <f>I12+'6'!J12</f>
        <v>1857</v>
      </c>
      <c r="K12" s="2"/>
      <c r="L12" s="2">
        <f>K12+'6'!L12</f>
        <v>0</v>
      </c>
      <c r="M12" s="2"/>
      <c r="N12" s="2">
        <f>M12+'6'!N12</f>
        <v>0</v>
      </c>
      <c r="O12" s="2"/>
      <c r="P12" s="2">
        <f>O12+'6'!P12</f>
        <v>0</v>
      </c>
      <c r="Q12" s="4">
        <f t="shared" ref="Q12:Q50" si="4">O12+M12+K12+I12+G12+E12</f>
        <v>0</v>
      </c>
      <c r="R12" s="4">
        <f>Q12+'6'!R12</f>
        <v>2263</v>
      </c>
      <c r="S12" s="27">
        <f t="shared" ref="S12:S50" si="5">R12/C12</f>
        <v>0.50911136107986499</v>
      </c>
      <c r="T12" s="12"/>
      <c r="U12" s="12">
        <f>T12+'6'!U12</f>
        <v>373</v>
      </c>
      <c r="V12" s="12"/>
      <c r="W12" s="12">
        <f>V12+'6'!W12</f>
        <v>15</v>
      </c>
      <c r="X12" s="12"/>
      <c r="Y12" s="12">
        <f>X12+'6'!Y12</f>
        <v>0</v>
      </c>
      <c r="AB12" s="5">
        <v>2</v>
      </c>
      <c r="AC12" s="26" t="str">
        <f>'6'!AC12</f>
        <v>شبرابخـــــــــــوم</v>
      </c>
      <c r="AD12" s="28">
        <f>'6'!AI12</f>
        <v>158</v>
      </c>
      <c r="AE12" s="3"/>
      <c r="AF12" s="28">
        <f>AE12+'6'!AF12</f>
        <v>390</v>
      </c>
      <c r="AG12" s="4"/>
      <c r="AH12" s="28">
        <f>AG12+'6'!AH12</f>
        <v>232</v>
      </c>
      <c r="AI12" s="4">
        <f>AD12+AE12-AG12</f>
        <v>158</v>
      </c>
      <c r="AJ12" s="11" t="e">
        <f t="shared" si="0"/>
        <v>#DIV/0!</v>
      </c>
      <c r="AK12" s="53">
        <f t="shared" si="1"/>
        <v>9.7543103448275854</v>
      </c>
      <c r="AM12" s="340"/>
      <c r="AN12" s="42" t="str">
        <f>'6'!AN12</f>
        <v>420604225A</v>
      </c>
      <c r="AO12" s="42">
        <f>'6'!AT12</f>
        <v>100</v>
      </c>
      <c r="AP12" s="16"/>
      <c r="AQ12" s="17">
        <f>AP12+'6'!AQ12</f>
        <v>100</v>
      </c>
      <c r="AR12" s="16"/>
      <c r="AS12" s="17">
        <f>AR12+'6'!AS12</f>
        <v>0</v>
      </c>
      <c r="AT12" s="44">
        <f>AO12+AP12-AR12</f>
        <v>100</v>
      </c>
      <c r="AU12" s="56"/>
      <c r="AW12" s="26" t="str">
        <f>'6'!AW12</f>
        <v>شبرابخـــــــــــوم</v>
      </c>
      <c r="AX12" s="12">
        <f>'6'!AX12</f>
        <v>6</v>
      </c>
      <c r="AY12" s="12">
        <f>'6'!AY12</f>
        <v>2215</v>
      </c>
      <c r="AZ12" s="12"/>
      <c r="BA12" s="12"/>
      <c r="BB12" s="12">
        <f>BA12+'6'!BB12</f>
        <v>2306</v>
      </c>
      <c r="BC12" s="30">
        <f t="shared" si="2"/>
        <v>1.0410835214446952</v>
      </c>
      <c r="BD12" s="12">
        <f>'6'!BD12</f>
        <v>16</v>
      </c>
      <c r="BE12" s="12">
        <f>'6'!BE12</f>
        <v>729</v>
      </c>
      <c r="BF12" s="12"/>
      <c r="BG12" s="12"/>
      <c r="BH12" s="12">
        <f>BG12+'6'!BH12</f>
        <v>224</v>
      </c>
      <c r="BI12" s="30">
        <f t="shared" si="3"/>
        <v>0.30727023319615915</v>
      </c>
    </row>
    <row r="13" spans="1:62" ht="41.5" customHeight="1" x14ac:dyDescent="0.35">
      <c r="A13" s="5">
        <v>3</v>
      </c>
      <c r="B13" s="26" t="str">
        <f>'6'!B13</f>
        <v>ميت بره</v>
      </c>
      <c r="C13" s="26">
        <f>'6'!C13</f>
        <v>11614</v>
      </c>
      <c r="D13" s="26"/>
      <c r="E13" s="12"/>
      <c r="F13" s="2">
        <f>E13+'6'!F13</f>
        <v>45</v>
      </c>
      <c r="G13" s="2"/>
      <c r="H13" s="2">
        <f>G13+'6'!H13</f>
        <v>465</v>
      </c>
      <c r="I13" s="2"/>
      <c r="J13" s="2">
        <f>I13+'6'!J13</f>
        <v>3703</v>
      </c>
      <c r="K13" s="2"/>
      <c r="L13" s="2">
        <f>K13+'6'!L13</f>
        <v>0</v>
      </c>
      <c r="M13" s="2"/>
      <c r="N13" s="2">
        <f>M13+'6'!N13</f>
        <v>0</v>
      </c>
      <c r="O13" s="2"/>
      <c r="P13" s="2">
        <f>O13+'6'!P13</f>
        <v>0</v>
      </c>
      <c r="Q13" s="4">
        <f t="shared" si="4"/>
        <v>0</v>
      </c>
      <c r="R13" s="4">
        <f>Q13+'6'!R13</f>
        <v>4213</v>
      </c>
      <c r="S13" s="27">
        <f t="shared" si="5"/>
        <v>0.36275185121405201</v>
      </c>
      <c r="T13" s="12"/>
      <c r="U13" s="12">
        <f>T13+'6'!U13</f>
        <v>641</v>
      </c>
      <c r="V13" s="12"/>
      <c r="W13" s="12">
        <f>V13+'6'!W13</f>
        <v>0</v>
      </c>
      <c r="X13" s="12"/>
      <c r="Y13" s="12">
        <f>X13+'6'!Y13</f>
        <v>0</v>
      </c>
      <c r="AB13" s="5">
        <v>3</v>
      </c>
      <c r="AC13" s="26" t="str">
        <f>'6'!AC13</f>
        <v>ميت بره</v>
      </c>
      <c r="AD13" s="28">
        <f>'6'!AI13</f>
        <v>584</v>
      </c>
      <c r="AE13" s="3"/>
      <c r="AF13" s="28">
        <f>AE13+'6'!AF13</f>
        <v>1020</v>
      </c>
      <c r="AG13" s="4"/>
      <c r="AH13" s="28">
        <f>AG13+'6'!AH13</f>
        <v>436</v>
      </c>
      <c r="AI13" s="4">
        <f t="shared" ref="AI13:AI50" si="6">AD13+AE13-AG13</f>
        <v>584</v>
      </c>
      <c r="AJ13" s="11" t="e">
        <f t="shared" si="0"/>
        <v>#DIV/0!</v>
      </c>
      <c r="AK13" s="53">
        <f t="shared" si="1"/>
        <v>9.6628440366972477</v>
      </c>
      <c r="AM13" s="340"/>
      <c r="AN13" s="46" t="s">
        <v>43</v>
      </c>
      <c r="AO13" s="45">
        <f t="shared" ref="AO13:AT13" si="7">SUM(AO10:AO12)</f>
        <v>3224</v>
      </c>
      <c r="AP13" s="45">
        <f t="shared" si="7"/>
        <v>0</v>
      </c>
      <c r="AQ13" s="45">
        <f t="shared" si="7"/>
        <v>8723</v>
      </c>
      <c r="AR13" s="45">
        <f t="shared" si="7"/>
        <v>0</v>
      </c>
      <c r="AS13" s="45">
        <f t="shared" si="7"/>
        <v>5499</v>
      </c>
      <c r="AT13" s="47">
        <f t="shared" si="7"/>
        <v>3224</v>
      </c>
      <c r="AU13" s="56"/>
      <c r="AW13" s="26" t="str">
        <f>'6'!AW13</f>
        <v>ميت بره</v>
      </c>
      <c r="AX13" s="12">
        <f>'6'!AX13</f>
        <v>8</v>
      </c>
      <c r="AY13" s="12">
        <f>'6'!AY13</f>
        <v>4849</v>
      </c>
      <c r="AZ13" s="12"/>
      <c r="BA13" s="12"/>
      <c r="BB13" s="12">
        <f>BA13+'6'!BB13</f>
        <v>4093</v>
      </c>
      <c r="BC13" s="30">
        <f t="shared" si="2"/>
        <v>0.84409156527118989</v>
      </c>
      <c r="BD13" s="12">
        <f>'6'!BD13</f>
        <v>21</v>
      </c>
      <c r="BE13" s="12">
        <f>'6'!BE13</f>
        <v>1129</v>
      </c>
      <c r="BF13" s="12"/>
      <c r="BG13" s="12"/>
      <c r="BH13" s="12">
        <f>BG13+'6'!BH13</f>
        <v>128</v>
      </c>
      <c r="BI13" s="30">
        <f t="shared" si="3"/>
        <v>0.11337466784765279</v>
      </c>
    </row>
    <row r="14" spans="1:62" ht="41.5" customHeight="1" thickBot="1" x14ac:dyDescent="0.4">
      <c r="A14" s="5">
        <v>4</v>
      </c>
      <c r="B14" s="26" t="str">
        <f>'6'!B14</f>
        <v>أبنــــــــــــــــهس</v>
      </c>
      <c r="C14" s="26">
        <f>'6'!C14</f>
        <v>5029</v>
      </c>
      <c r="D14" s="26"/>
      <c r="E14" s="12"/>
      <c r="F14" s="2">
        <f>E14+'6'!F14</f>
        <v>14</v>
      </c>
      <c r="G14" s="2"/>
      <c r="H14" s="2">
        <f>G14+'6'!H14</f>
        <v>349</v>
      </c>
      <c r="I14" s="2"/>
      <c r="J14" s="2">
        <f>I14+'6'!J14</f>
        <v>2016</v>
      </c>
      <c r="K14" s="2"/>
      <c r="L14" s="2">
        <f>K14+'6'!L14</f>
        <v>0</v>
      </c>
      <c r="M14" s="2"/>
      <c r="N14" s="2">
        <f>M14+'6'!N14</f>
        <v>0</v>
      </c>
      <c r="O14" s="2"/>
      <c r="P14" s="2">
        <f>O14+'6'!P14</f>
        <v>0</v>
      </c>
      <c r="Q14" s="4">
        <f t="shared" si="4"/>
        <v>0</v>
      </c>
      <c r="R14" s="4">
        <f>Q14+'6'!R14</f>
        <v>2379</v>
      </c>
      <c r="S14" s="27">
        <f t="shared" si="5"/>
        <v>0.47305627361304436</v>
      </c>
      <c r="T14" s="12"/>
      <c r="U14" s="12">
        <f>T14+'6'!U14</f>
        <v>341</v>
      </c>
      <c r="V14" s="12"/>
      <c r="W14" s="12">
        <f>V14+'6'!W14</f>
        <v>29</v>
      </c>
      <c r="X14" s="12"/>
      <c r="Y14" s="12">
        <f>X14+'6'!Y14</f>
        <v>0</v>
      </c>
      <c r="AB14" s="5">
        <v>4</v>
      </c>
      <c r="AC14" s="26" t="str">
        <f>'6'!AC14</f>
        <v>أبنــــــــــــــــهس</v>
      </c>
      <c r="AD14" s="28">
        <f>'6'!AI14</f>
        <v>196</v>
      </c>
      <c r="AE14" s="3"/>
      <c r="AF14" s="28">
        <f>AE14+'6'!AF14</f>
        <v>440</v>
      </c>
      <c r="AG14" s="4"/>
      <c r="AH14" s="28">
        <f>AG14+'6'!AH14</f>
        <v>244</v>
      </c>
      <c r="AI14" s="4">
        <f t="shared" si="6"/>
        <v>196</v>
      </c>
      <c r="AJ14" s="11" t="e">
        <f t="shared" si="0"/>
        <v>#DIV/0!</v>
      </c>
      <c r="AK14" s="53">
        <f t="shared" si="1"/>
        <v>9.75</v>
      </c>
      <c r="AM14" s="316" t="s">
        <v>42</v>
      </c>
      <c r="AN14" s="317"/>
      <c r="AO14" s="318"/>
      <c r="AP14" s="319"/>
      <c r="AQ14" s="319"/>
      <c r="AR14" s="319"/>
      <c r="AS14" s="320"/>
      <c r="AT14" s="39">
        <f>AT13+AI51</f>
        <v>6357</v>
      </c>
      <c r="AU14" s="57"/>
      <c r="AW14" s="26" t="str">
        <f>'6'!AW14</f>
        <v>أبنــــــــــــــــهس</v>
      </c>
      <c r="AX14" s="12">
        <f>'6'!AX14</f>
        <v>7</v>
      </c>
      <c r="AY14" s="12">
        <f>'6'!AY14</f>
        <v>2531</v>
      </c>
      <c r="AZ14" s="12"/>
      <c r="BA14" s="12"/>
      <c r="BB14" s="12">
        <f>BA14+'6'!BB14</f>
        <v>2092</v>
      </c>
      <c r="BC14" s="30">
        <f t="shared" si="2"/>
        <v>0.82655077044646386</v>
      </c>
      <c r="BD14" s="12">
        <f>'6'!BD14</f>
        <v>23</v>
      </c>
      <c r="BE14" s="12">
        <f>'6'!BE14</f>
        <v>921</v>
      </c>
      <c r="BF14" s="12"/>
      <c r="BG14" s="12"/>
      <c r="BH14" s="12">
        <f>BG14+'6'!BH14</f>
        <v>287</v>
      </c>
      <c r="BI14" s="30">
        <f t="shared" si="3"/>
        <v>0.31161780673181327</v>
      </c>
    </row>
    <row r="15" spans="1:62" ht="41.5" customHeight="1" x14ac:dyDescent="0.35">
      <c r="A15" s="5">
        <v>5</v>
      </c>
      <c r="B15" s="26" t="str">
        <f>'6'!B15</f>
        <v>ميت ســـــــــراج</v>
      </c>
      <c r="C15" s="26">
        <f>'6'!C15</f>
        <v>2369</v>
      </c>
      <c r="D15" s="26"/>
      <c r="E15" s="12"/>
      <c r="F15" s="2">
        <f>E15+'6'!F15</f>
        <v>4</v>
      </c>
      <c r="G15" s="2"/>
      <c r="H15" s="2">
        <f>G15+'6'!H15</f>
        <v>472</v>
      </c>
      <c r="I15" s="2"/>
      <c r="J15" s="2">
        <f>I15+'6'!J15</f>
        <v>839</v>
      </c>
      <c r="K15" s="2"/>
      <c r="L15" s="2">
        <f>K15+'6'!L15</f>
        <v>0</v>
      </c>
      <c r="M15" s="2"/>
      <c r="N15" s="2">
        <f>M15+'6'!N15</f>
        <v>0</v>
      </c>
      <c r="O15" s="2"/>
      <c r="P15" s="2">
        <f>O15+'6'!P15</f>
        <v>0</v>
      </c>
      <c r="Q15" s="4">
        <f t="shared" si="4"/>
        <v>0</v>
      </c>
      <c r="R15" s="4">
        <f>Q15+'6'!R15</f>
        <v>1315</v>
      </c>
      <c r="S15" s="27">
        <f t="shared" si="5"/>
        <v>0.55508653440270161</v>
      </c>
      <c r="T15" s="12"/>
      <c r="U15" s="12">
        <f>T15+'6'!U15</f>
        <v>105</v>
      </c>
      <c r="V15" s="12"/>
      <c r="W15" s="12">
        <f>V15+'6'!W15</f>
        <v>37</v>
      </c>
      <c r="X15" s="12"/>
      <c r="Y15" s="12">
        <f>X15+'6'!Y15</f>
        <v>0</v>
      </c>
      <c r="AB15" s="5">
        <v>5</v>
      </c>
      <c r="AC15" s="26" t="str">
        <f>'6'!AC15</f>
        <v>ميت ســـــــــراج</v>
      </c>
      <c r="AD15" s="28">
        <f>'6'!AI15</f>
        <v>74</v>
      </c>
      <c r="AE15" s="3"/>
      <c r="AF15" s="28">
        <f>AE15+'6'!AF15</f>
        <v>209</v>
      </c>
      <c r="AG15" s="4"/>
      <c r="AH15" s="28">
        <f>AG15+'6'!AH15</f>
        <v>135</v>
      </c>
      <c r="AI15" s="4">
        <f t="shared" si="6"/>
        <v>74</v>
      </c>
      <c r="AJ15" s="11" t="e">
        <f t="shared" si="0"/>
        <v>#DIV/0!</v>
      </c>
      <c r="AK15" s="53">
        <f t="shared" si="1"/>
        <v>9.7407407407407405</v>
      </c>
      <c r="AW15" s="26" t="str">
        <f>'6'!AW15</f>
        <v>ميت ســـــــــراج</v>
      </c>
      <c r="AX15" s="12">
        <f>'6'!AX15</f>
        <v>2</v>
      </c>
      <c r="AY15" s="12">
        <f>'6'!AY15</f>
        <v>1041</v>
      </c>
      <c r="AZ15" s="12"/>
      <c r="BA15" s="12"/>
      <c r="BB15" s="12">
        <f>BA15+'6'!BB15</f>
        <v>874</v>
      </c>
      <c r="BC15" s="30">
        <f t="shared" si="2"/>
        <v>0.83957732949087416</v>
      </c>
      <c r="BD15" s="12">
        <f>'6'!BD15</f>
        <v>5</v>
      </c>
      <c r="BE15" s="12">
        <f>'6'!BE15</f>
        <v>310</v>
      </c>
      <c r="BF15" s="12"/>
      <c r="BG15" s="12"/>
      <c r="BH15" s="12">
        <f>BG15+'6'!BH15</f>
        <v>385</v>
      </c>
      <c r="BI15" s="30">
        <f t="shared" si="3"/>
        <v>1.2419354838709677</v>
      </c>
    </row>
    <row r="16" spans="1:62" ht="41.5" customHeight="1" x14ac:dyDescent="0.35">
      <c r="A16" s="5">
        <v>6</v>
      </c>
      <c r="B16" s="26" t="str">
        <f>'6'!B16</f>
        <v>أم خــــــــــــــنان</v>
      </c>
      <c r="C16" s="26">
        <f>'6'!C16</f>
        <v>4900</v>
      </c>
      <c r="D16" s="26"/>
      <c r="E16" s="12"/>
      <c r="F16" s="2">
        <f>E16+'6'!F16</f>
        <v>11</v>
      </c>
      <c r="G16" s="2"/>
      <c r="H16" s="2">
        <f>G16+'6'!H16</f>
        <v>280</v>
      </c>
      <c r="I16" s="2"/>
      <c r="J16" s="2">
        <f>I16+'6'!J16</f>
        <v>1942</v>
      </c>
      <c r="K16" s="2"/>
      <c r="L16" s="2">
        <f>K16+'6'!L16</f>
        <v>0</v>
      </c>
      <c r="M16" s="2"/>
      <c r="N16" s="2">
        <f>M16+'6'!N16</f>
        <v>0</v>
      </c>
      <c r="O16" s="2"/>
      <c r="P16" s="2">
        <f>O16+'6'!P16</f>
        <v>0</v>
      </c>
      <c r="Q16" s="4">
        <f t="shared" si="4"/>
        <v>0</v>
      </c>
      <c r="R16" s="4">
        <f>Q16+'6'!R16</f>
        <v>2233</v>
      </c>
      <c r="S16" s="27">
        <f t="shared" si="5"/>
        <v>0.45571428571428574</v>
      </c>
      <c r="T16" s="12"/>
      <c r="U16" s="12">
        <f>T16+'6'!U16</f>
        <v>375</v>
      </c>
      <c r="V16" s="12"/>
      <c r="W16" s="12">
        <f>V16+'6'!W16</f>
        <v>0</v>
      </c>
      <c r="X16" s="12"/>
      <c r="Y16" s="12">
        <f>X16+'6'!Y16</f>
        <v>0</v>
      </c>
      <c r="AB16" s="5">
        <v>6</v>
      </c>
      <c r="AC16" s="26" t="str">
        <f>'6'!AC16</f>
        <v>أم خــــــــــــــنان</v>
      </c>
      <c r="AD16" s="28">
        <f>'6'!AI16</f>
        <v>204</v>
      </c>
      <c r="AE16" s="3"/>
      <c r="AF16" s="28">
        <f>AE16+'6'!AF16</f>
        <v>430</v>
      </c>
      <c r="AG16" s="4"/>
      <c r="AH16" s="28">
        <f>AG16+'6'!AH16</f>
        <v>226</v>
      </c>
      <c r="AI16" s="4">
        <f t="shared" si="6"/>
        <v>204</v>
      </c>
      <c r="AJ16" s="11" t="e">
        <f t="shared" si="0"/>
        <v>#DIV/0!</v>
      </c>
      <c r="AK16" s="53">
        <f t="shared" si="1"/>
        <v>9.8805309734513269</v>
      </c>
      <c r="AW16" s="26" t="str">
        <f>'6'!AW16</f>
        <v>أم خــــــــــــــنان</v>
      </c>
      <c r="AX16" s="12">
        <f>'6'!AX16</f>
        <v>8</v>
      </c>
      <c r="AY16" s="12">
        <f>'6'!AY16</f>
        <v>2981</v>
      </c>
      <c r="AZ16" s="12"/>
      <c r="BA16" s="12"/>
      <c r="BB16" s="12">
        <f>BA16+'6'!BB16</f>
        <v>2132</v>
      </c>
      <c r="BC16" s="30">
        <f t="shared" si="2"/>
        <v>0.71519624287151962</v>
      </c>
      <c r="BD16" s="12">
        <f>'6'!BD16</f>
        <v>12</v>
      </c>
      <c r="BE16" s="12">
        <f>'6'!BE16</f>
        <v>1313</v>
      </c>
      <c r="BF16" s="12"/>
      <c r="BG16" s="12"/>
      <c r="BH16" s="12">
        <f>BG16+'6'!BH16</f>
        <v>0</v>
      </c>
      <c r="BI16" s="30">
        <f t="shared" si="3"/>
        <v>0</v>
      </c>
    </row>
    <row r="17" spans="1:61" ht="41.5" customHeight="1" x14ac:dyDescent="0.35">
      <c r="A17" s="5">
        <v>7</v>
      </c>
      <c r="B17" s="26" t="str">
        <f>'6'!B17</f>
        <v>أجهور الرمل</v>
      </c>
      <c r="C17" s="26">
        <f>'6'!C17</f>
        <v>3590</v>
      </c>
      <c r="D17" s="26"/>
      <c r="E17" s="12"/>
      <c r="F17" s="2">
        <f>E17+'6'!F17</f>
        <v>17</v>
      </c>
      <c r="G17" s="2"/>
      <c r="H17" s="2">
        <f>G17+'6'!H17</f>
        <v>591</v>
      </c>
      <c r="I17" s="2"/>
      <c r="J17" s="2">
        <f>I17+'6'!J17</f>
        <v>1489</v>
      </c>
      <c r="K17" s="2"/>
      <c r="L17" s="2">
        <f>K17+'6'!L17</f>
        <v>0</v>
      </c>
      <c r="M17" s="2"/>
      <c r="N17" s="2">
        <f>M17+'6'!N17</f>
        <v>0</v>
      </c>
      <c r="O17" s="2"/>
      <c r="P17" s="2">
        <f>O17+'6'!P17</f>
        <v>0</v>
      </c>
      <c r="Q17" s="4">
        <f t="shared" si="4"/>
        <v>0</v>
      </c>
      <c r="R17" s="4">
        <f>Q17+'6'!R17</f>
        <v>2097</v>
      </c>
      <c r="S17" s="27">
        <f t="shared" si="5"/>
        <v>0.58412256267409468</v>
      </c>
      <c r="T17" s="12"/>
      <c r="U17" s="12">
        <f>T17+'6'!U17</f>
        <v>360</v>
      </c>
      <c r="V17" s="12"/>
      <c r="W17" s="12">
        <f>V17+'6'!W17</f>
        <v>121</v>
      </c>
      <c r="X17" s="12"/>
      <c r="Y17" s="12">
        <f>X17+'6'!Y17</f>
        <v>0</v>
      </c>
      <c r="AB17" s="5">
        <v>7</v>
      </c>
      <c r="AC17" s="26" t="str">
        <f>'6'!AC17</f>
        <v>أجهور الرمل</v>
      </c>
      <c r="AD17" s="28">
        <f>'6'!AI17</f>
        <v>100</v>
      </c>
      <c r="AE17" s="3"/>
      <c r="AF17" s="28">
        <f>AE17+'6'!AF17</f>
        <v>316</v>
      </c>
      <c r="AG17" s="4"/>
      <c r="AH17" s="28">
        <f>AG17+'6'!AH17</f>
        <v>216</v>
      </c>
      <c r="AI17" s="4">
        <f t="shared" si="6"/>
        <v>100</v>
      </c>
      <c r="AJ17" s="11" t="e">
        <f t="shared" si="0"/>
        <v>#DIV/0!</v>
      </c>
      <c r="AK17" s="53">
        <f t="shared" si="1"/>
        <v>9.7083333333333339</v>
      </c>
      <c r="AW17" s="26" t="str">
        <f>'6'!AW17</f>
        <v>أجهور الرمل</v>
      </c>
      <c r="AX17" s="12">
        <f>'6'!AX17</f>
        <v>4</v>
      </c>
      <c r="AY17" s="12">
        <f>'6'!AY17</f>
        <v>1796</v>
      </c>
      <c r="AZ17" s="12"/>
      <c r="BA17" s="12"/>
      <c r="BB17" s="12">
        <f>BA17+'6'!BB17</f>
        <v>1422</v>
      </c>
      <c r="BC17" s="30">
        <f t="shared" si="2"/>
        <v>0.79175946547884191</v>
      </c>
      <c r="BD17" s="12">
        <f>'6'!BD17</f>
        <v>3</v>
      </c>
      <c r="BE17" s="12">
        <f>'6'!BE17</f>
        <v>100</v>
      </c>
      <c r="BF17" s="12"/>
      <c r="BG17" s="12"/>
      <c r="BH17" s="12">
        <f>BG17+'6'!BH17</f>
        <v>441</v>
      </c>
      <c r="BI17" s="30">
        <f t="shared" si="3"/>
        <v>4.41</v>
      </c>
    </row>
    <row r="18" spans="1:61" ht="41.5" customHeight="1" x14ac:dyDescent="0.35">
      <c r="A18" s="5">
        <v>8</v>
      </c>
      <c r="B18" s="26" t="str">
        <f>'6'!B18</f>
        <v>منشأة دمــــــــــلو</v>
      </c>
      <c r="C18" s="26">
        <f>'6'!C18</f>
        <v>1320</v>
      </c>
      <c r="D18" s="26"/>
      <c r="E18" s="12"/>
      <c r="F18" s="2">
        <f>E18+'6'!F18</f>
        <v>18</v>
      </c>
      <c r="G18" s="2"/>
      <c r="H18" s="2">
        <f>G18+'6'!H18</f>
        <v>528</v>
      </c>
      <c r="I18" s="2"/>
      <c r="J18" s="2">
        <f>I18+'6'!J18</f>
        <v>704</v>
      </c>
      <c r="K18" s="2"/>
      <c r="L18" s="2">
        <f>K18+'6'!L18</f>
        <v>0</v>
      </c>
      <c r="M18" s="2"/>
      <c r="N18" s="2">
        <f>M18+'6'!N18</f>
        <v>0</v>
      </c>
      <c r="O18" s="2"/>
      <c r="P18" s="2">
        <f>O18+'6'!P18</f>
        <v>0</v>
      </c>
      <c r="Q18" s="4">
        <f t="shared" si="4"/>
        <v>0</v>
      </c>
      <c r="R18" s="4">
        <f>Q18+'6'!R18</f>
        <v>1250</v>
      </c>
      <c r="S18" s="27">
        <f t="shared" si="5"/>
        <v>0.94696969696969702</v>
      </c>
      <c r="T18" s="12"/>
      <c r="U18" s="12">
        <f>T18+'6'!U18</f>
        <v>175</v>
      </c>
      <c r="V18" s="12"/>
      <c r="W18" s="12">
        <f>V18+'6'!W18</f>
        <v>38</v>
      </c>
      <c r="X18" s="12"/>
      <c r="Y18" s="12">
        <f>X18+'6'!Y18</f>
        <v>0</v>
      </c>
      <c r="AB18" s="5">
        <v>8</v>
      </c>
      <c r="AC18" s="26" t="str">
        <f>'6'!AC18</f>
        <v>منشأة دمــــــــــلو</v>
      </c>
      <c r="AD18" s="28">
        <f>'6'!AI18</f>
        <v>4</v>
      </c>
      <c r="AE18" s="3"/>
      <c r="AF18" s="28">
        <f>AE18+'6'!AF18</f>
        <v>135</v>
      </c>
      <c r="AG18" s="4"/>
      <c r="AH18" s="28">
        <f>AG18+'6'!AH18</f>
        <v>131</v>
      </c>
      <c r="AI18" s="4">
        <f t="shared" si="6"/>
        <v>4</v>
      </c>
      <c r="AJ18" s="11" t="e">
        <f t="shared" si="0"/>
        <v>#DIV/0!</v>
      </c>
      <c r="AK18" s="53">
        <f t="shared" si="1"/>
        <v>9.5419847328244281</v>
      </c>
      <c r="AW18" s="26" t="str">
        <f>'6'!AW18</f>
        <v>منشأة دمــــــــــلو</v>
      </c>
      <c r="AX18" s="12">
        <f>'6'!AX18</f>
        <v>2</v>
      </c>
      <c r="AY18" s="12">
        <f>'6'!AY18</f>
        <v>896</v>
      </c>
      <c r="AZ18" s="12"/>
      <c r="BA18" s="12"/>
      <c r="BB18" s="12">
        <f>BA18+'6'!BB18</f>
        <v>748</v>
      </c>
      <c r="BC18" s="30">
        <f t="shared" si="2"/>
        <v>0.8348214285714286</v>
      </c>
      <c r="BD18" s="12">
        <f>'6'!BD18</f>
        <v>8</v>
      </c>
      <c r="BE18" s="12">
        <f>'6'!BE18</f>
        <v>340</v>
      </c>
      <c r="BF18" s="12"/>
      <c r="BG18" s="12"/>
      <c r="BH18" s="12">
        <f>BG18+'6'!BH18</f>
        <v>328</v>
      </c>
      <c r="BI18" s="30">
        <f t="shared" si="3"/>
        <v>0.96470588235294119</v>
      </c>
    </row>
    <row r="19" spans="1:61" ht="41.5" customHeight="1" x14ac:dyDescent="0.35">
      <c r="A19" s="5">
        <v>9</v>
      </c>
      <c r="B19" s="26" t="str">
        <f>'6'!B19</f>
        <v>شـــــــــــــرانيس</v>
      </c>
      <c r="C19" s="26">
        <f>'6'!C19</f>
        <v>1414</v>
      </c>
      <c r="D19" s="26"/>
      <c r="E19" s="12"/>
      <c r="F19" s="2">
        <f>E19+'6'!F19</f>
        <v>11</v>
      </c>
      <c r="G19" s="2"/>
      <c r="H19" s="2">
        <f>G19+'6'!H19</f>
        <v>359</v>
      </c>
      <c r="I19" s="2"/>
      <c r="J19" s="2">
        <f>I19+'6'!J19</f>
        <v>618</v>
      </c>
      <c r="K19" s="2"/>
      <c r="L19" s="2">
        <f>K19+'6'!L19</f>
        <v>0</v>
      </c>
      <c r="M19" s="2"/>
      <c r="N19" s="2">
        <f>M19+'6'!N19</f>
        <v>0</v>
      </c>
      <c r="O19" s="2"/>
      <c r="P19" s="2">
        <f>O19+'6'!P19</f>
        <v>0</v>
      </c>
      <c r="Q19" s="4">
        <f t="shared" si="4"/>
        <v>0</v>
      </c>
      <c r="R19" s="4">
        <f>Q19+'6'!R19</f>
        <v>988</v>
      </c>
      <c r="S19" s="27">
        <f t="shared" si="5"/>
        <v>0.69872701555869876</v>
      </c>
      <c r="T19" s="12"/>
      <c r="U19" s="12">
        <f>T19+'6'!U19</f>
        <v>143</v>
      </c>
      <c r="V19" s="12"/>
      <c r="W19" s="12">
        <f>V19+'6'!W19</f>
        <v>0</v>
      </c>
      <c r="X19" s="12"/>
      <c r="Y19" s="12">
        <f>X19+'6'!Y19</f>
        <v>0</v>
      </c>
      <c r="AB19" s="5">
        <v>9</v>
      </c>
      <c r="AC19" s="26" t="str">
        <f>'6'!AC19</f>
        <v>شـــــــــــــرانيس</v>
      </c>
      <c r="AD19" s="28">
        <f>'6'!AI19</f>
        <v>22</v>
      </c>
      <c r="AE19" s="3"/>
      <c r="AF19" s="28">
        <f>AE19+'6'!AF19</f>
        <v>125</v>
      </c>
      <c r="AG19" s="4"/>
      <c r="AH19" s="28">
        <f>AG19+'6'!AH19</f>
        <v>103</v>
      </c>
      <c r="AI19" s="4">
        <f t="shared" si="6"/>
        <v>22</v>
      </c>
      <c r="AJ19" s="11" t="e">
        <f t="shared" si="0"/>
        <v>#DIV/0!</v>
      </c>
      <c r="AK19" s="53">
        <f t="shared" si="1"/>
        <v>9.5922330097087372</v>
      </c>
      <c r="AW19" s="26" t="str">
        <f>'6'!AW19</f>
        <v>شـــــــــــــرانيس</v>
      </c>
      <c r="AX19" s="12">
        <f>'6'!AX19</f>
        <v>2</v>
      </c>
      <c r="AY19" s="12">
        <f>'6'!AY19</f>
        <v>675</v>
      </c>
      <c r="AZ19" s="12"/>
      <c r="BA19" s="12"/>
      <c r="BB19" s="12">
        <f>BA19+'6'!BB19</f>
        <v>569</v>
      </c>
      <c r="BC19" s="30">
        <f t="shared" si="2"/>
        <v>0.84296296296296291</v>
      </c>
      <c r="BD19" s="12">
        <f>'6'!BD19</f>
        <v>2</v>
      </c>
      <c r="BE19" s="12">
        <f>'6'!BE19</f>
        <v>397</v>
      </c>
      <c r="BF19" s="12"/>
      <c r="BG19" s="12"/>
      <c r="BH19" s="12">
        <f>BG19+'6'!BH19</f>
        <v>349</v>
      </c>
      <c r="BI19" s="30">
        <f t="shared" si="3"/>
        <v>0.87909319899244331</v>
      </c>
    </row>
    <row r="20" spans="1:61" ht="41.5" customHeight="1" x14ac:dyDescent="0.35">
      <c r="A20" s="5">
        <v>10</v>
      </c>
      <c r="B20" s="26" t="str">
        <f>'6'!B20</f>
        <v>قويســـــــــنا البلد</v>
      </c>
      <c r="C20" s="26">
        <f>'6'!C20</f>
        <v>4115</v>
      </c>
      <c r="D20" s="26"/>
      <c r="E20" s="12"/>
      <c r="F20" s="2">
        <f>E20+'6'!F20</f>
        <v>27</v>
      </c>
      <c r="G20" s="2"/>
      <c r="H20" s="2">
        <f>G20+'6'!H20</f>
        <v>406</v>
      </c>
      <c r="I20" s="2"/>
      <c r="J20" s="2">
        <f>I20+'6'!J20</f>
        <v>1286</v>
      </c>
      <c r="K20" s="2"/>
      <c r="L20" s="2">
        <f>K20+'6'!L20</f>
        <v>0</v>
      </c>
      <c r="M20" s="2"/>
      <c r="N20" s="2">
        <f>M20+'6'!N20</f>
        <v>0</v>
      </c>
      <c r="O20" s="2"/>
      <c r="P20" s="2">
        <f>O20+'6'!P20</f>
        <v>0</v>
      </c>
      <c r="Q20" s="4">
        <f t="shared" si="4"/>
        <v>0</v>
      </c>
      <c r="R20" s="4">
        <f>Q20+'6'!R20</f>
        <v>1719</v>
      </c>
      <c r="S20" s="27">
        <f t="shared" si="5"/>
        <v>0.41773997569866345</v>
      </c>
      <c r="T20" s="12"/>
      <c r="U20" s="12">
        <f>T20+'6'!U20</f>
        <v>405</v>
      </c>
      <c r="V20" s="12"/>
      <c r="W20" s="12">
        <f>V20+'6'!W20</f>
        <v>144</v>
      </c>
      <c r="X20" s="12"/>
      <c r="Y20" s="12">
        <f>X20+'6'!Y20</f>
        <v>0</v>
      </c>
      <c r="AB20" s="5">
        <v>10</v>
      </c>
      <c r="AC20" s="26" t="str">
        <f>'6'!AC20</f>
        <v>قويســـــــــنا البلد</v>
      </c>
      <c r="AD20" s="28">
        <f>'6'!AI20</f>
        <v>185</v>
      </c>
      <c r="AE20" s="3"/>
      <c r="AF20" s="28">
        <f>AE20+'6'!AF20</f>
        <v>360</v>
      </c>
      <c r="AG20" s="4"/>
      <c r="AH20" s="28">
        <f>AG20+'6'!AH20</f>
        <v>175</v>
      </c>
      <c r="AI20" s="4">
        <f t="shared" si="6"/>
        <v>185</v>
      </c>
      <c r="AJ20" s="11" t="e">
        <f t="shared" si="0"/>
        <v>#DIV/0!</v>
      </c>
      <c r="AK20" s="53">
        <f t="shared" si="1"/>
        <v>9.8228571428571421</v>
      </c>
      <c r="AW20" s="26" t="str">
        <f>'6'!AW20</f>
        <v>قويســـــــــنا البلد</v>
      </c>
      <c r="AX20" s="12">
        <f>'6'!AX20</f>
        <v>2</v>
      </c>
      <c r="AY20" s="12">
        <f>'6'!AY20</f>
        <v>1539</v>
      </c>
      <c r="AZ20" s="12"/>
      <c r="BA20" s="12"/>
      <c r="BB20" s="12">
        <f>BA20+'6'!BB20</f>
        <v>1355</v>
      </c>
      <c r="BC20" s="30">
        <f t="shared" si="2"/>
        <v>0.88044184535412606</v>
      </c>
      <c r="BD20" s="12">
        <f>'6'!BD20</f>
        <v>7</v>
      </c>
      <c r="BE20" s="12">
        <f>'6'!BE20</f>
        <v>580</v>
      </c>
      <c r="BF20" s="12"/>
      <c r="BG20" s="12"/>
      <c r="BH20" s="12">
        <f>BG20+'6'!BH20</f>
        <v>204</v>
      </c>
      <c r="BI20" s="30">
        <f t="shared" si="3"/>
        <v>0.35172413793103446</v>
      </c>
    </row>
    <row r="21" spans="1:61" ht="41.5" customHeight="1" x14ac:dyDescent="0.35">
      <c r="A21" s="5">
        <v>11</v>
      </c>
      <c r="B21" s="26" t="str">
        <f>'6'!B21</f>
        <v>بجيرم</v>
      </c>
      <c r="C21" s="26">
        <f>'6'!C21</f>
        <v>1782</v>
      </c>
      <c r="D21" s="26"/>
      <c r="E21" s="12"/>
      <c r="F21" s="2">
        <f>E21+'6'!F21</f>
        <v>8</v>
      </c>
      <c r="G21" s="2"/>
      <c r="H21" s="2">
        <f>G21+'6'!H21</f>
        <v>406</v>
      </c>
      <c r="I21" s="2"/>
      <c r="J21" s="2">
        <f>I21+'6'!J21</f>
        <v>755</v>
      </c>
      <c r="K21" s="2"/>
      <c r="L21" s="2">
        <f>K21+'6'!L21</f>
        <v>0</v>
      </c>
      <c r="M21" s="2"/>
      <c r="N21" s="2">
        <f>M21+'6'!N21</f>
        <v>0</v>
      </c>
      <c r="O21" s="2"/>
      <c r="P21" s="2">
        <f>O21+'6'!P21</f>
        <v>0</v>
      </c>
      <c r="Q21" s="4">
        <f t="shared" si="4"/>
        <v>0</v>
      </c>
      <c r="R21" s="4">
        <f>Q21+'6'!R21</f>
        <v>1169</v>
      </c>
      <c r="S21" s="27">
        <f t="shared" si="5"/>
        <v>0.65600448933782263</v>
      </c>
      <c r="T21" s="12"/>
      <c r="U21" s="12">
        <f>T21+'6'!U21</f>
        <v>126</v>
      </c>
      <c r="V21" s="12"/>
      <c r="W21" s="12">
        <f>V21+'6'!W21</f>
        <v>44</v>
      </c>
      <c r="X21" s="12"/>
      <c r="Y21" s="12">
        <f>X21+'6'!Y21</f>
        <v>0</v>
      </c>
      <c r="AB21" s="5">
        <v>11</v>
      </c>
      <c r="AC21" s="26" t="str">
        <f>'6'!AC21</f>
        <v>بجيرم</v>
      </c>
      <c r="AD21" s="28">
        <f>'6'!AI21</f>
        <v>37</v>
      </c>
      <c r="AE21" s="3"/>
      <c r="AF21" s="28">
        <f>AE21+'6'!AF21</f>
        <v>157</v>
      </c>
      <c r="AG21" s="4"/>
      <c r="AH21" s="28">
        <f>AG21+'6'!AH21</f>
        <v>120</v>
      </c>
      <c r="AI21" s="4">
        <f t="shared" si="6"/>
        <v>37</v>
      </c>
      <c r="AJ21" s="11" t="e">
        <f t="shared" si="0"/>
        <v>#DIV/0!</v>
      </c>
      <c r="AK21" s="53">
        <f t="shared" si="1"/>
        <v>9.7416666666666671</v>
      </c>
      <c r="AW21" s="26" t="str">
        <f>'6'!AW21</f>
        <v>بجيرم</v>
      </c>
      <c r="AX21" s="12">
        <f>'6'!AX21</f>
        <v>4</v>
      </c>
      <c r="AY21" s="12">
        <f>'6'!AY21</f>
        <v>946</v>
      </c>
      <c r="AZ21" s="12"/>
      <c r="BA21" s="12"/>
      <c r="BB21" s="12">
        <f>BA21+'6'!BB21</f>
        <v>823</v>
      </c>
      <c r="BC21" s="30">
        <f t="shared" si="2"/>
        <v>0.86997885835095135</v>
      </c>
      <c r="BD21" s="12">
        <f>'6'!BD21</f>
        <v>4</v>
      </c>
      <c r="BE21" s="12">
        <f>'6'!BE21</f>
        <v>99</v>
      </c>
      <c r="BF21" s="12"/>
      <c r="BG21" s="12"/>
      <c r="BH21" s="12">
        <f>BG21+'6'!BH21</f>
        <v>99</v>
      </c>
      <c r="BI21" s="30">
        <f t="shared" si="3"/>
        <v>1</v>
      </c>
    </row>
    <row r="22" spans="1:61" ht="30" customHeight="1" x14ac:dyDescent="0.35">
      <c r="A22" s="5">
        <v>12</v>
      </c>
      <c r="B22" s="26" t="str">
        <f>'6'!B22</f>
        <v>كفر بنى غريـــان</v>
      </c>
      <c r="C22" s="26">
        <f>'6'!C22</f>
        <v>2184</v>
      </c>
      <c r="D22" s="26"/>
      <c r="E22" s="12"/>
      <c r="F22" s="2">
        <f>E22+'6'!F22</f>
        <v>12</v>
      </c>
      <c r="G22" s="2"/>
      <c r="H22" s="2">
        <f>G22+'6'!H22</f>
        <v>471</v>
      </c>
      <c r="I22" s="2"/>
      <c r="J22" s="2">
        <f>I22+'6'!J22</f>
        <v>971</v>
      </c>
      <c r="K22" s="2"/>
      <c r="L22" s="2">
        <f>K22+'6'!L22</f>
        <v>0</v>
      </c>
      <c r="M22" s="2"/>
      <c r="N22" s="2">
        <f>M22+'6'!N22</f>
        <v>0</v>
      </c>
      <c r="O22" s="2"/>
      <c r="P22" s="2">
        <f>O22+'6'!P22</f>
        <v>0</v>
      </c>
      <c r="Q22" s="4">
        <f t="shared" si="4"/>
        <v>0</v>
      </c>
      <c r="R22" s="4">
        <f>Q22+'6'!R22</f>
        <v>1454</v>
      </c>
      <c r="S22" s="27">
        <f t="shared" si="5"/>
        <v>0.66575091575091572</v>
      </c>
      <c r="T22" s="12"/>
      <c r="U22" s="12">
        <f>T22+'6'!U22</f>
        <v>174</v>
      </c>
      <c r="V22" s="12"/>
      <c r="W22" s="12">
        <f>V22+'6'!W22</f>
        <v>7</v>
      </c>
      <c r="X22" s="12"/>
      <c r="Y22" s="12">
        <f>X22+'6'!Y22</f>
        <v>0</v>
      </c>
      <c r="AB22" s="5">
        <v>12</v>
      </c>
      <c r="AC22" s="26" t="str">
        <f>'6'!AC22</f>
        <v>كفر بنى غريـــان</v>
      </c>
      <c r="AD22" s="28">
        <f>'6'!AI22</f>
        <v>42</v>
      </c>
      <c r="AE22" s="3"/>
      <c r="AF22" s="28">
        <f>AE22+'6'!AF22</f>
        <v>192</v>
      </c>
      <c r="AG22" s="4"/>
      <c r="AH22" s="28">
        <f>AG22+'6'!AH22</f>
        <v>150</v>
      </c>
      <c r="AI22" s="4">
        <f t="shared" si="6"/>
        <v>42</v>
      </c>
      <c r="AJ22" s="11" t="e">
        <f t="shared" si="0"/>
        <v>#DIV/0!</v>
      </c>
      <c r="AK22" s="53">
        <f t="shared" si="1"/>
        <v>9.6933333333333334</v>
      </c>
      <c r="AW22" s="26" t="str">
        <f>'6'!AW22</f>
        <v>كفر بنى غريـــان</v>
      </c>
      <c r="AX22" s="12">
        <f>'6'!AX22</f>
        <v>3</v>
      </c>
      <c r="AY22" s="12">
        <f>'6'!AY22</f>
        <v>1327</v>
      </c>
      <c r="AZ22" s="12"/>
      <c r="BA22" s="12"/>
      <c r="BB22" s="12">
        <f>BA22+'6'!BB22</f>
        <v>994</v>
      </c>
      <c r="BC22" s="30">
        <f t="shared" si="2"/>
        <v>0.74905802562170309</v>
      </c>
      <c r="BD22" s="12">
        <f>'6'!BD22</f>
        <v>9</v>
      </c>
      <c r="BE22" s="12">
        <f>'6'!BE22</f>
        <v>381</v>
      </c>
      <c r="BF22" s="12"/>
      <c r="BG22" s="12"/>
      <c r="BH22" s="12">
        <f>BG22+'6'!BH22</f>
        <v>387</v>
      </c>
      <c r="BI22" s="30">
        <f t="shared" si="3"/>
        <v>1.015748031496063</v>
      </c>
    </row>
    <row r="23" spans="1:61" ht="30" customHeight="1" x14ac:dyDescent="0.35">
      <c r="A23" s="5">
        <v>13</v>
      </c>
      <c r="B23" s="26" t="str">
        <f>'6'!B23</f>
        <v>بــقســـــــــــــــــا</v>
      </c>
      <c r="C23" s="26">
        <f>'6'!C23</f>
        <v>862</v>
      </c>
      <c r="D23" s="26"/>
      <c r="E23" s="12"/>
      <c r="F23" s="2">
        <f>E23+'6'!F23</f>
        <v>8</v>
      </c>
      <c r="G23" s="2"/>
      <c r="H23" s="2">
        <f>G23+'6'!H23</f>
        <v>160</v>
      </c>
      <c r="I23" s="2"/>
      <c r="J23" s="2">
        <f>I23+'6'!J23</f>
        <v>359</v>
      </c>
      <c r="K23" s="2"/>
      <c r="L23" s="2">
        <f>K23+'6'!L23</f>
        <v>0</v>
      </c>
      <c r="M23" s="2"/>
      <c r="N23" s="2">
        <f>M23+'6'!N23</f>
        <v>0</v>
      </c>
      <c r="O23" s="2"/>
      <c r="P23" s="2">
        <f>O23+'6'!P23</f>
        <v>0</v>
      </c>
      <c r="Q23" s="4">
        <f t="shared" si="4"/>
        <v>0</v>
      </c>
      <c r="R23" s="4">
        <f>Q23+'6'!R23</f>
        <v>527</v>
      </c>
      <c r="S23" s="27">
        <f t="shared" si="5"/>
        <v>0.61136890951276102</v>
      </c>
      <c r="T23" s="12"/>
      <c r="U23" s="12">
        <f>T23+'6'!U23</f>
        <v>36</v>
      </c>
      <c r="V23" s="12"/>
      <c r="W23" s="12">
        <f>V23+'6'!W23</f>
        <v>14</v>
      </c>
      <c r="X23" s="12"/>
      <c r="Y23" s="12">
        <f>X23+'6'!Y23</f>
        <v>0</v>
      </c>
      <c r="AB23" s="5">
        <v>13</v>
      </c>
      <c r="AC23" s="26" t="str">
        <f>'6'!AC23</f>
        <v>بــقســـــــــــــــــا</v>
      </c>
      <c r="AD23" s="28">
        <f>'6'!AI23</f>
        <v>22</v>
      </c>
      <c r="AE23" s="3"/>
      <c r="AF23" s="28">
        <f>AE23+'6'!AF23</f>
        <v>75</v>
      </c>
      <c r="AG23" s="4"/>
      <c r="AH23" s="28">
        <f>AG23+'6'!AH23</f>
        <v>53</v>
      </c>
      <c r="AI23" s="4">
        <f t="shared" si="6"/>
        <v>22</v>
      </c>
      <c r="AJ23" s="11" t="e">
        <f t="shared" si="0"/>
        <v>#DIV/0!</v>
      </c>
      <c r="AK23" s="53">
        <f t="shared" si="1"/>
        <v>9.9433962264150946</v>
      </c>
      <c r="AW23" s="26" t="str">
        <f>'6'!AW23</f>
        <v>بــقســـــــــــــــــا</v>
      </c>
      <c r="AX23" s="12">
        <f>'6'!AX23</f>
        <v>1</v>
      </c>
      <c r="AY23" s="12">
        <f>'6'!AY23</f>
        <v>311</v>
      </c>
      <c r="AZ23" s="12"/>
      <c r="BA23" s="12"/>
      <c r="BB23" s="12">
        <f>BA23+'6'!BB23</f>
        <v>297</v>
      </c>
      <c r="BC23" s="30">
        <f t="shared" si="2"/>
        <v>0.954983922829582</v>
      </c>
      <c r="BD23" s="12">
        <f>'6'!BD23</f>
        <v>1</v>
      </c>
      <c r="BE23" s="12">
        <f>'6'!BE23</f>
        <v>40</v>
      </c>
      <c r="BF23" s="12"/>
      <c r="BG23" s="12"/>
      <c r="BH23" s="12">
        <f>BG23+'6'!BH23</f>
        <v>30</v>
      </c>
      <c r="BI23" s="30">
        <f t="shared" si="3"/>
        <v>0.75</v>
      </c>
    </row>
    <row r="24" spans="1:61" ht="37.15" customHeight="1" x14ac:dyDescent="0.35">
      <c r="A24" s="5">
        <v>14</v>
      </c>
      <c r="B24" s="26" t="str">
        <f>'6'!B24</f>
        <v>كفــــــــر الأكرم</v>
      </c>
      <c r="C24" s="26">
        <f>'6'!C24</f>
        <v>918</v>
      </c>
      <c r="D24" s="26"/>
      <c r="E24" s="12"/>
      <c r="F24" s="2">
        <f>E24+'6'!F24</f>
        <v>3</v>
      </c>
      <c r="G24" s="2"/>
      <c r="H24" s="2">
        <f>G24+'6'!H24</f>
        <v>233</v>
      </c>
      <c r="I24" s="2"/>
      <c r="J24" s="2">
        <f>I24+'6'!J24</f>
        <v>392</v>
      </c>
      <c r="K24" s="2"/>
      <c r="L24" s="2">
        <f>K24+'6'!L24</f>
        <v>0</v>
      </c>
      <c r="M24" s="2"/>
      <c r="N24" s="2">
        <f>M24+'6'!N24</f>
        <v>0</v>
      </c>
      <c r="O24" s="2"/>
      <c r="P24" s="2">
        <f>O24+'6'!P24</f>
        <v>0</v>
      </c>
      <c r="Q24" s="4">
        <f t="shared" si="4"/>
        <v>0</v>
      </c>
      <c r="R24" s="4">
        <f>Q24+'6'!R24</f>
        <v>628</v>
      </c>
      <c r="S24" s="27">
        <f t="shared" si="5"/>
        <v>0.68409586056644878</v>
      </c>
      <c r="T24" s="12"/>
      <c r="U24" s="12">
        <f>T24+'6'!U24</f>
        <v>87</v>
      </c>
      <c r="V24" s="12"/>
      <c r="W24" s="12">
        <f>V24+'6'!W24</f>
        <v>9</v>
      </c>
      <c r="X24" s="12"/>
      <c r="Y24" s="12">
        <f>X24+'6'!Y24</f>
        <v>0</v>
      </c>
      <c r="AB24" s="5">
        <v>14</v>
      </c>
      <c r="AC24" s="26" t="str">
        <f>'6'!AC24</f>
        <v>كفــــــــر الأكرم</v>
      </c>
      <c r="AD24" s="28">
        <f>'6'!AI24</f>
        <v>15</v>
      </c>
      <c r="AE24" s="3"/>
      <c r="AF24" s="28">
        <f>AE24+'6'!AF24</f>
        <v>80</v>
      </c>
      <c r="AG24" s="4"/>
      <c r="AH24" s="28">
        <f>AG24+'6'!AH24</f>
        <v>65</v>
      </c>
      <c r="AI24" s="4">
        <f t="shared" si="6"/>
        <v>15</v>
      </c>
      <c r="AJ24" s="11" t="e">
        <f t="shared" si="0"/>
        <v>#DIV/0!</v>
      </c>
      <c r="AK24" s="53">
        <f t="shared" si="1"/>
        <v>9.661538461538461</v>
      </c>
      <c r="AW24" s="26" t="str">
        <f>'6'!AW24</f>
        <v>كفــــــــر الأكرم</v>
      </c>
      <c r="AX24" s="12">
        <f>'6'!AX24</f>
        <v>2</v>
      </c>
      <c r="AY24" s="12">
        <f>'6'!AY24</f>
        <v>540</v>
      </c>
      <c r="AZ24" s="12"/>
      <c r="BA24" s="12"/>
      <c r="BB24" s="12">
        <f>BA24+'6'!BB24</f>
        <v>380</v>
      </c>
      <c r="BC24" s="30">
        <f t="shared" si="2"/>
        <v>0.70370370370370372</v>
      </c>
      <c r="BD24" s="12">
        <f>'6'!BD24</f>
        <v>2</v>
      </c>
      <c r="BE24" s="12">
        <f>'6'!BE24</f>
        <v>115</v>
      </c>
      <c r="BF24" s="12"/>
      <c r="BG24" s="12"/>
      <c r="BH24" s="12">
        <f>BG24+'6'!BH24</f>
        <v>160</v>
      </c>
      <c r="BI24" s="30">
        <f t="shared" si="3"/>
        <v>1.3913043478260869</v>
      </c>
    </row>
    <row r="25" spans="1:61" ht="28.9" customHeight="1" x14ac:dyDescent="0.35">
      <c r="A25" s="5">
        <v>15</v>
      </c>
      <c r="B25" s="26" t="str">
        <f>'6'!B25</f>
        <v>كفـــــــــر إبنهس</v>
      </c>
      <c r="C25" s="26">
        <f>'6'!C25</f>
        <v>2072</v>
      </c>
      <c r="D25" s="26"/>
      <c r="E25" s="12"/>
      <c r="F25" s="2">
        <f>E25+'6'!F25</f>
        <v>6</v>
      </c>
      <c r="G25" s="2"/>
      <c r="H25" s="2">
        <f>G25+'6'!H25</f>
        <v>345</v>
      </c>
      <c r="I25" s="2"/>
      <c r="J25" s="2">
        <f>I25+'6'!J25</f>
        <v>974</v>
      </c>
      <c r="K25" s="2"/>
      <c r="L25" s="2">
        <f>K25+'6'!L25</f>
        <v>0</v>
      </c>
      <c r="M25" s="2"/>
      <c r="N25" s="2">
        <f>M25+'6'!N25</f>
        <v>0</v>
      </c>
      <c r="O25" s="2"/>
      <c r="P25" s="2">
        <f>O25+'6'!P25</f>
        <v>0</v>
      </c>
      <c r="Q25" s="4">
        <f t="shared" si="4"/>
        <v>0</v>
      </c>
      <c r="R25" s="4">
        <f>Q25+'6'!R25</f>
        <v>1325</v>
      </c>
      <c r="S25" s="27">
        <f t="shared" si="5"/>
        <v>0.63947876447876451</v>
      </c>
      <c r="T25" s="12"/>
      <c r="U25" s="12">
        <f>T25+'6'!U25</f>
        <v>173</v>
      </c>
      <c r="V25" s="12"/>
      <c r="W25" s="12">
        <f>V25+'6'!W25</f>
        <v>50</v>
      </c>
      <c r="X25" s="12"/>
      <c r="Y25" s="12">
        <f>X25+'6'!Y25</f>
        <v>0</v>
      </c>
      <c r="AB25" s="5">
        <v>15</v>
      </c>
      <c r="AC25" s="26" t="str">
        <f>'6'!AC25</f>
        <v>كفـــــــــر إبنهس</v>
      </c>
      <c r="AD25" s="28">
        <f>'6'!AI25</f>
        <v>31</v>
      </c>
      <c r="AE25" s="3"/>
      <c r="AF25" s="28">
        <f>AE25+'6'!AF25</f>
        <v>180</v>
      </c>
      <c r="AG25" s="4"/>
      <c r="AH25" s="28">
        <f>AG25+'6'!AH25</f>
        <v>149</v>
      </c>
      <c r="AI25" s="4">
        <f t="shared" si="6"/>
        <v>31</v>
      </c>
      <c r="AJ25" s="11" t="e">
        <f t="shared" si="0"/>
        <v>#DIV/0!</v>
      </c>
      <c r="AK25" s="53">
        <f t="shared" si="1"/>
        <v>8.8926174496644297</v>
      </c>
      <c r="AW25" s="26" t="str">
        <f>'6'!AW25</f>
        <v>كفـــــــــر إبنهس</v>
      </c>
      <c r="AX25" s="12">
        <f>'6'!AX25</f>
        <v>3</v>
      </c>
      <c r="AY25" s="12">
        <f>'6'!AY25</f>
        <v>1013</v>
      </c>
      <c r="AZ25" s="12"/>
      <c r="BA25" s="12"/>
      <c r="BB25" s="12">
        <f>BA25+'6'!BB25</f>
        <v>838</v>
      </c>
      <c r="BC25" s="30">
        <f t="shared" si="2"/>
        <v>0.82724580454096741</v>
      </c>
      <c r="BD25" s="12">
        <f>'6'!BD25</f>
        <v>4</v>
      </c>
      <c r="BE25" s="12">
        <f>'6'!BE25</f>
        <v>620</v>
      </c>
      <c r="BF25" s="12"/>
      <c r="BG25" s="12"/>
      <c r="BH25" s="12">
        <f>BG25+'6'!BH25</f>
        <v>507</v>
      </c>
      <c r="BI25" s="30">
        <f t="shared" si="3"/>
        <v>0.81774193548387097</v>
      </c>
    </row>
    <row r="26" spans="1:61" ht="28.9" customHeight="1" x14ac:dyDescent="0.35">
      <c r="A26" s="5">
        <v>16</v>
      </c>
      <c r="B26" s="26" t="str">
        <f>'6'!B26</f>
        <v>الرمــــــــــــــالى</v>
      </c>
      <c r="C26" s="26">
        <f>'6'!C26</f>
        <v>2699</v>
      </c>
      <c r="D26" s="26"/>
      <c r="E26" s="12"/>
      <c r="F26" s="2">
        <f>E26+'6'!F26</f>
        <v>27</v>
      </c>
      <c r="G26" s="2"/>
      <c r="H26" s="2">
        <f>G26+'6'!H26</f>
        <v>312</v>
      </c>
      <c r="I26" s="2"/>
      <c r="J26" s="2">
        <f>I26+'6'!J26</f>
        <v>993</v>
      </c>
      <c r="K26" s="2"/>
      <c r="L26" s="2">
        <f>K26+'6'!L26</f>
        <v>0</v>
      </c>
      <c r="M26" s="2"/>
      <c r="N26" s="2">
        <f>M26+'6'!N26</f>
        <v>0</v>
      </c>
      <c r="O26" s="2"/>
      <c r="P26" s="2">
        <f>O26+'6'!P26</f>
        <v>0</v>
      </c>
      <c r="Q26" s="4">
        <f t="shared" si="4"/>
        <v>0</v>
      </c>
      <c r="R26" s="4">
        <f>Q26+'6'!R26</f>
        <v>1332</v>
      </c>
      <c r="S26" s="27">
        <f t="shared" si="5"/>
        <v>0.49351611708040016</v>
      </c>
      <c r="T26" s="12"/>
      <c r="U26" s="12">
        <f>T26+'6'!U26</f>
        <v>114</v>
      </c>
      <c r="V26" s="12"/>
      <c r="W26" s="12">
        <f>V26+'6'!W26</f>
        <v>108</v>
      </c>
      <c r="X26" s="12"/>
      <c r="Y26" s="12">
        <f>X26+'6'!Y26</f>
        <v>1</v>
      </c>
      <c r="Z26" s="38"/>
      <c r="AB26" s="5">
        <v>16</v>
      </c>
      <c r="AC26" s="26" t="str">
        <f>'6'!AC26</f>
        <v>الرمــــــــــــــالى</v>
      </c>
      <c r="AD26" s="28">
        <f>'6'!AI26</f>
        <v>96</v>
      </c>
      <c r="AE26" s="3"/>
      <c r="AF26" s="28">
        <f>AE26+'6'!AF26</f>
        <v>235</v>
      </c>
      <c r="AG26" s="4"/>
      <c r="AH26" s="28">
        <f>AG26+'6'!AH26</f>
        <v>139</v>
      </c>
      <c r="AI26" s="4">
        <f t="shared" si="6"/>
        <v>96</v>
      </c>
      <c r="AJ26" s="11" t="e">
        <f t="shared" si="0"/>
        <v>#DIV/0!</v>
      </c>
      <c r="AK26" s="53">
        <f t="shared" si="1"/>
        <v>9.5827338129496411</v>
      </c>
      <c r="AV26" s="38"/>
      <c r="AW26" s="26" t="str">
        <f>'6'!AW26</f>
        <v>الرمــــــــــــــالى</v>
      </c>
      <c r="AX26" s="12">
        <f>'6'!AX26</f>
        <v>3</v>
      </c>
      <c r="AY26" s="12">
        <f>'6'!AY26</f>
        <v>1486</v>
      </c>
      <c r="AZ26" s="12"/>
      <c r="BA26" s="12"/>
      <c r="BB26" s="12">
        <f>BA26+'6'!BB26</f>
        <v>1149</v>
      </c>
      <c r="BC26" s="30">
        <f t="shared" si="2"/>
        <v>0.77321668909825036</v>
      </c>
      <c r="BD26" s="12">
        <f>'6'!BD26</f>
        <v>3</v>
      </c>
      <c r="BE26" s="12">
        <f>'6'!BE26</f>
        <v>98</v>
      </c>
      <c r="BF26" s="12"/>
      <c r="BG26" s="12"/>
      <c r="BH26" s="12">
        <f>BG26+'6'!BH26</f>
        <v>0</v>
      </c>
      <c r="BI26" s="30">
        <f t="shared" si="3"/>
        <v>0</v>
      </c>
    </row>
    <row r="27" spans="1:61" ht="28.9" customHeight="1" x14ac:dyDescent="0.35">
      <c r="A27" s="5">
        <v>17</v>
      </c>
      <c r="B27" s="26" t="str">
        <f>'6'!B27</f>
        <v>مصطــــــــــــاى</v>
      </c>
      <c r="C27" s="26">
        <f>'6'!C27</f>
        <v>2666</v>
      </c>
      <c r="D27" s="26"/>
      <c r="E27" s="12"/>
      <c r="F27" s="2">
        <f>E27+'6'!F27</f>
        <v>54</v>
      </c>
      <c r="G27" s="2"/>
      <c r="H27" s="2">
        <f>G27+'6'!H27</f>
        <v>364</v>
      </c>
      <c r="I27" s="2"/>
      <c r="J27" s="2">
        <f>I27+'6'!J27</f>
        <v>1154</v>
      </c>
      <c r="K27" s="2"/>
      <c r="L27" s="2">
        <f>K27+'6'!L27</f>
        <v>0</v>
      </c>
      <c r="M27" s="2"/>
      <c r="N27" s="2">
        <f>M27+'6'!N27</f>
        <v>0</v>
      </c>
      <c r="O27" s="2"/>
      <c r="P27" s="2">
        <f>O27+'6'!P27</f>
        <v>0</v>
      </c>
      <c r="Q27" s="4">
        <f t="shared" si="4"/>
        <v>0</v>
      </c>
      <c r="R27" s="4">
        <f>Q27+'6'!R27</f>
        <v>1572</v>
      </c>
      <c r="S27" s="27">
        <f t="shared" si="5"/>
        <v>0.58964741185296321</v>
      </c>
      <c r="T27" s="12"/>
      <c r="U27" s="12">
        <f>T27+'6'!U27</f>
        <v>45</v>
      </c>
      <c r="V27" s="12"/>
      <c r="W27" s="12">
        <f>V27+'6'!W27</f>
        <v>15</v>
      </c>
      <c r="X27" s="12"/>
      <c r="Y27" s="12">
        <f>X27+'6'!Y27</f>
        <v>0</v>
      </c>
      <c r="AB27" s="5">
        <v>17</v>
      </c>
      <c r="AC27" s="26" t="str">
        <f>'6'!AC27</f>
        <v>مصطــــــــــــاى</v>
      </c>
      <c r="AD27" s="28">
        <f>'6'!AI27</f>
        <v>74</v>
      </c>
      <c r="AE27" s="3"/>
      <c r="AF27" s="28">
        <f>AE27+'6'!AF27</f>
        <v>234</v>
      </c>
      <c r="AG27" s="4"/>
      <c r="AH27" s="28">
        <f>AG27+'6'!AH27</f>
        <v>160</v>
      </c>
      <c r="AI27" s="4">
        <f t="shared" si="6"/>
        <v>74</v>
      </c>
      <c r="AJ27" s="11" t="e">
        <f t="shared" si="0"/>
        <v>#DIV/0!</v>
      </c>
      <c r="AK27" s="53">
        <f t="shared" si="1"/>
        <v>9.8249999999999993</v>
      </c>
      <c r="AW27" s="26" t="str">
        <f>'6'!AW27</f>
        <v>مصطــــــــــــاى</v>
      </c>
      <c r="AX27" s="12">
        <f>'6'!AX27</f>
        <v>3</v>
      </c>
      <c r="AY27" s="12">
        <f>'6'!AY27</f>
        <v>1709</v>
      </c>
      <c r="AZ27" s="12"/>
      <c r="BA27" s="12"/>
      <c r="BB27" s="12">
        <f>BA27+'6'!BB27</f>
        <v>1252</v>
      </c>
      <c r="BC27" s="30">
        <f t="shared" si="2"/>
        <v>0.73259215915740195</v>
      </c>
      <c r="BD27" s="12">
        <f>'6'!BD27</f>
        <v>6</v>
      </c>
      <c r="BE27" s="12">
        <f>'6'!BE27</f>
        <v>696</v>
      </c>
      <c r="BF27" s="12"/>
      <c r="BG27" s="12"/>
      <c r="BH27" s="12">
        <f>BG27+'6'!BH27</f>
        <v>120</v>
      </c>
      <c r="BI27" s="30">
        <f t="shared" si="3"/>
        <v>0.17241379310344829</v>
      </c>
    </row>
    <row r="28" spans="1:61" ht="28.9" customHeight="1" x14ac:dyDescent="0.35">
      <c r="A28" s="5">
        <v>18</v>
      </c>
      <c r="B28" s="26" t="str">
        <f>'6'!B28</f>
        <v>كفر طـــــــه شبرا</v>
      </c>
      <c r="C28" s="26">
        <f>'6'!C28</f>
        <v>1795</v>
      </c>
      <c r="D28" s="26"/>
      <c r="E28" s="12"/>
      <c r="F28" s="2">
        <f>E28+'6'!F28</f>
        <v>8</v>
      </c>
      <c r="G28" s="2"/>
      <c r="H28" s="2">
        <f>G28+'6'!H28</f>
        <v>294</v>
      </c>
      <c r="I28" s="2"/>
      <c r="J28" s="2">
        <f>I28+'6'!J28</f>
        <v>940</v>
      </c>
      <c r="K28" s="2"/>
      <c r="L28" s="2">
        <f>K28+'6'!L28</f>
        <v>0</v>
      </c>
      <c r="M28" s="2"/>
      <c r="N28" s="2">
        <f>M28+'6'!N28</f>
        <v>0</v>
      </c>
      <c r="O28" s="2"/>
      <c r="P28" s="2">
        <f>O28+'6'!P28</f>
        <v>0</v>
      </c>
      <c r="Q28" s="4">
        <f t="shared" si="4"/>
        <v>0</v>
      </c>
      <c r="R28" s="4">
        <f>Q28+'6'!R28</f>
        <v>1242</v>
      </c>
      <c r="S28" s="27">
        <f t="shared" si="5"/>
        <v>0.69192200557103067</v>
      </c>
      <c r="T28" s="12"/>
      <c r="U28" s="12">
        <f>T28+'6'!U28</f>
        <v>136</v>
      </c>
      <c r="V28" s="12"/>
      <c r="W28" s="12">
        <f>V28+'6'!W28</f>
        <v>33</v>
      </c>
      <c r="X28" s="12"/>
      <c r="Y28" s="12">
        <f>X28+'6'!Y28</f>
        <v>0</v>
      </c>
      <c r="AB28" s="5">
        <v>18</v>
      </c>
      <c r="AC28" s="26" t="str">
        <f>'6'!AC28</f>
        <v>كفر طـــــــه شبرا</v>
      </c>
      <c r="AD28" s="28">
        <f>'6'!AI28</f>
        <v>28</v>
      </c>
      <c r="AE28" s="3"/>
      <c r="AF28" s="28">
        <f>AE28+'6'!AF28</f>
        <v>158</v>
      </c>
      <c r="AG28" s="4"/>
      <c r="AH28" s="28">
        <f>AG28+'6'!AH28</f>
        <v>130</v>
      </c>
      <c r="AI28" s="4">
        <f t="shared" si="6"/>
        <v>28</v>
      </c>
      <c r="AJ28" s="11" t="e">
        <f t="shared" si="0"/>
        <v>#DIV/0!</v>
      </c>
      <c r="AK28" s="53">
        <f t="shared" si="1"/>
        <v>9.5538461538461537</v>
      </c>
      <c r="AW28" s="26" t="str">
        <f>'6'!AW28</f>
        <v>كفر طـــــــه شبرا</v>
      </c>
      <c r="AX28" s="12">
        <f>'6'!AX28</f>
        <v>4</v>
      </c>
      <c r="AY28" s="12">
        <f>'6'!AY28</f>
        <v>948</v>
      </c>
      <c r="AZ28" s="12"/>
      <c r="BA28" s="12"/>
      <c r="BB28" s="12">
        <f>BA28+'6'!BB28</f>
        <v>827</v>
      </c>
      <c r="BC28" s="30">
        <f t="shared" si="2"/>
        <v>0.87236286919831219</v>
      </c>
      <c r="BD28" s="12">
        <f>'6'!BD28</f>
        <v>7</v>
      </c>
      <c r="BE28" s="12">
        <f>'6'!BE28</f>
        <v>300</v>
      </c>
      <c r="BF28" s="12"/>
      <c r="BG28" s="12"/>
      <c r="BH28" s="12">
        <f>BG28+'6'!BH28</f>
        <v>403</v>
      </c>
      <c r="BI28" s="30">
        <f t="shared" si="3"/>
        <v>1.3433333333333333</v>
      </c>
    </row>
    <row r="29" spans="1:61" ht="28.9" customHeight="1" x14ac:dyDescent="0.35">
      <c r="A29" s="5">
        <v>19</v>
      </c>
      <c r="B29" s="26" t="str">
        <f>'6'!B29</f>
        <v>كفر أبـــو الحسن</v>
      </c>
      <c r="C29" s="26">
        <f>'6'!C29</f>
        <v>1397</v>
      </c>
      <c r="D29" s="26"/>
      <c r="E29" s="12"/>
      <c r="F29" s="2">
        <f>E29+'6'!F29</f>
        <v>4</v>
      </c>
      <c r="G29" s="2"/>
      <c r="H29" s="2">
        <f>G29+'6'!H29</f>
        <v>238</v>
      </c>
      <c r="I29" s="2"/>
      <c r="J29" s="2">
        <f>I29+'6'!J29</f>
        <v>841</v>
      </c>
      <c r="K29" s="2"/>
      <c r="L29" s="2">
        <f>K29+'6'!L29</f>
        <v>0</v>
      </c>
      <c r="M29" s="2"/>
      <c r="N29" s="2">
        <f>M29+'6'!N29</f>
        <v>0</v>
      </c>
      <c r="O29" s="2"/>
      <c r="P29" s="2">
        <f>O29+'6'!P29</f>
        <v>0</v>
      </c>
      <c r="Q29" s="4">
        <f t="shared" si="4"/>
        <v>0</v>
      </c>
      <c r="R29" s="4">
        <f>Q29+'6'!R29</f>
        <v>1083</v>
      </c>
      <c r="S29" s="27">
        <f t="shared" si="5"/>
        <v>0.77523264137437364</v>
      </c>
      <c r="T29" s="12"/>
      <c r="U29" s="12">
        <f>T29+'6'!U29</f>
        <v>205</v>
      </c>
      <c r="V29" s="12"/>
      <c r="W29" s="12">
        <f>V29+'6'!W29</f>
        <v>18</v>
      </c>
      <c r="X29" s="12"/>
      <c r="Y29" s="12">
        <f>X29+'6'!Y29</f>
        <v>0</v>
      </c>
      <c r="AB29" s="5">
        <v>19</v>
      </c>
      <c r="AC29" s="26" t="str">
        <f>'6'!AC29</f>
        <v>كفر أبـــو الحسن</v>
      </c>
      <c r="AD29" s="28">
        <f>'6'!AI29</f>
        <v>22</v>
      </c>
      <c r="AE29" s="3"/>
      <c r="AF29" s="28">
        <f>AE29+'6'!AF29</f>
        <v>133</v>
      </c>
      <c r="AG29" s="4"/>
      <c r="AH29" s="28">
        <f>AG29+'6'!AH29</f>
        <v>111</v>
      </c>
      <c r="AI29" s="4">
        <f t="shared" si="6"/>
        <v>22</v>
      </c>
      <c r="AJ29" s="11" t="e">
        <f t="shared" si="0"/>
        <v>#DIV/0!</v>
      </c>
      <c r="AK29" s="53">
        <f t="shared" si="1"/>
        <v>9.7567567567567561</v>
      </c>
      <c r="AW29" s="26" t="str">
        <f>'6'!AW29</f>
        <v>كفر أبـــو الحسن</v>
      </c>
      <c r="AX29" s="12">
        <f>'6'!AX29</f>
        <v>3</v>
      </c>
      <c r="AY29" s="12">
        <f>'6'!AY29</f>
        <v>912</v>
      </c>
      <c r="AZ29" s="12"/>
      <c r="BA29" s="12"/>
      <c r="BB29" s="12">
        <f>BA29+'6'!BB29</f>
        <v>760</v>
      </c>
      <c r="BC29" s="30">
        <f t="shared" si="2"/>
        <v>0.83333333333333337</v>
      </c>
      <c r="BD29" s="12">
        <f>'6'!BD29</f>
        <v>9</v>
      </c>
      <c r="BE29" s="12">
        <f>'6'!BE29</f>
        <v>258</v>
      </c>
      <c r="BF29" s="12"/>
      <c r="BG29" s="12"/>
      <c r="BH29" s="12">
        <f>BG29+'6'!BH29</f>
        <v>351</v>
      </c>
      <c r="BI29" s="30">
        <f t="shared" si="3"/>
        <v>1.3604651162790697</v>
      </c>
    </row>
    <row r="30" spans="1:61" ht="28.9" customHeight="1" x14ac:dyDescent="0.35">
      <c r="A30" s="5">
        <v>20</v>
      </c>
      <c r="B30" s="26" t="str">
        <f>'6'!B30</f>
        <v>ميت أبـــــوشيخه</v>
      </c>
      <c r="C30" s="26">
        <f>'6'!C30</f>
        <v>1134</v>
      </c>
      <c r="D30" s="26"/>
      <c r="E30" s="12"/>
      <c r="F30" s="2">
        <f>E30+'6'!F30</f>
        <v>10</v>
      </c>
      <c r="G30" s="2"/>
      <c r="H30" s="2">
        <f>G30+'6'!H30</f>
        <v>144</v>
      </c>
      <c r="I30" s="2"/>
      <c r="J30" s="2">
        <f>I30+'6'!J30</f>
        <v>435</v>
      </c>
      <c r="K30" s="2"/>
      <c r="L30" s="2">
        <f>K30+'6'!L30</f>
        <v>0</v>
      </c>
      <c r="M30" s="2"/>
      <c r="N30" s="2">
        <f>M30+'6'!N30</f>
        <v>0</v>
      </c>
      <c r="O30" s="2"/>
      <c r="P30" s="2">
        <f>O30+'6'!P30</f>
        <v>0</v>
      </c>
      <c r="Q30" s="4">
        <f t="shared" si="4"/>
        <v>0</v>
      </c>
      <c r="R30" s="4">
        <f>Q30+'6'!R30</f>
        <v>589</v>
      </c>
      <c r="S30" s="27">
        <f t="shared" si="5"/>
        <v>0.51940035273368612</v>
      </c>
      <c r="T30" s="12"/>
      <c r="U30" s="12">
        <f>T30+'6'!U30</f>
        <v>68</v>
      </c>
      <c r="V30" s="12"/>
      <c r="W30" s="12">
        <f>V30+'6'!W30</f>
        <v>10</v>
      </c>
      <c r="X30" s="12"/>
      <c r="Y30" s="12">
        <f>X30+'6'!Y30</f>
        <v>0</v>
      </c>
      <c r="AB30" s="5">
        <v>20</v>
      </c>
      <c r="AC30" s="26" t="str">
        <f>'6'!AC30</f>
        <v>ميت أبـــــوشيخه</v>
      </c>
      <c r="AD30" s="28">
        <f>'6'!AI30</f>
        <v>40</v>
      </c>
      <c r="AE30" s="3"/>
      <c r="AF30" s="28">
        <f>AE30+'6'!AF30</f>
        <v>100</v>
      </c>
      <c r="AG30" s="4"/>
      <c r="AH30" s="28">
        <f>AG30+'6'!AH30</f>
        <v>60</v>
      </c>
      <c r="AI30" s="4">
        <f t="shared" si="6"/>
        <v>40</v>
      </c>
      <c r="AJ30" s="11" t="e">
        <f t="shared" si="0"/>
        <v>#DIV/0!</v>
      </c>
      <c r="AK30" s="53">
        <f t="shared" si="1"/>
        <v>9.8166666666666664</v>
      </c>
      <c r="AW30" s="26" t="str">
        <f>'6'!AW30</f>
        <v>ميت أبـــــوشيخه</v>
      </c>
      <c r="AX30" s="12">
        <f>'6'!AX30</f>
        <v>2</v>
      </c>
      <c r="AY30" s="12">
        <f>'6'!AY30</f>
        <v>560</v>
      </c>
      <c r="AZ30" s="12"/>
      <c r="BA30" s="12"/>
      <c r="BB30" s="12">
        <f>BA30+'6'!BB30</f>
        <v>459</v>
      </c>
      <c r="BC30" s="30">
        <f t="shared" si="2"/>
        <v>0.81964285714285712</v>
      </c>
      <c r="BD30" s="12">
        <f>'6'!BD30</f>
        <v>2</v>
      </c>
      <c r="BE30" s="12">
        <f>'6'!BE30</f>
        <v>107</v>
      </c>
      <c r="BF30" s="12"/>
      <c r="BG30" s="12"/>
      <c r="BH30" s="12">
        <f>BG30+'6'!BH30</f>
        <v>85</v>
      </c>
      <c r="BI30" s="30">
        <f t="shared" si="3"/>
        <v>0.79439252336448596</v>
      </c>
    </row>
    <row r="31" spans="1:61" ht="28.9" customHeight="1" x14ac:dyDescent="0.35">
      <c r="A31" s="5">
        <v>21</v>
      </c>
      <c r="B31" s="26" t="str">
        <f>'6'!B31</f>
        <v>طــــــــــــه شبرا</v>
      </c>
      <c r="C31" s="26">
        <f>'6'!C31</f>
        <v>5149</v>
      </c>
      <c r="D31" s="26"/>
      <c r="E31" s="12"/>
      <c r="F31" s="2">
        <f>E31+'6'!F31</f>
        <v>22</v>
      </c>
      <c r="G31" s="2"/>
      <c r="H31" s="2">
        <f>G31+'6'!H31</f>
        <v>967</v>
      </c>
      <c r="I31" s="2"/>
      <c r="J31" s="2">
        <f>I31+'6'!J31</f>
        <v>1288</v>
      </c>
      <c r="K31" s="2"/>
      <c r="L31" s="2">
        <f>K31+'6'!L31</f>
        <v>0</v>
      </c>
      <c r="M31" s="2"/>
      <c r="N31" s="2">
        <f>M31+'6'!N31</f>
        <v>0</v>
      </c>
      <c r="O31" s="2"/>
      <c r="P31" s="2">
        <f>O31+'6'!P31</f>
        <v>0</v>
      </c>
      <c r="Q31" s="4">
        <f t="shared" si="4"/>
        <v>0</v>
      </c>
      <c r="R31" s="4">
        <f>Q31+'6'!R31</f>
        <v>2277</v>
      </c>
      <c r="S31" s="27">
        <f t="shared" si="5"/>
        <v>0.442221790638959</v>
      </c>
      <c r="T31" s="12"/>
      <c r="U31" s="12">
        <f>T31+'6'!U31</f>
        <v>277</v>
      </c>
      <c r="V31" s="12"/>
      <c r="W31" s="12">
        <f>V31+'6'!W31</f>
        <v>3</v>
      </c>
      <c r="X31" s="12"/>
      <c r="Y31" s="12">
        <f>X31+'6'!Y31</f>
        <v>0</v>
      </c>
      <c r="AB31" s="5">
        <v>21</v>
      </c>
      <c r="AC31" s="26" t="str">
        <f>'6'!AC31</f>
        <v>طــــــــــــه شبرا</v>
      </c>
      <c r="AD31" s="28">
        <f>'6'!AI31</f>
        <v>216</v>
      </c>
      <c r="AE31" s="3"/>
      <c r="AF31" s="28">
        <f>AE31+'6'!AF31</f>
        <v>452</v>
      </c>
      <c r="AG31" s="4"/>
      <c r="AH31" s="28">
        <f>AG31+'6'!AH31</f>
        <v>236</v>
      </c>
      <c r="AI31" s="4">
        <f t="shared" si="6"/>
        <v>216</v>
      </c>
      <c r="AJ31" s="11" t="e">
        <f t="shared" si="0"/>
        <v>#DIV/0!</v>
      </c>
      <c r="AK31" s="53">
        <f t="shared" si="1"/>
        <v>9.648305084745763</v>
      </c>
      <c r="AW31" s="26" t="str">
        <f>'6'!AW31</f>
        <v>طــــــــــــه شبرا</v>
      </c>
      <c r="AX31" s="12">
        <f>'6'!AX31</f>
        <v>6</v>
      </c>
      <c r="AY31" s="12">
        <f>'6'!AY31</f>
        <v>2219</v>
      </c>
      <c r="AZ31" s="12"/>
      <c r="BA31" s="12"/>
      <c r="BB31" s="12">
        <f>BA31+'6'!BB31</f>
        <v>1367</v>
      </c>
      <c r="BC31" s="30">
        <f t="shared" si="2"/>
        <v>0.61604326273095988</v>
      </c>
      <c r="BD31" s="12">
        <f>'6'!BD31</f>
        <v>8</v>
      </c>
      <c r="BE31" s="12">
        <f>'6'!BE31</f>
        <v>748</v>
      </c>
      <c r="BF31" s="12"/>
      <c r="BG31" s="12"/>
      <c r="BH31" s="12">
        <f>BG31+'6'!BH31</f>
        <v>690</v>
      </c>
      <c r="BI31" s="30">
        <f t="shared" si="3"/>
        <v>0.92245989304812837</v>
      </c>
    </row>
    <row r="32" spans="1:61" ht="28.9" customHeight="1" x14ac:dyDescent="0.35">
      <c r="A32" s="5">
        <v>22</v>
      </c>
      <c r="B32" s="26" t="str">
        <f>'6'!B32</f>
        <v>أشـــــــــــــــــليم</v>
      </c>
      <c r="C32" s="26">
        <f>'6'!C32</f>
        <v>2638</v>
      </c>
      <c r="D32" s="26"/>
      <c r="E32" s="12"/>
      <c r="F32" s="2">
        <f>E32+'6'!F32</f>
        <v>19</v>
      </c>
      <c r="G32" s="2"/>
      <c r="H32" s="2">
        <f>G32+'6'!H32</f>
        <v>606</v>
      </c>
      <c r="I32" s="2"/>
      <c r="J32" s="2">
        <f>I32+'6'!J32</f>
        <v>1522</v>
      </c>
      <c r="K32" s="2"/>
      <c r="L32" s="2">
        <f>K32+'6'!L32</f>
        <v>0</v>
      </c>
      <c r="M32" s="2"/>
      <c r="N32" s="2">
        <f>M32+'6'!N32</f>
        <v>0</v>
      </c>
      <c r="O32" s="2"/>
      <c r="P32" s="2">
        <f>O32+'6'!P32</f>
        <v>0</v>
      </c>
      <c r="Q32" s="4">
        <f t="shared" si="4"/>
        <v>0</v>
      </c>
      <c r="R32" s="4">
        <f>Q32+'6'!R32</f>
        <v>2147</v>
      </c>
      <c r="S32" s="27">
        <f t="shared" si="5"/>
        <v>0.81387414708112205</v>
      </c>
      <c r="T32" s="12"/>
      <c r="U32" s="12">
        <f>T32+'6'!U32</f>
        <v>149</v>
      </c>
      <c r="V32" s="12"/>
      <c r="W32" s="12">
        <f>V32+'6'!W32</f>
        <v>119</v>
      </c>
      <c r="X32" s="12"/>
      <c r="Y32" s="12">
        <f>X32+'6'!Y32</f>
        <v>0</v>
      </c>
      <c r="AB32" s="5">
        <v>22</v>
      </c>
      <c r="AC32" s="26" t="str">
        <f>'6'!AC32</f>
        <v>أشـــــــــــــــــليم</v>
      </c>
      <c r="AD32" s="28">
        <f>'6'!AI32</f>
        <v>31</v>
      </c>
      <c r="AE32" s="3"/>
      <c r="AF32" s="28">
        <f>AE32+'6'!AF32</f>
        <v>252</v>
      </c>
      <c r="AG32" s="4"/>
      <c r="AH32" s="28">
        <f>AG32+'6'!AH32</f>
        <v>221</v>
      </c>
      <c r="AI32" s="4">
        <f t="shared" si="6"/>
        <v>31</v>
      </c>
      <c r="AJ32" s="11" t="e">
        <f t="shared" si="0"/>
        <v>#DIV/0!</v>
      </c>
      <c r="AK32" s="53">
        <f t="shared" si="1"/>
        <v>9.7149321266968318</v>
      </c>
      <c r="AW32" s="26" t="str">
        <f>'6'!AW32</f>
        <v>أشـــــــــــــــــليم</v>
      </c>
      <c r="AX32" s="12">
        <f>'6'!AX32</f>
        <v>8</v>
      </c>
      <c r="AY32" s="12">
        <f>'6'!AY32</f>
        <v>1819</v>
      </c>
      <c r="AZ32" s="12"/>
      <c r="BA32" s="12"/>
      <c r="BB32" s="12">
        <f>BA32+'6'!BB32</f>
        <v>1506</v>
      </c>
      <c r="BC32" s="30">
        <f t="shared" si="2"/>
        <v>0.82792743265530511</v>
      </c>
      <c r="BD32" s="12">
        <f>'6'!BD32</f>
        <v>7</v>
      </c>
      <c r="BE32" s="12">
        <f>'6'!BE32</f>
        <v>176</v>
      </c>
      <c r="BF32" s="12"/>
      <c r="BG32" s="12"/>
      <c r="BH32" s="12">
        <f>BG32+'6'!BH32</f>
        <v>531</v>
      </c>
      <c r="BI32" s="30">
        <f t="shared" si="3"/>
        <v>3.0170454545454546</v>
      </c>
    </row>
    <row r="33" spans="1:61" ht="28.9" customHeight="1" x14ac:dyDescent="0.35">
      <c r="A33" s="5">
        <v>23</v>
      </c>
      <c r="B33" s="26" t="str">
        <f>'6'!B33</f>
        <v>شبرا قبالــــــــــه</v>
      </c>
      <c r="C33" s="26">
        <f>'6'!C33</f>
        <v>2050</v>
      </c>
      <c r="D33" s="26"/>
      <c r="E33" s="12"/>
      <c r="F33" s="2">
        <f>E33+'6'!F33</f>
        <v>23</v>
      </c>
      <c r="G33" s="2"/>
      <c r="H33" s="2">
        <f>G33+'6'!H33</f>
        <v>644</v>
      </c>
      <c r="I33" s="2"/>
      <c r="J33" s="2">
        <f>I33+'6'!J33</f>
        <v>773</v>
      </c>
      <c r="K33" s="2"/>
      <c r="L33" s="2">
        <f>K33+'6'!L33</f>
        <v>0</v>
      </c>
      <c r="M33" s="2"/>
      <c r="N33" s="2">
        <f>M33+'6'!N33</f>
        <v>0</v>
      </c>
      <c r="O33" s="2"/>
      <c r="P33" s="2">
        <f>O33+'6'!P33</f>
        <v>0</v>
      </c>
      <c r="Q33" s="4">
        <f t="shared" si="4"/>
        <v>0</v>
      </c>
      <c r="R33" s="4">
        <f>Q33+'6'!R33</f>
        <v>1440</v>
      </c>
      <c r="S33" s="27">
        <f t="shared" si="5"/>
        <v>0.70243902439024386</v>
      </c>
      <c r="T33" s="12"/>
      <c r="U33" s="12">
        <f>T33+'6'!U33</f>
        <v>96</v>
      </c>
      <c r="V33" s="12"/>
      <c r="W33" s="12">
        <f>V33+'6'!W33</f>
        <v>64</v>
      </c>
      <c r="X33" s="12"/>
      <c r="Y33" s="12">
        <f>X33+'6'!Y33</f>
        <v>0</v>
      </c>
      <c r="AB33" s="5">
        <v>23</v>
      </c>
      <c r="AC33" s="26" t="str">
        <f>'6'!AC33</f>
        <v>شبرا قبالــــــــــه</v>
      </c>
      <c r="AD33" s="28">
        <f>'6'!AI33</f>
        <v>36</v>
      </c>
      <c r="AE33" s="3"/>
      <c r="AF33" s="28">
        <f>AE33+'6'!AF33</f>
        <v>180</v>
      </c>
      <c r="AG33" s="4"/>
      <c r="AH33" s="28">
        <f>AG33+'6'!AH33</f>
        <v>144</v>
      </c>
      <c r="AI33" s="4">
        <f t="shared" si="6"/>
        <v>36</v>
      </c>
      <c r="AJ33" s="11" t="e">
        <f t="shared" si="0"/>
        <v>#DIV/0!</v>
      </c>
      <c r="AK33" s="53">
        <f t="shared" si="1"/>
        <v>10</v>
      </c>
      <c r="AW33" s="26" t="str">
        <f>'6'!AW33</f>
        <v>شبرا قبالــــــــــه</v>
      </c>
      <c r="AX33" s="12">
        <f>'6'!AX33</f>
        <v>1</v>
      </c>
      <c r="AY33" s="12">
        <f>'6'!AY33</f>
        <v>918</v>
      </c>
      <c r="AZ33" s="12"/>
      <c r="BA33" s="12"/>
      <c r="BB33" s="12">
        <f>BA33+'6'!BB33</f>
        <v>780</v>
      </c>
      <c r="BC33" s="30">
        <f t="shared" si="2"/>
        <v>0.84967320261437906</v>
      </c>
      <c r="BD33" s="12">
        <f>'6'!BD33</f>
        <v>5</v>
      </c>
      <c r="BE33" s="12">
        <f>'6'!BE33</f>
        <v>375</v>
      </c>
      <c r="BF33" s="12"/>
      <c r="BG33" s="12"/>
      <c r="BH33" s="12">
        <f>BG33+'6'!BH33</f>
        <v>430</v>
      </c>
      <c r="BI33" s="30">
        <f t="shared" si="3"/>
        <v>1.1466666666666667</v>
      </c>
    </row>
    <row r="34" spans="1:61" ht="28.9" customHeight="1" x14ac:dyDescent="0.35">
      <c r="A34" s="5">
        <v>24</v>
      </c>
      <c r="B34" s="26" t="str">
        <f>'6'!B34</f>
        <v>عرب الرمـــــــل</v>
      </c>
      <c r="C34" s="26">
        <f>'6'!C34</f>
        <v>5755</v>
      </c>
      <c r="D34" s="26"/>
      <c r="E34" s="12"/>
      <c r="F34" s="2">
        <f>E34+'6'!F34</f>
        <v>22</v>
      </c>
      <c r="G34" s="2"/>
      <c r="H34" s="2">
        <f>G34+'6'!H34</f>
        <v>1011</v>
      </c>
      <c r="I34" s="2"/>
      <c r="J34" s="2">
        <f>I34+'6'!J34</f>
        <v>1364</v>
      </c>
      <c r="K34" s="2"/>
      <c r="L34" s="2">
        <f>K34+'6'!L34</f>
        <v>0</v>
      </c>
      <c r="M34" s="2"/>
      <c r="N34" s="2">
        <f>M34+'6'!N34</f>
        <v>0</v>
      </c>
      <c r="O34" s="2"/>
      <c r="P34" s="2">
        <f>O34+'6'!P34</f>
        <v>0</v>
      </c>
      <c r="Q34" s="4">
        <f t="shared" si="4"/>
        <v>0</v>
      </c>
      <c r="R34" s="4">
        <f>Q34+'6'!R34</f>
        <v>2397</v>
      </c>
      <c r="S34" s="27">
        <f t="shared" si="5"/>
        <v>0.41650738488271066</v>
      </c>
      <c r="T34" s="12"/>
      <c r="U34" s="12">
        <f>T34+'6'!U34</f>
        <v>562</v>
      </c>
      <c r="V34" s="12"/>
      <c r="W34" s="12">
        <f>V34+'6'!W34</f>
        <v>41</v>
      </c>
      <c r="X34" s="12"/>
      <c r="Y34" s="12">
        <f>X34+'6'!Y34</f>
        <v>0</v>
      </c>
      <c r="AB34" s="5">
        <v>24</v>
      </c>
      <c r="AC34" s="26" t="str">
        <f>'6'!AC34</f>
        <v>عرب الرمـــــــل</v>
      </c>
      <c r="AD34" s="28">
        <f>'6'!AI34</f>
        <v>263</v>
      </c>
      <c r="AE34" s="3"/>
      <c r="AF34" s="28">
        <f>AE34+'6'!AF34</f>
        <v>505</v>
      </c>
      <c r="AG34" s="4"/>
      <c r="AH34" s="28">
        <f>AG34+'6'!AH34</f>
        <v>242</v>
      </c>
      <c r="AI34" s="4">
        <f t="shared" si="6"/>
        <v>263</v>
      </c>
      <c r="AJ34" s="11" t="e">
        <f t="shared" si="0"/>
        <v>#DIV/0!</v>
      </c>
      <c r="AK34" s="53">
        <f t="shared" si="1"/>
        <v>9.9049586776859506</v>
      </c>
      <c r="AW34" s="26" t="str">
        <f>'6'!AW34</f>
        <v>عرب الرمـــــــل</v>
      </c>
      <c r="AX34" s="12">
        <f>'6'!AX34</f>
        <v>6</v>
      </c>
      <c r="AY34" s="12">
        <f>'6'!AY34</f>
        <v>2210</v>
      </c>
      <c r="AZ34" s="12"/>
      <c r="BA34" s="12"/>
      <c r="BB34" s="12">
        <f>BA34+'6'!BB34</f>
        <v>1456</v>
      </c>
      <c r="BC34" s="30">
        <f t="shared" si="2"/>
        <v>0.6588235294117647</v>
      </c>
      <c r="BD34" s="12">
        <f>'6'!BD34</f>
        <v>9</v>
      </c>
      <c r="BE34" s="12">
        <f>'6'!BE34</f>
        <v>932</v>
      </c>
      <c r="BF34" s="12"/>
      <c r="BG34" s="12"/>
      <c r="BH34" s="12">
        <f>BG34+'6'!BH34</f>
        <v>941</v>
      </c>
      <c r="BI34" s="30">
        <f t="shared" si="3"/>
        <v>1.0096566523605151</v>
      </c>
    </row>
    <row r="35" spans="1:61" ht="28.9" customHeight="1" x14ac:dyDescent="0.35">
      <c r="A35" s="5">
        <v>25</v>
      </c>
      <c r="B35" s="26" t="str">
        <f>'6'!B35</f>
        <v>كفر ميت سراج</v>
      </c>
      <c r="C35" s="26">
        <f>'6'!C35</f>
        <v>1840</v>
      </c>
      <c r="D35" s="26"/>
      <c r="E35" s="12"/>
      <c r="F35" s="2">
        <f>E35+'6'!F35</f>
        <v>8</v>
      </c>
      <c r="G35" s="2"/>
      <c r="H35" s="2">
        <f>G35+'6'!H35</f>
        <v>386</v>
      </c>
      <c r="I35" s="2"/>
      <c r="J35" s="2">
        <f>I35+'6'!J35</f>
        <v>773</v>
      </c>
      <c r="K35" s="2"/>
      <c r="L35" s="2">
        <f>K35+'6'!L35</f>
        <v>0</v>
      </c>
      <c r="M35" s="2"/>
      <c r="N35" s="2">
        <f>M35+'6'!N35</f>
        <v>0</v>
      </c>
      <c r="O35" s="2"/>
      <c r="P35" s="2">
        <f>O35+'6'!P35</f>
        <v>0</v>
      </c>
      <c r="Q35" s="4">
        <f t="shared" si="4"/>
        <v>0</v>
      </c>
      <c r="R35" s="4">
        <f>Q35+'6'!R35</f>
        <v>1167</v>
      </c>
      <c r="S35" s="27">
        <f t="shared" si="5"/>
        <v>0.63423913043478264</v>
      </c>
      <c r="T35" s="12"/>
      <c r="U35" s="12">
        <f>T35+'6'!U35</f>
        <v>174</v>
      </c>
      <c r="V35" s="12"/>
      <c r="W35" s="12">
        <f>V35+'6'!W35</f>
        <v>11</v>
      </c>
      <c r="X35" s="12"/>
      <c r="Y35" s="12">
        <f>X35+'6'!Y35</f>
        <v>0</v>
      </c>
      <c r="AB35" s="5">
        <v>25</v>
      </c>
      <c r="AC35" s="26" t="str">
        <f>'6'!AC35</f>
        <v>كفر ميت سراج</v>
      </c>
      <c r="AD35" s="28">
        <f>'6'!AI35</f>
        <v>41</v>
      </c>
      <c r="AE35" s="3"/>
      <c r="AF35" s="28">
        <f>AE35+'6'!AF35</f>
        <v>162</v>
      </c>
      <c r="AG35" s="4"/>
      <c r="AH35" s="28">
        <f>AG35+'6'!AH35</f>
        <v>121</v>
      </c>
      <c r="AI35" s="4">
        <f t="shared" si="6"/>
        <v>41</v>
      </c>
      <c r="AJ35" s="11" t="e">
        <f t="shared" si="0"/>
        <v>#DIV/0!</v>
      </c>
      <c r="AK35" s="53">
        <f t="shared" si="1"/>
        <v>9.6446280991735538</v>
      </c>
      <c r="AW35" s="26" t="str">
        <f>'6'!AW35</f>
        <v>كفر ميت سراج</v>
      </c>
      <c r="AX35" s="12">
        <f>'6'!AX35</f>
        <v>3</v>
      </c>
      <c r="AY35" s="12">
        <f>'6'!AY35</f>
        <v>1011</v>
      </c>
      <c r="AZ35" s="12"/>
      <c r="BA35" s="12"/>
      <c r="BB35" s="12">
        <f>BA35+'6'!BB35</f>
        <v>773</v>
      </c>
      <c r="BC35" s="30">
        <f t="shared" si="2"/>
        <v>0.76458951533135511</v>
      </c>
      <c r="BD35" s="12">
        <f>'6'!BD35</f>
        <v>4</v>
      </c>
      <c r="BE35" s="12">
        <f>'6'!BE35</f>
        <v>413</v>
      </c>
      <c r="BF35" s="12"/>
      <c r="BG35" s="12"/>
      <c r="BH35" s="12">
        <f>BG35+'6'!BH35</f>
        <v>232</v>
      </c>
      <c r="BI35" s="30">
        <f t="shared" si="3"/>
        <v>0.56174334140435833</v>
      </c>
    </row>
    <row r="36" spans="1:61" ht="28.9" customHeight="1" x14ac:dyDescent="0.35">
      <c r="A36" s="5">
        <v>26</v>
      </c>
      <c r="B36" s="26" t="str">
        <f>'6'!B36</f>
        <v>كفر أبشيش</v>
      </c>
      <c r="C36" s="26">
        <f>'6'!C36</f>
        <v>1345</v>
      </c>
      <c r="D36" s="26"/>
      <c r="E36" s="12"/>
      <c r="F36" s="2">
        <f>E36+'6'!F36</f>
        <v>14</v>
      </c>
      <c r="G36" s="2"/>
      <c r="H36" s="2">
        <f>G36+'6'!H36</f>
        <v>207</v>
      </c>
      <c r="I36" s="2"/>
      <c r="J36" s="2">
        <f>I36+'6'!J36</f>
        <v>725</v>
      </c>
      <c r="K36" s="2"/>
      <c r="L36" s="2">
        <f>K36+'6'!L36</f>
        <v>0</v>
      </c>
      <c r="M36" s="2"/>
      <c r="N36" s="2">
        <f>M36+'6'!N36</f>
        <v>0</v>
      </c>
      <c r="O36" s="2"/>
      <c r="P36" s="2">
        <f>O36+'6'!P36</f>
        <v>0</v>
      </c>
      <c r="Q36" s="4">
        <f t="shared" si="4"/>
        <v>0</v>
      </c>
      <c r="R36" s="4">
        <f>Q36+'6'!R36</f>
        <v>946</v>
      </c>
      <c r="S36" s="27">
        <f t="shared" si="5"/>
        <v>0.70334572490706315</v>
      </c>
      <c r="T36" s="12"/>
      <c r="U36" s="12">
        <f>T36+'6'!U36</f>
        <v>113</v>
      </c>
      <c r="V36" s="12"/>
      <c r="W36" s="12">
        <f>V36+'6'!W36</f>
        <v>4</v>
      </c>
      <c r="X36" s="12"/>
      <c r="Y36" s="12">
        <f>X36+'6'!Y36</f>
        <v>0</v>
      </c>
      <c r="AB36" s="5">
        <v>26</v>
      </c>
      <c r="AC36" s="26" t="str">
        <f>'6'!AC36</f>
        <v>كفر أبشيش</v>
      </c>
      <c r="AD36" s="28">
        <f>'6'!AI36</f>
        <v>24</v>
      </c>
      <c r="AE36" s="3"/>
      <c r="AF36" s="28">
        <f>AE36+'6'!AF36</f>
        <v>119</v>
      </c>
      <c r="AG36" s="4"/>
      <c r="AH36" s="28">
        <f>AG36+'6'!AH36</f>
        <v>95</v>
      </c>
      <c r="AI36" s="4">
        <f t="shared" si="6"/>
        <v>24</v>
      </c>
      <c r="AJ36" s="11" t="e">
        <f t="shared" si="0"/>
        <v>#DIV/0!</v>
      </c>
      <c r="AK36" s="53">
        <f t="shared" si="1"/>
        <v>9.9578947368421051</v>
      </c>
      <c r="AW36" s="26" t="str">
        <f>'6'!AW36</f>
        <v>كفر أبشيش</v>
      </c>
      <c r="AX36" s="12">
        <f>'6'!AX36</f>
        <v>1</v>
      </c>
      <c r="AY36" s="12">
        <f>'6'!AY36</f>
        <v>860</v>
      </c>
      <c r="AZ36" s="12"/>
      <c r="BA36" s="12"/>
      <c r="BB36" s="12">
        <f>BA36+'6'!BB36</f>
        <v>730</v>
      </c>
      <c r="BC36" s="30">
        <f t="shared" si="2"/>
        <v>0.84883720930232553</v>
      </c>
      <c r="BD36" s="12">
        <f>'6'!BD36</f>
        <v>4</v>
      </c>
      <c r="BE36" s="12">
        <f>'6'!BE36</f>
        <v>194</v>
      </c>
      <c r="BF36" s="12"/>
      <c r="BG36" s="12"/>
      <c r="BH36" s="12">
        <f>BG36+'6'!BH36</f>
        <v>0</v>
      </c>
      <c r="BI36" s="30">
        <f t="shared" si="3"/>
        <v>0</v>
      </c>
    </row>
    <row r="37" spans="1:61" ht="28.9" customHeight="1" x14ac:dyDescent="0.35">
      <c r="A37" s="5">
        <v>27</v>
      </c>
      <c r="B37" s="26" t="str">
        <f>'6'!B37</f>
        <v>كفر ميت العبسى</v>
      </c>
      <c r="C37" s="26">
        <f>'6'!C37</f>
        <v>1180</v>
      </c>
      <c r="D37" s="26"/>
      <c r="E37" s="12"/>
      <c r="F37" s="2">
        <f>E37+'6'!F37</f>
        <v>12</v>
      </c>
      <c r="G37" s="2"/>
      <c r="H37" s="2">
        <f>G37+'6'!H37</f>
        <v>248</v>
      </c>
      <c r="I37" s="2"/>
      <c r="J37" s="2">
        <f>I37+'6'!J37</f>
        <v>443</v>
      </c>
      <c r="K37" s="2"/>
      <c r="L37" s="2">
        <f>K37+'6'!L37</f>
        <v>0</v>
      </c>
      <c r="M37" s="2"/>
      <c r="N37" s="2">
        <f>M37+'6'!N37</f>
        <v>0</v>
      </c>
      <c r="O37" s="2"/>
      <c r="P37" s="2">
        <f>O37+'6'!P37</f>
        <v>0</v>
      </c>
      <c r="Q37" s="4">
        <f t="shared" si="4"/>
        <v>0</v>
      </c>
      <c r="R37" s="4">
        <f>Q37+'6'!R37</f>
        <v>703</v>
      </c>
      <c r="S37" s="27">
        <f t="shared" si="5"/>
        <v>0.59576271186440677</v>
      </c>
      <c r="T37" s="12"/>
      <c r="U37" s="12">
        <f>T37+'6'!U37</f>
        <v>53</v>
      </c>
      <c r="V37" s="12"/>
      <c r="W37" s="12">
        <f>V37+'6'!W37</f>
        <v>11</v>
      </c>
      <c r="X37" s="12"/>
      <c r="Y37" s="12">
        <f>X37+'6'!Y37</f>
        <v>0</v>
      </c>
      <c r="AB37" s="5">
        <v>27</v>
      </c>
      <c r="AC37" s="26" t="str">
        <f>'6'!AC37</f>
        <v>كفر ميت العبسى</v>
      </c>
      <c r="AD37" s="28">
        <f>'6'!AI37</f>
        <v>33</v>
      </c>
      <c r="AE37" s="3"/>
      <c r="AF37" s="28">
        <f>AE37+'6'!AF37</f>
        <v>104</v>
      </c>
      <c r="AG37" s="4"/>
      <c r="AH37" s="28">
        <f>AG37+'6'!AH37</f>
        <v>71</v>
      </c>
      <c r="AI37" s="4">
        <f t="shared" si="6"/>
        <v>33</v>
      </c>
      <c r="AJ37" s="11" t="e">
        <f t="shared" si="0"/>
        <v>#DIV/0!</v>
      </c>
      <c r="AK37" s="53">
        <f t="shared" si="1"/>
        <v>9.9014084507042259</v>
      </c>
      <c r="AW37" s="26" t="str">
        <f>'6'!AW37</f>
        <v>كفر ميت العبسى</v>
      </c>
      <c r="AX37" s="12">
        <f>'6'!AX37</f>
        <v>2</v>
      </c>
      <c r="AY37" s="12">
        <f>'6'!AY37</f>
        <v>494</v>
      </c>
      <c r="AZ37" s="12"/>
      <c r="BA37" s="12"/>
      <c r="BB37" s="12">
        <f>BA37+'6'!BB37</f>
        <v>418</v>
      </c>
      <c r="BC37" s="30">
        <f t="shared" si="2"/>
        <v>0.84615384615384615</v>
      </c>
      <c r="BD37" s="12">
        <f>'6'!BD37</f>
        <v>4</v>
      </c>
      <c r="BE37" s="12">
        <f>'6'!BE37</f>
        <v>114</v>
      </c>
      <c r="BF37" s="12"/>
      <c r="BG37" s="12"/>
      <c r="BH37" s="12">
        <f>BG37+'6'!BH37</f>
        <v>73</v>
      </c>
      <c r="BI37" s="30">
        <f t="shared" si="3"/>
        <v>0.64035087719298245</v>
      </c>
    </row>
    <row r="38" spans="1:61" ht="28.9" customHeight="1" x14ac:dyDescent="0.35">
      <c r="A38" s="5">
        <v>28</v>
      </c>
      <c r="B38" s="26" t="str">
        <f>'6'!B38</f>
        <v>كفر وهــــــــــب</v>
      </c>
      <c r="C38" s="26">
        <f>'6'!C38</f>
        <v>1854.9999999999998</v>
      </c>
      <c r="D38" s="26"/>
      <c r="E38" s="12"/>
      <c r="F38" s="2">
        <f>E38+'6'!F38</f>
        <v>7</v>
      </c>
      <c r="G38" s="2"/>
      <c r="H38" s="2">
        <f>G38+'6'!H38</f>
        <v>265</v>
      </c>
      <c r="I38" s="2"/>
      <c r="J38" s="2">
        <f>I38+'6'!J38</f>
        <v>618</v>
      </c>
      <c r="K38" s="2"/>
      <c r="L38" s="2">
        <f>K38+'6'!L38</f>
        <v>0</v>
      </c>
      <c r="M38" s="2"/>
      <c r="N38" s="2">
        <f>M38+'6'!N38</f>
        <v>0</v>
      </c>
      <c r="O38" s="2"/>
      <c r="P38" s="2">
        <f>O38+'6'!P38</f>
        <v>0</v>
      </c>
      <c r="Q38" s="4">
        <f t="shared" si="4"/>
        <v>0</v>
      </c>
      <c r="R38" s="4">
        <f>Q38+'6'!R38</f>
        <v>890</v>
      </c>
      <c r="S38" s="27">
        <f t="shared" si="5"/>
        <v>0.47978436657681944</v>
      </c>
      <c r="T38" s="12"/>
      <c r="U38" s="12">
        <f>T38+'6'!U38</f>
        <v>123</v>
      </c>
      <c r="V38" s="12"/>
      <c r="W38" s="12">
        <f>V38+'6'!W38</f>
        <v>7</v>
      </c>
      <c r="X38" s="12"/>
      <c r="Y38" s="12">
        <f>X38+'6'!Y38</f>
        <v>0</v>
      </c>
      <c r="AB38" s="5">
        <v>28</v>
      </c>
      <c r="AC38" s="26" t="str">
        <f>'6'!AC38</f>
        <v>كفر وهــــــــــب</v>
      </c>
      <c r="AD38" s="28">
        <f>'6'!AI38</f>
        <v>72</v>
      </c>
      <c r="AE38" s="3"/>
      <c r="AF38" s="28">
        <f>AE38+'6'!AF38</f>
        <v>163</v>
      </c>
      <c r="AG38" s="4"/>
      <c r="AH38" s="28">
        <f>AG38+'6'!AH38</f>
        <v>91</v>
      </c>
      <c r="AI38" s="4">
        <f t="shared" si="6"/>
        <v>72</v>
      </c>
      <c r="AJ38" s="11" t="e">
        <f t="shared" si="0"/>
        <v>#DIV/0!</v>
      </c>
      <c r="AK38" s="53">
        <f t="shared" si="1"/>
        <v>9.780219780219781</v>
      </c>
      <c r="AW38" s="26" t="str">
        <f>'6'!AW38</f>
        <v>كفر وهــــــــــب</v>
      </c>
      <c r="AX38" s="12">
        <f>'6'!AX38</f>
        <v>2</v>
      </c>
      <c r="AY38" s="12">
        <f>'6'!AY38</f>
        <v>793</v>
      </c>
      <c r="AZ38" s="12"/>
      <c r="BA38" s="12"/>
      <c r="BB38" s="12">
        <f>BA38+'6'!BB38</f>
        <v>623</v>
      </c>
      <c r="BC38" s="30">
        <f t="shared" si="2"/>
        <v>0.78562421185372</v>
      </c>
      <c r="BD38" s="12">
        <f>'6'!BD38</f>
        <v>3</v>
      </c>
      <c r="BE38" s="12">
        <f>'6'!BE38</f>
        <v>180</v>
      </c>
      <c r="BF38" s="12"/>
      <c r="BG38" s="12"/>
      <c r="BH38" s="12">
        <f>BG38+'6'!BH38</f>
        <v>160</v>
      </c>
      <c r="BI38" s="30">
        <f t="shared" si="3"/>
        <v>0.88888888888888884</v>
      </c>
    </row>
    <row r="39" spans="1:61" ht="28.9" customHeight="1" x14ac:dyDescent="0.35">
      <c r="A39" s="5">
        <v>29</v>
      </c>
      <c r="B39" s="26" t="str">
        <f>'6'!B39</f>
        <v>دمــــــــــــــهوج</v>
      </c>
      <c r="C39" s="26">
        <f>'6'!C39</f>
        <v>2738</v>
      </c>
      <c r="D39" s="26"/>
      <c r="E39" s="12"/>
      <c r="F39" s="2">
        <f>E39+'6'!F39</f>
        <v>11</v>
      </c>
      <c r="G39" s="2"/>
      <c r="H39" s="2">
        <f>G39+'6'!H39</f>
        <v>437</v>
      </c>
      <c r="I39" s="2"/>
      <c r="J39" s="2">
        <f>I39+'6'!J39</f>
        <v>832</v>
      </c>
      <c r="K39" s="2"/>
      <c r="L39" s="2">
        <f>K39+'6'!L39</f>
        <v>0</v>
      </c>
      <c r="M39" s="2"/>
      <c r="N39" s="2">
        <f>M39+'6'!N39</f>
        <v>0</v>
      </c>
      <c r="O39" s="2"/>
      <c r="P39" s="2">
        <f>O39+'6'!P39</f>
        <v>0</v>
      </c>
      <c r="Q39" s="4">
        <f t="shared" si="4"/>
        <v>0</v>
      </c>
      <c r="R39" s="4">
        <f>Q39+'6'!R39</f>
        <v>1280</v>
      </c>
      <c r="S39" s="27">
        <f t="shared" si="5"/>
        <v>0.46749452154857563</v>
      </c>
      <c r="T39" s="12"/>
      <c r="U39" s="12">
        <f>T39+'6'!U39</f>
        <v>158</v>
      </c>
      <c r="V39" s="12"/>
      <c r="W39" s="12">
        <f>V39+'6'!W39</f>
        <v>7</v>
      </c>
      <c r="X39" s="12"/>
      <c r="Y39" s="12">
        <f>X39+'6'!Y39</f>
        <v>0</v>
      </c>
      <c r="AB39" s="5">
        <v>29</v>
      </c>
      <c r="AC39" s="26" t="str">
        <f>'6'!AC39</f>
        <v>دمــــــــــــــهوج</v>
      </c>
      <c r="AD39" s="28">
        <f>'6'!AI39</f>
        <v>109</v>
      </c>
      <c r="AE39" s="3"/>
      <c r="AF39" s="28">
        <f>AE39+'6'!AF39</f>
        <v>240</v>
      </c>
      <c r="AG39" s="4"/>
      <c r="AH39" s="28">
        <f>AG39+'6'!AH39</f>
        <v>131</v>
      </c>
      <c r="AI39" s="4">
        <f t="shared" si="6"/>
        <v>109</v>
      </c>
      <c r="AJ39" s="11" t="e">
        <f t="shared" si="0"/>
        <v>#DIV/0!</v>
      </c>
      <c r="AK39" s="53">
        <f t="shared" si="1"/>
        <v>9.770992366412214</v>
      </c>
      <c r="AW39" s="26" t="str">
        <f>'6'!AW39</f>
        <v>دمــــــــــــــهوج</v>
      </c>
      <c r="AX39" s="12">
        <f>'6'!AX39</f>
        <v>2</v>
      </c>
      <c r="AY39" s="12">
        <f>'6'!AY39</f>
        <v>1086</v>
      </c>
      <c r="AZ39" s="12"/>
      <c r="BA39" s="12"/>
      <c r="BB39" s="12">
        <f>BA39+'6'!BB39</f>
        <v>834</v>
      </c>
      <c r="BC39" s="30">
        <f t="shared" si="2"/>
        <v>0.76795580110497241</v>
      </c>
      <c r="BD39" s="12">
        <f>'6'!BD39</f>
        <v>10</v>
      </c>
      <c r="BE39" s="12">
        <f>'6'!BE39</f>
        <v>455</v>
      </c>
      <c r="BF39" s="12"/>
      <c r="BG39" s="12"/>
      <c r="BH39" s="12">
        <f>BG39+'6'!BH39</f>
        <v>439</v>
      </c>
      <c r="BI39" s="30">
        <f t="shared" si="3"/>
        <v>0.96483516483516485</v>
      </c>
    </row>
    <row r="40" spans="1:61" ht="28.9" customHeight="1" x14ac:dyDescent="0.35">
      <c r="A40" s="5">
        <v>30</v>
      </c>
      <c r="B40" s="26" t="str">
        <f>'6'!B40</f>
        <v>كفر زين الدين</v>
      </c>
      <c r="C40" s="26">
        <f>'6'!C40</f>
        <v>819</v>
      </c>
      <c r="D40" s="26"/>
      <c r="E40" s="12"/>
      <c r="F40" s="2">
        <f>E40+'6'!F40</f>
        <v>9</v>
      </c>
      <c r="G40" s="2"/>
      <c r="H40" s="2">
        <f>G40+'6'!H40</f>
        <v>266</v>
      </c>
      <c r="I40" s="2"/>
      <c r="J40" s="2">
        <f>I40+'6'!J40</f>
        <v>430</v>
      </c>
      <c r="K40" s="2"/>
      <c r="L40" s="2">
        <f>K40+'6'!L40</f>
        <v>0</v>
      </c>
      <c r="M40" s="2"/>
      <c r="N40" s="2">
        <f>M40+'6'!N40</f>
        <v>0</v>
      </c>
      <c r="O40" s="2"/>
      <c r="P40" s="2">
        <f>O40+'6'!P40</f>
        <v>0</v>
      </c>
      <c r="Q40" s="4">
        <f t="shared" si="4"/>
        <v>0</v>
      </c>
      <c r="R40" s="4">
        <f>Q40+'6'!R40</f>
        <v>705</v>
      </c>
      <c r="S40" s="27">
        <f t="shared" si="5"/>
        <v>0.86080586080586086</v>
      </c>
      <c r="T40" s="12"/>
      <c r="U40" s="12">
        <f>T40+'6'!U40</f>
        <v>76</v>
      </c>
      <c r="V40" s="12"/>
      <c r="W40" s="12">
        <f>V40+'6'!W40</f>
        <v>26</v>
      </c>
      <c r="X40" s="12"/>
      <c r="Y40" s="12">
        <f>X40+'6'!Y40</f>
        <v>0</v>
      </c>
      <c r="AB40" s="5">
        <v>30</v>
      </c>
      <c r="AC40" s="26" t="str">
        <f>'6'!AC40</f>
        <v>كفر زين الدين</v>
      </c>
      <c r="AD40" s="28">
        <f>'6'!AI40</f>
        <v>9</v>
      </c>
      <c r="AE40" s="3"/>
      <c r="AF40" s="28">
        <f>AE40+'6'!AF40</f>
        <v>80</v>
      </c>
      <c r="AG40" s="4"/>
      <c r="AH40" s="28">
        <f>AG40+'6'!AH40</f>
        <v>71</v>
      </c>
      <c r="AI40" s="4">
        <f t="shared" si="6"/>
        <v>9</v>
      </c>
      <c r="AJ40" s="11" t="e">
        <f t="shared" si="0"/>
        <v>#DIV/0!</v>
      </c>
      <c r="AK40" s="53">
        <f t="shared" si="1"/>
        <v>9.929577464788732</v>
      </c>
      <c r="AW40" s="26" t="str">
        <f>'6'!AW40</f>
        <v>كفر زين الدين</v>
      </c>
      <c r="AX40" s="12">
        <f>'6'!AX40</f>
        <v>1</v>
      </c>
      <c r="AY40" s="12">
        <f>'6'!AY40</f>
        <v>563</v>
      </c>
      <c r="AZ40" s="12"/>
      <c r="BA40" s="12"/>
      <c r="BB40" s="12">
        <f>BA40+'6'!BB40</f>
        <v>364</v>
      </c>
      <c r="BC40" s="30">
        <f t="shared" si="2"/>
        <v>0.64653641207815271</v>
      </c>
      <c r="BD40" s="12">
        <f>'6'!BD40</f>
        <v>2</v>
      </c>
      <c r="BE40" s="12">
        <f>'6'!BE40</f>
        <v>87</v>
      </c>
      <c r="BF40" s="12"/>
      <c r="BG40" s="12"/>
      <c r="BH40" s="12">
        <f>BG40+'6'!BH40</f>
        <v>166</v>
      </c>
      <c r="BI40" s="30">
        <f t="shared" si="3"/>
        <v>1.9080459770114941</v>
      </c>
    </row>
    <row r="41" spans="1:61" ht="28.9" customHeight="1" x14ac:dyDescent="0.35">
      <c r="A41" s="5">
        <v>31</v>
      </c>
      <c r="B41" s="26" t="str">
        <f>'6'!B41</f>
        <v>عزبــة أبوالنصر</v>
      </c>
      <c r="C41" s="26">
        <f>'6'!C41</f>
        <v>410</v>
      </c>
      <c r="D41" s="26"/>
      <c r="E41" s="12"/>
      <c r="F41" s="2">
        <f>E41+'6'!F41</f>
        <v>10</v>
      </c>
      <c r="G41" s="2"/>
      <c r="H41" s="2">
        <f>G41+'6'!H41</f>
        <v>229</v>
      </c>
      <c r="I41" s="2"/>
      <c r="J41" s="2">
        <f>I41+'6'!J41</f>
        <v>120</v>
      </c>
      <c r="K41" s="2"/>
      <c r="L41" s="2">
        <f>K41+'6'!L41</f>
        <v>0</v>
      </c>
      <c r="M41" s="2"/>
      <c r="N41" s="2">
        <f>M41+'6'!N41</f>
        <v>0</v>
      </c>
      <c r="O41" s="2"/>
      <c r="P41" s="2">
        <f>O41+'6'!P41</f>
        <v>0</v>
      </c>
      <c r="Q41" s="4">
        <f t="shared" si="4"/>
        <v>0</v>
      </c>
      <c r="R41" s="4">
        <f>Q41+'6'!R41</f>
        <v>359</v>
      </c>
      <c r="S41" s="27">
        <f t="shared" si="5"/>
        <v>0.87560975609756098</v>
      </c>
      <c r="T41" s="12"/>
      <c r="U41" s="12">
        <f>T41+'6'!U41</f>
        <v>0</v>
      </c>
      <c r="V41" s="12"/>
      <c r="W41" s="12">
        <f>V41+'6'!W41</f>
        <v>0</v>
      </c>
      <c r="X41" s="12"/>
      <c r="Y41" s="12">
        <f>X41+'6'!Y41</f>
        <v>0</v>
      </c>
      <c r="AB41" s="5">
        <v>31</v>
      </c>
      <c r="AC41" s="26" t="str">
        <f>'6'!AC41</f>
        <v>عزبــة أبوالنصر</v>
      </c>
      <c r="AD41" s="28">
        <f>'6'!AI41</f>
        <v>4</v>
      </c>
      <c r="AE41" s="3"/>
      <c r="AF41" s="28">
        <f>AE41+'6'!AF41</f>
        <v>41</v>
      </c>
      <c r="AG41" s="4"/>
      <c r="AH41" s="28">
        <f>AG41+'6'!AH41</f>
        <v>37</v>
      </c>
      <c r="AI41" s="4">
        <f t="shared" si="6"/>
        <v>4</v>
      </c>
      <c r="AJ41" s="11" t="e">
        <f t="shared" si="0"/>
        <v>#DIV/0!</v>
      </c>
      <c r="AK41" s="53">
        <f t="shared" si="1"/>
        <v>9.7027027027027035</v>
      </c>
      <c r="AW41" s="26" t="str">
        <f>'6'!AW41</f>
        <v>عزبــة أبوالنصر</v>
      </c>
      <c r="AX41" s="12">
        <f>'6'!AX41</f>
        <v>2</v>
      </c>
      <c r="AY41" s="12">
        <f>'6'!AY41</f>
        <v>70</v>
      </c>
      <c r="AZ41" s="12"/>
      <c r="BA41" s="12"/>
      <c r="BB41" s="12">
        <f>BA41+'6'!BB41</f>
        <v>65</v>
      </c>
      <c r="BC41" s="30">
        <f t="shared" si="2"/>
        <v>0.9285714285714286</v>
      </c>
      <c r="BD41" s="12">
        <f>'6'!BD41</f>
        <v>3</v>
      </c>
      <c r="BE41" s="12">
        <f>'6'!BE41</f>
        <v>75</v>
      </c>
      <c r="BF41" s="12"/>
      <c r="BG41" s="12"/>
      <c r="BH41" s="12">
        <f>BG41+'6'!BH41</f>
        <v>36</v>
      </c>
      <c r="BI41" s="30">
        <f t="shared" si="3"/>
        <v>0.48</v>
      </c>
    </row>
    <row r="42" spans="1:61" ht="28.9" customHeight="1" x14ac:dyDescent="0.35">
      <c r="A42" s="5">
        <v>32</v>
      </c>
      <c r="B42" s="26" t="str">
        <f>'6'!B42</f>
        <v>شمنديــــــــــــــل</v>
      </c>
      <c r="C42" s="26">
        <f>'6'!C42</f>
        <v>880</v>
      </c>
      <c r="D42" s="26"/>
      <c r="E42" s="12"/>
      <c r="F42" s="2">
        <f>E42+'6'!F42</f>
        <v>7</v>
      </c>
      <c r="G42" s="2"/>
      <c r="H42" s="2">
        <f>G42+'6'!H42</f>
        <v>219</v>
      </c>
      <c r="I42" s="2"/>
      <c r="J42" s="2">
        <f>I42+'6'!J42</f>
        <v>421</v>
      </c>
      <c r="K42" s="2"/>
      <c r="L42" s="2">
        <f>K42+'6'!L42</f>
        <v>0</v>
      </c>
      <c r="M42" s="2"/>
      <c r="N42" s="2">
        <f>M42+'6'!N42</f>
        <v>0</v>
      </c>
      <c r="O42" s="2"/>
      <c r="P42" s="2">
        <f>O42+'6'!P42</f>
        <v>0</v>
      </c>
      <c r="Q42" s="4">
        <f t="shared" si="4"/>
        <v>0</v>
      </c>
      <c r="R42" s="4">
        <f>Q42+'6'!R42</f>
        <v>647</v>
      </c>
      <c r="S42" s="27">
        <f t="shared" si="5"/>
        <v>0.73522727272727273</v>
      </c>
      <c r="T42" s="12"/>
      <c r="U42" s="12">
        <f>T42+'6'!U42</f>
        <v>69</v>
      </c>
      <c r="V42" s="12"/>
      <c r="W42" s="12">
        <f>V42+'6'!W42</f>
        <v>11</v>
      </c>
      <c r="X42" s="12"/>
      <c r="Y42" s="12">
        <f>X42+'6'!Y42</f>
        <v>0</v>
      </c>
      <c r="AB42" s="5">
        <v>32</v>
      </c>
      <c r="AC42" s="26" t="str">
        <f>'6'!AC42</f>
        <v>شمنديــــــــــــــل</v>
      </c>
      <c r="AD42" s="28">
        <f>'6'!AI42</f>
        <v>9</v>
      </c>
      <c r="AE42" s="3"/>
      <c r="AF42" s="28">
        <f>AE42+'6'!AF42</f>
        <v>78</v>
      </c>
      <c r="AG42" s="4"/>
      <c r="AH42" s="28">
        <f>AG42+'6'!AH42</f>
        <v>69</v>
      </c>
      <c r="AI42" s="4">
        <f t="shared" si="6"/>
        <v>9</v>
      </c>
      <c r="AJ42" s="11" t="e">
        <f t="shared" si="0"/>
        <v>#DIV/0!</v>
      </c>
      <c r="AK42" s="53">
        <f t="shared" si="1"/>
        <v>9.3768115942028984</v>
      </c>
      <c r="AW42" s="26" t="str">
        <f>'6'!AW42</f>
        <v>شمنديــــــــــــــل</v>
      </c>
      <c r="AX42" s="12">
        <f>'6'!AX42</f>
        <v>2</v>
      </c>
      <c r="AY42" s="12">
        <f>'6'!AY42</f>
        <v>569</v>
      </c>
      <c r="AZ42" s="12"/>
      <c r="BA42" s="12"/>
      <c r="BB42" s="12">
        <f>BA42+'6'!BB42</f>
        <v>453</v>
      </c>
      <c r="BC42" s="30">
        <f t="shared" si="2"/>
        <v>0.79613356766256593</v>
      </c>
      <c r="BD42" s="12">
        <f>'6'!BD42</f>
        <v>1</v>
      </c>
      <c r="BE42" s="12">
        <f>'6'!BE42</f>
        <v>39</v>
      </c>
      <c r="BF42" s="12"/>
      <c r="BG42" s="12"/>
      <c r="BH42" s="12">
        <f>BG42+'6'!BH42</f>
        <v>82</v>
      </c>
      <c r="BI42" s="30">
        <f t="shared" si="3"/>
        <v>2.1025641025641026</v>
      </c>
    </row>
    <row r="43" spans="1:61" ht="28.9" customHeight="1" x14ac:dyDescent="0.35">
      <c r="A43" s="5">
        <v>33</v>
      </c>
      <c r="B43" s="26" t="str">
        <f>'6'!B43</f>
        <v>كفور الرمل</v>
      </c>
      <c r="C43" s="26">
        <f>'6'!C43</f>
        <v>1721</v>
      </c>
      <c r="D43" s="26"/>
      <c r="E43" s="12"/>
      <c r="F43" s="2">
        <f>E43+'6'!F43</f>
        <v>17</v>
      </c>
      <c r="G43" s="2"/>
      <c r="H43" s="2">
        <f>G43+'6'!H43</f>
        <v>505</v>
      </c>
      <c r="I43" s="2"/>
      <c r="J43" s="2">
        <f>I43+'6'!J43</f>
        <v>718</v>
      </c>
      <c r="K43" s="2"/>
      <c r="L43" s="2">
        <f>K43+'6'!L43</f>
        <v>0</v>
      </c>
      <c r="M43" s="2"/>
      <c r="N43" s="2">
        <f>M43+'6'!N43</f>
        <v>0</v>
      </c>
      <c r="O43" s="2"/>
      <c r="P43" s="2">
        <f>O43+'6'!P43</f>
        <v>0</v>
      </c>
      <c r="Q43" s="4">
        <f t="shared" si="4"/>
        <v>0</v>
      </c>
      <c r="R43" s="4">
        <f>Q43+'6'!R43</f>
        <v>1240</v>
      </c>
      <c r="S43" s="27">
        <f t="shared" si="5"/>
        <v>0.72051133062173156</v>
      </c>
      <c r="T43" s="12"/>
      <c r="U43" s="12">
        <f>T43+'6'!U43</f>
        <v>192</v>
      </c>
      <c r="V43" s="12"/>
      <c r="W43" s="12">
        <f>V43+'6'!W43</f>
        <v>100</v>
      </c>
      <c r="X43" s="12"/>
      <c r="Y43" s="12">
        <f>X43+'6'!Y43</f>
        <v>0</v>
      </c>
      <c r="AB43" s="5">
        <v>33</v>
      </c>
      <c r="AC43" s="26" t="str">
        <f>'6'!AC43</f>
        <v>كفور الرمل</v>
      </c>
      <c r="AD43" s="28">
        <f>'6'!AI43</f>
        <v>15</v>
      </c>
      <c r="AE43" s="3"/>
      <c r="AF43" s="28">
        <f>AE43+'6'!AF43</f>
        <v>150</v>
      </c>
      <c r="AG43" s="4"/>
      <c r="AH43" s="28">
        <f>AG43+'6'!AH43</f>
        <v>135</v>
      </c>
      <c r="AI43" s="4">
        <f t="shared" si="6"/>
        <v>15</v>
      </c>
      <c r="AJ43" s="11" t="e">
        <f t="shared" si="0"/>
        <v>#DIV/0!</v>
      </c>
      <c r="AK43" s="53">
        <f t="shared" si="1"/>
        <v>9.1851851851851851</v>
      </c>
      <c r="AW43" s="26" t="str">
        <f>'6'!AW43</f>
        <v>كفور الرمل</v>
      </c>
      <c r="AX43" s="12">
        <f>'6'!AX43</f>
        <v>4</v>
      </c>
      <c r="AY43" s="12">
        <f>'6'!AY43</f>
        <v>1335</v>
      </c>
      <c r="AZ43" s="12"/>
      <c r="BA43" s="12"/>
      <c r="BB43" s="12">
        <f>BA43+'6'!BB43</f>
        <v>918</v>
      </c>
      <c r="BC43" s="30">
        <f t="shared" si="2"/>
        <v>0.68764044943820224</v>
      </c>
      <c r="BD43" s="12">
        <f>'6'!BD43</f>
        <v>7</v>
      </c>
      <c r="BE43" s="12">
        <f>'6'!BE43</f>
        <v>753</v>
      </c>
      <c r="BF43" s="12"/>
      <c r="BG43" s="12"/>
      <c r="BH43" s="12">
        <f>BG43+'6'!BH43</f>
        <v>414</v>
      </c>
      <c r="BI43" s="30">
        <f t="shared" si="3"/>
        <v>0.54980079681274896</v>
      </c>
    </row>
    <row r="44" spans="1:61" ht="28.9" customHeight="1" x14ac:dyDescent="0.35">
      <c r="A44" s="5">
        <v>34</v>
      </c>
      <c r="B44" s="26" t="str">
        <f>'6'!B44</f>
        <v>منشأة أم خنان</v>
      </c>
      <c r="C44" s="26">
        <f>'6'!C44</f>
        <v>510</v>
      </c>
      <c r="D44" s="26"/>
      <c r="E44" s="12"/>
      <c r="F44" s="2">
        <f>E44+'6'!F44</f>
        <v>12</v>
      </c>
      <c r="G44" s="2"/>
      <c r="H44" s="2">
        <f>G44+'6'!H44</f>
        <v>194</v>
      </c>
      <c r="I44" s="2"/>
      <c r="J44" s="2">
        <f>I44+'6'!J44</f>
        <v>291</v>
      </c>
      <c r="K44" s="2"/>
      <c r="L44" s="2">
        <f>K44+'6'!L44</f>
        <v>0</v>
      </c>
      <c r="M44" s="2"/>
      <c r="N44" s="2">
        <f>M44+'6'!N44</f>
        <v>0</v>
      </c>
      <c r="O44" s="2"/>
      <c r="P44" s="2">
        <f>O44+'6'!P44</f>
        <v>0</v>
      </c>
      <c r="Q44" s="4">
        <f t="shared" si="4"/>
        <v>0</v>
      </c>
      <c r="R44" s="4">
        <f>Q44+'6'!R44</f>
        <v>497</v>
      </c>
      <c r="S44" s="27">
        <f t="shared" si="5"/>
        <v>0.97450980392156861</v>
      </c>
      <c r="T44" s="12"/>
      <c r="U44" s="12">
        <f>T44+'6'!U44</f>
        <v>11</v>
      </c>
      <c r="V44" s="12"/>
      <c r="W44" s="12">
        <f>V44+'6'!W44</f>
        <v>7</v>
      </c>
      <c r="X44" s="12"/>
      <c r="Y44" s="12">
        <f>X44+'6'!Y44</f>
        <v>0</v>
      </c>
      <c r="AB44" s="5">
        <v>34</v>
      </c>
      <c r="AC44" s="26" t="str">
        <f>'6'!AC44</f>
        <v>منشأة أم خنان</v>
      </c>
      <c r="AD44" s="28">
        <f>'6'!AI44</f>
        <v>4</v>
      </c>
      <c r="AE44" s="3"/>
      <c r="AF44" s="28">
        <f>AE44+'6'!AF44</f>
        <v>55</v>
      </c>
      <c r="AG44" s="4"/>
      <c r="AH44" s="28">
        <f>AG44+'6'!AH44</f>
        <v>51</v>
      </c>
      <c r="AI44" s="4">
        <f t="shared" si="6"/>
        <v>4</v>
      </c>
      <c r="AJ44" s="11" t="e">
        <f t="shared" si="0"/>
        <v>#DIV/0!</v>
      </c>
      <c r="AK44" s="53">
        <f t="shared" si="1"/>
        <v>9.7450980392156854</v>
      </c>
      <c r="AW44" s="26" t="str">
        <f>'6'!AW44</f>
        <v>منشأة أم خنان</v>
      </c>
      <c r="AX44" s="12">
        <f>'6'!AX44</f>
        <v>1</v>
      </c>
      <c r="AY44" s="12">
        <f>'6'!AY44</f>
        <v>277</v>
      </c>
      <c r="AZ44" s="12"/>
      <c r="BA44" s="12"/>
      <c r="BB44" s="12">
        <f>BA44+'6'!BB44</f>
        <v>269</v>
      </c>
      <c r="BC44" s="30">
        <f t="shared" si="2"/>
        <v>0.97111913357400725</v>
      </c>
      <c r="BD44" s="12">
        <f>'6'!BD44</f>
        <v>3</v>
      </c>
      <c r="BE44" s="12">
        <f>'6'!BE44</f>
        <v>170</v>
      </c>
      <c r="BF44" s="12"/>
      <c r="BG44" s="12"/>
      <c r="BH44" s="12">
        <f>BG44+'6'!BH44</f>
        <v>115</v>
      </c>
      <c r="BI44" s="30">
        <f t="shared" si="3"/>
        <v>0.67647058823529416</v>
      </c>
    </row>
    <row r="45" spans="1:61" ht="28.9" customHeight="1" x14ac:dyDescent="0.35">
      <c r="A45" s="5">
        <v>35</v>
      </c>
      <c r="B45" s="26">
        <f>'6'!B45</f>
        <v>0</v>
      </c>
      <c r="C45" s="26">
        <f>'6'!C45</f>
        <v>0</v>
      </c>
      <c r="D45" s="26"/>
      <c r="E45" s="12"/>
      <c r="F45" s="2">
        <f>E45+'6'!F45</f>
        <v>0</v>
      </c>
      <c r="G45" s="2"/>
      <c r="H45" s="2">
        <f>G45+'6'!H45</f>
        <v>0</v>
      </c>
      <c r="I45" s="2"/>
      <c r="J45" s="2">
        <f>I45+'6'!J45</f>
        <v>0</v>
      </c>
      <c r="K45" s="2"/>
      <c r="L45" s="2">
        <f>K45+'6'!L45</f>
        <v>0</v>
      </c>
      <c r="M45" s="2"/>
      <c r="N45" s="2">
        <f>M45+'6'!N45</f>
        <v>0</v>
      </c>
      <c r="O45" s="2"/>
      <c r="P45" s="2">
        <f>O45+'6'!P45</f>
        <v>0</v>
      </c>
      <c r="Q45" s="4">
        <f t="shared" si="4"/>
        <v>0</v>
      </c>
      <c r="R45" s="4">
        <f>Q45+'6'!R45</f>
        <v>0</v>
      </c>
      <c r="S45" s="27" t="e">
        <f t="shared" si="5"/>
        <v>#DIV/0!</v>
      </c>
      <c r="T45" s="12"/>
      <c r="U45" s="12">
        <f>T45+'6'!U45</f>
        <v>0</v>
      </c>
      <c r="V45" s="12"/>
      <c r="W45" s="12">
        <f>V45+'6'!W45</f>
        <v>0</v>
      </c>
      <c r="X45" s="12"/>
      <c r="Y45" s="12">
        <f>X45+'6'!Y45</f>
        <v>0</v>
      </c>
      <c r="AB45" s="5">
        <v>35</v>
      </c>
      <c r="AC45" s="26">
        <f>'6'!AC45</f>
        <v>0</v>
      </c>
      <c r="AD45" s="28">
        <f>'6'!AI45</f>
        <v>0</v>
      </c>
      <c r="AE45" s="3"/>
      <c r="AF45" s="28">
        <f>AE45+'6'!AF45</f>
        <v>0</v>
      </c>
      <c r="AG45" s="4"/>
      <c r="AH45" s="28">
        <f>AG45+'6'!AH45</f>
        <v>0</v>
      </c>
      <c r="AI45" s="4">
        <f t="shared" si="6"/>
        <v>0</v>
      </c>
      <c r="AJ45" s="11" t="e">
        <f t="shared" si="0"/>
        <v>#DIV/0!</v>
      </c>
      <c r="AK45" s="53" t="e">
        <f t="shared" si="1"/>
        <v>#DIV/0!</v>
      </c>
      <c r="AW45" s="26">
        <f>'6'!AW45</f>
        <v>0</v>
      </c>
      <c r="AX45" s="12">
        <f>'6'!AX45</f>
        <v>0</v>
      </c>
      <c r="AY45" s="12">
        <f>'6'!AY45</f>
        <v>0</v>
      </c>
      <c r="AZ45" s="12"/>
      <c r="BA45" s="12"/>
      <c r="BB45" s="12">
        <f>BA45+'6'!BB45</f>
        <v>0</v>
      </c>
      <c r="BC45" s="30" t="e">
        <f t="shared" si="2"/>
        <v>#DIV/0!</v>
      </c>
      <c r="BD45" s="12">
        <f>'6'!BD45</f>
        <v>0</v>
      </c>
      <c r="BE45" s="12">
        <f>'6'!BE45</f>
        <v>0</v>
      </c>
      <c r="BF45" s="12"/>
      <c r="BG45" s="12"/>
      <c r="BH45" s="12">
        <f>BG45+'6'!BH45</f>
        <v>0</v>
      </c>
      <c r="BI45" s="30" t="e">
        <f t="shared" si="3"/>
        <v>#DIV/0!</v>
      </c>
    </row>
    <row r="46" spans="1:61" ht="28.9" customHeight="1" x14ac:dyDescent="0.35">
      <c r="A46" s="5">
        <v>36</v>
      </c>
      <c r="B46" s="26">
        <f>'6'!B46</f>
        <v>0</v>
      </c>
      <c r="C46" s="26">
        <f>'6'!C46</f>
        <v>0</v>
      </c>
      <c r="D46" s="26"/>
      <c r="E46" s="12"/>
      <c r="F46" s="2">
        <f>E46+'6'!F46</f>
        <v>0</v>
      </c>
      <c r="G46" s="2"/>
      <c r="H46" s="2">
        <f>G46+'6'!H46</f>
        <v>0</v>
      </c>
      <c r="I46" s="2"/>
      <c r="J46" s="2">
        <f>I46+'6'!J46</f>
        <v>0</v>
      </c>
      <c r="K46" s="2"/>
      <c r="L46" s="2">
        <f>K46+'6'!L46</f>
        <v>0</v>
      </c>
      <c r="M46" s="2"/>
      <c r="N46" s="2">
        <f>M46+'6'!N46</f>
        <v>0</v>
      </c>
      <c r="O46" s="2"/>
      <c r="P46" s="2">
        <f>O46+'6'!P46</f>
        <v>0</v>
      </c>
      <c r="Q46" s="4">
        <f t="shared" si="4"/>
        <v>0</v>
      </c>
      <c r="R46" s="4">
        <f>Q46+'6'!R46</f>
        <v>0</v>
      </c>
      <c r="S46" s="27" t="e">
        <f t="shared" si="5"/>
        <v>#DIV/0!</v>
      </c>
      <c r="T46" s="12"/>
      <c r="U46" s="12">
        <f>T46+'6'!U46</f>
        <v>0</v>
      </c>
      <c r="V46" s="12"/>
      <c r="W46" s="12">
        <f>V46+'6'!W46</f>
        <v>0</v>
      </c>
      <c r="X46" s="12"/>
      <c r="Y46" s="12">
        <f>X46+'6'!Y46</f>
        <v>0</v>
      </c>
      <c r="AB46" s="5">
        <v>36</v>
      </c>
      <c r="AC46" s="26">
        <f>'6'!AC46</f>
        <v>0</v>
      </c>
      <c r="AD46" s="28">
        <f>'6'!AI46</f>
        <v>0</v>
      </c>
      <c r="AE46" s="3"/>
      <c r="AF46" s="28">
        <f>AE46+'6'!AF46</f>
        <v>0</v>
      </c>
      <c r="AG46" s="4"/>
      <c r="AH46" s="28">
        <f>AG46+'6'!AH46</f>
        <v>0</v>
      </c>
      <c r="AI46" s="4">
        <f t="shared" si="6"/>
        <v>0</v>
      </c>
      <c r="AJ46" s="11" t="e">
        <f t="shared" si="0"/>
        <v>#DIV/0!</v>
      </c>
      <c r="AK46" s="53" t="e">
        <f t="shared" si="1"/>
        <v>#DIV/0!</v>
      </c>
      <c r="AW46" s="26">
        <f>'6'!AW46</f>
        <v>0</v>
      </c>
      <c r="AX46" s="12">
        <f>'6'!AX46</f>
        <v>0</v>
      </c>
      <c r="AY46" s="12">
        <f>'6'!AY46</f>
        <v>0</v>
      </c>
      <c r="AZ46" s="12"/>
      <c r="BA46" s="12"/>
      <c r="BB46" s="12">
        <f>BA46+'6'!BB46</f>
        <v>0</v>
      </c>
      <c r="BC46" s="30" t="e">
        <f t="shared" si="2"/>
        <v>#DIV/0!</v>
      </c>
      <c r="BD46" s="12">
        <f>'6'!BD46</f>
        <v>0</v>
      </c>
      <c r="BE46" s="12">
        <f>'6'!BE46</f>
        <v>0</v>
      </c>
      <c r="BF46" s="12"/>
      <c r="BG46" s="12"/>
      <c r="BH46" s="12">
        <f>BG46+'6'!BH46</f>
        <v>0</v>
      </c>
      <c r="BI46" s="30" t="e">
        <f t="shared" si="3"/>
        <v>#DIV/0!</v>
      </c>
    </row>
    <row r="47" spans="1:61" ht="28.9" customHeight="1" x14ac:dyDescent="0.35">
      <c r="A47" s="5">
        <v>37</v>
      </c>
      <c r="B47" s="26">
        <f>'6'!B47</f>
        <v>0</v>
      </c>
      <c r="C47" s="26">
        <f>'6'!C47</f>
        <v>0</v>
      </c>
      <c r="D47" s="26"/>
      <c r="E47" s="12"/>
      <c r="F47" s="2">
        <f>E47+'6'!F47</f>
        <v>0</v>
      </c>
      <c r="G47" s="2"/>
      <c r="H47" s="2">
        <f>G47+'6'!H47</f>
        <v>0</v>
      </c>
      <c r="I47" s="2"/>
      <c r="J47" s="2">
        <f>I47+'6'!J47</f>
        <v>0</v>
      </c>
      <c r="K47" s="2"/>
      <c r="L47" s="2">
        <f>K47+'6'!L47</f>
        <v>0</v>
      </c>
      <c r="M47" s="2"/>
      <c r="N47" s="2">
        <f>M47+'6'!N47</f>
        <v>0</v>
      </c>
      <c r="O47" s="2"/>
      <c r="P47" s="2">
        <f>O47+'6'!P47</f>
        <v>0</v>
      </c>
      <c r="Q47" s="4">
        <f t="shared" si="4"/>
        <v>0</v>
      </c>
      <c r="R47" s="4">
        <f>Q47+'6'!R47</f>
        <v>0</v>
      </c>
      <c r="S47" s="27" t="e">
        <f t="shared" si="5"/>
        <v>#DIV/0!</v>
      </c>
      <c r="T47" s="12"/>
      <c r="U47" s="12">
        <f>T47+'6'!U47</f>
        <v>0</v>
      </c>
      <c r="V47" s="12"/>
      <c r="W47" s="12">
        <f>V47+'6'!W47</f>
        <v>0</v>
      </c>
      <c r="X47" s="12"/>
      <c r="Y47" s="12">
        <f>X47+'6'!Y47</f>
        <v>0</v>
      </c>
      <c r="AB47" s="5">
        <v>37</v>
      </c>
      <c r="AC47" s="26">
        <f>'6'!AC47</f>
        <v>0</v>
      </c>
      <c r="AD47" s="28">
        <f>'6'!AI47</f>
        <v>0</v>
      </c>
      <c r="AE47" s="3"/>
      <c r="AF47" s="28">
        <f>AE47+'6'!AF47</f>
        <v>0</v>
      </c>
      <c r="AG47" s="4"/>
      <c r="AH47" s="28">
        <f>AG47+'6'!AH47</f>
        <v>0</v>
      </c>
      <c r="AI47" s="4">
        <f t="shared" si="6"/>
        <v>0</v>
      </c>
      <c r="AJ47" s="11" t="e">
        <f t="shared" si="0"/>
        <v>#DIV/0!</v>
      </c>
      <c r="AK47" s="53" t="e">
        <f t="shared" si="1"/>
        <v>#DIV/0!</v>
      </c>
      <c r="AW47" s="26">
        <f>'6'!AW47</f>
        <v>0</v>
      </c>
      <c r="AX47" s="12">
        <f>'6'!AX47</f>
        <v>0</v>
      </c>
      <c r="AY47" s="12">
        <f>'6'!AY47</f>
        <v>0</v>
      </c>
      <c r="AZ47" s="12"/>
      <c r="BA47" s="12"/>
      <c r="BB47" s="12">
        <f>BA47+'6'!BB47</f>
        <v>0</v>
      </c>
      <c r="BC47" s="30" t="e">
        <f t="shared" si="2"/>
        <v>#DIV/0!</v>
      </c>
      <c r="BD47" s="12">
        <f>'6'!BD47</f>
        <v>0</v>
      </c>
      <c r="BE47" s="12">
        <f>'6'!BE47</f>
        <v>0</v>
      </c>
      <c r="BF47" s="12"/>
      <c r="BG47" s="12"/>
      <c r="BH47" s="12">
        <f>BG47+'6'!BH47</f>
        <v>0</v>
      </c>
      <c r="BI47" s="30" t="e">
        <f t="shared" si="3"/>
        <v>#DIV/0!</v>
      </c>
    </row>
    <row r="48" spans="1:61" ht="28.9" customHeight="1" x14ac:dyDescent="0.35">
      <c r="A48" s="5">
        <v>38</v>
      </c>
      <c r="B48" s="26">
        <f>'6'!B48</f>
        <v>0</v>
      </c>
      <c r="C48" s="26">
        <f>'6'!C48</f>
        <v>0</v>
      </c>
      <c r="D48" s="26"/>
      <c r="E48" s="12"/>
      <c r="F48" s="2">
        <f>E48+'6'!F48</f>
        <v>0</v>
      </c>
      <c r="G48" s="2"/>
      <c r="H48" s="2">
        <f>G48+'6'!H48</f>
        <v>0</v>
      </c>
      <c r="I48" s="2"/>
      <c r="J48" s="2">
        <f>I48+'6'!J48</f>
        <v>0</v>
      </c>
      <c r="K48" s="2"/>
      <c r="L48" s="2">
        <f>K48+'6'!L48</f>
        <v>0</v>
      </c>
      <c r="M48" s="2"/>
      <c r="N48" s="2">
        <f>M48+'6'!N48</f>
        <v>0</v>
      </c>
      <c r="O48" s="2"/>
      <c r="P48" s="2">
        <f>O48+'6'!P48</f>
        <v>0</v>
      </c>
      <c r="Q48" s="4">
        <f t="shared" si="4"/>
        <v>0</v>
      </c>
      <c r="R48" s="4">
        <f>Q48+'6'!R48</f>
        <v>0</v>
      </c>
      <c r="S48" s="27" t="e">
        <f t="shared" si="5"/>
        <v>#DIV/0!</v>
      </c>
      <c r="T48" s="12"/>
      <c r="U48" s="12">
        <f>T48+'6'!U48</f>
        <v>0</v>
      </c>
      <c r="V48" s="12"/>
      <c r="W48" s="12">
        <f>V48+'6'!W48</f>
        <v>0</v>
      </c>
      <c r="X48" s="12"/>
      <c r="Y48" s="12">
        <f>X48+'6'!Y48</f>
        <v>0</v>
      </c>
      <c r="AB48" s="5">
        <v>38</v>
      </c>
      <c r="AC48" s="26">
        <f>'6'!AC48</f>
        <v>0</v>
      </c>
      <c r="AD48" s="28">
        <f>'6'!AI48</f>
        <v>0</v>
      </c>
      <c r="AE48" s="3"/>
      <c r="AF48" s="28">
        <f>AE48+'6'!AF48</f>
        <v>0</v>
      </c>
      <c r="AG48" s="4"/>
      <c r="AH48" s="28">
        <f>AG48+'6'!AH48</f>
        <v>0</v>
      </c>
      <c r="AI48" s="4">
        <f t="shared" si="6"/>
        <v>0</v>
      </c>
      <c r="AJ48" s="11" t="e">
        <f t="shared" si="0"/>
        <v>#DIV/0!</v>
      </c>
      <c r="AK48" s="53" t="e">
        <f t="shared" si="1"/>
        <v>#DIV/0!</v>
      </c>
      <c r="AW48" s="26">
        <f>'6'!AW48</f>
        <v>0</v>
      </c>
      <c r="AX48" s="12">
        <f>'6'!AX48</f>
        <v>0</v>
      </c>
      <c r="AY48" s="12">
        <f>'6'!AY48</f>
        <v>0</v>
      </c>
      <c r="AZ48" s="12"/>
      <c r="BA48" s="12"/>
      <c r="BB48" s="12">
        <f>BA48+'6'!BB48</f>
        <v>0</v>
      </c>
      <c r="BC48" s="30" t="e">
        <f t="shared" si="2"/>
        <v>#DIV/0!</v>
      </c>
      <c r="BD48" s="12">
        <f>'6'!BD48</f>
        <v>0</v>
      </c>
      <c r="BE48" s="12">
        <f>'6'!BE48</f>
        <v>0</v>
      </c>
      <c r="BF48" s="12"/>
      <c r="BG48" s="12"/>
      <c r="BH48" s="12">
        <f>BG48+'6'!BH48</f>
        <v>0</v>
      </c>
      <c r="BI48" s="30" t="e">
        <f t="shared" si="3"/>
        <v>#DIV/0!</v>
      </c>
    </row>
    <row r="49" spans="1:61" ht="28.9" customHeight="1" x14ac:dyDescent="0.35">
      <c r="A49" s="5">
        <v>39</v>
      </c>
      <c r="B49" s="26">
        <f>'6'!B49</f>
        <v>0</v>
      </c>
      <c r="C49" s="26">
        <f>'6'!C49</f>
        <v>0</v>
      </c>
      <c r="D49" s="26"/>
      <c r="E49" s="12"/>
      <c r="F49" s="2">
        <f>E49+'6'!F49</f>
        <v>0</v>
      </c>
      <c r="G49" s="2"/>
      <c r="H49" s="2">
        <f>G49+'6'!H49</f>
        <v>0</v>
      </c>
      <c r="I49" s="2"/>
      <c r="J49" s="2">
        <f>I49+'6'!J49</f>
        <v>0</v>
      </c>
      <c r="K49" s="2"/>
      <c r="L49" s="2">
        <f>K49+'6'!L49</f>
        <v>0</v>
      </c>
      <c r="M49" s="2"/>
      <c r="N49" s="2">
        <f>M49+'6'!N49</f>
        <v>0</v>
      </c>
      <c r="O49" s="2"/>
      <c r="P49" s="2">
        <f>O49+'6'!P49</f>
        <v>0</v>
      </c>
      <c r="Q49" s="4">
        <f t="shared" si="4"/>
        <v>0</v>
      </c>
      <c r="R49" s="4">
        <f>Q49+'6'!R49</f>
        <v>0</v>
      </c>
      <c r="S49" s="27" t="e">
        <f t="shared" si="5"/>
        <v>#DIV/0!</v>
      </c>
      <c r="T49" s="12"/>
      <c r="U49" s="12">
        <f>T49+'6'!U49</f>
        <v>0</v>
      </c>
      <c r="V49" s="12"/>
      <c r="W49" s="12">
        <f>V49+'6'!W49</f>
        <v>0</v>
      </c>
      <c r="X49" s="12"/>
      <c r="Y49" s="12">
        <f>X49+'6'!Y49</f>
        <v>0</v>
      </c>
      <c r="AB49" s="5">
        <v>39</v>
      </c>
      <c r="AC49" s="26">
        <f>'6'!AC49</f>
        <v>0</v>
      </c>
      <c r="AD49" s="28">
        <f>'6'!AI49</f>
        <v>0</v>
      </c>
      <c r="AE49" s="3"/>
      <c r="AF49" s="28">
        <f>AE49+'6'!AF49</f>
        <v>0</v>
      </c>
      <c r="AG49" s="4"/>
      <c r="AH49" s="28">
        <f>AG49+'6'!AH49</f>
        <v>0</v>
      </c>
      <c r="AI49" s="4">
        <f t="shared" si="6"/>
        <v>0</v>
      </c>
      <c r="AJ49" s="11" t="e">
        <f t="shared" si="0"/>
        <v>#DIV/0!</v>
      </c>
      <c r="AK49" s="53" t="e">
        <f t="shared" si="1"/>
        <v>#DIV/0!</v>
      </c>
      <c r="AW49" s="26">
        <f>'6'!AW49</f>
        <v>0</v>
      </c>
      <c r="AX49" s="12">
        <f>'6'!AX49</f>
        <v>0</v>
      </c>
      <c r="AY49" s="12">
        <f>'6'!AY49</f>
        <v>0</v>
      </c>
      <c r="AZ49" s="12"/>
      <c r="BA49" s="12"/>
      <c r="BB49" s="12">
        <f>BA49+'6'!BB49</f>
        <v>0</v>
      </c>
      <c r="BC49" s="30" t="e">
        <f t="shared" si="2"/>
        <v>#DIV/0!</v>
      </c>
      <c r="BD49" s="12">
        <f>'6'!BD49</f>
        <v>0</v>
      </c>
      <c r="BE49" s="12">
        <f>'6'!BE49</f>
        <v>0</v>
      </c>
      <c r="BF49" s="12"/>
      <c r="BG49" s="12"/>
      <c r="BH49" s="12">
        <f>BG49+'6'!BH49</f>
        <v>0</v>
      </c>
      <c r="BI49" s="30" t="e">
        <f t="shared" si="3"/>
        <v>#DIV/0!</v>
      </c>
    </row>
    <row r="50" spans="1:61" ht="28.9" customHeight="1" x14ac:dyDescent="0.35">
      <c r="A50" s="5">
        <v>40</v>
      </c>
      <c r="B50" s="26">
        <f>'6'!B50</f>
        <v>0</v>
      </c>
      <c r="C50" s="26">
        <f>'6'!C50</f>
        <v>0</v>
      </c>
      <c r="D50" s="26"/>
      <c r="E50" s="12"/>
      <c r="F50" s="2">
        <f>E50+'6'!F50</f>
        <v>0</v>
      </c>
      <c r="G50" s="2"/>
      <c r="H50" s="2">
        <f>G50+'6'!H50</f>
        <v>0</v>
      </c>
      <c r="I50" s="2"/>
      <c r="J50" s="2">
        <f>I50+'6'!J50</f>
        <v>0</v>
      </c>
      <c r="K50" s="2"/>
      <c r="L50" s="2">
        <f>K50+'6'!L50</f>
        <v>0</v>
      </c>
      <c r="M50" s="2"/>
      <c r="N50" s="2">
        <f>M50+'6'!N50</f>
        <v>0</v>
      </c>
      <c r="O50" s="2"/>
      <c r="P50" s="2">
        <f>O50+'6'!P50</f>
        <v>0</v>
      </c>
      <c r="Q50" s="4">
        <f t="shared" si="4"/>
        <v>0</v>
      </c>
      <c r="R50" s="4">
        <f>Q50+'6'!R50</f>
        <v>0</v>
      </c>
      <c r="S50" s="27" t="e">
        <f t="shared" si="5"/>
        <v>#DIV/0!</v>
      </c>
      <c r="T50" s="12"/>
      <c r="U50" s="12">
        <f>T50+'6'!U50</f>
        <v>0</v>
      </c>
      <c r="V50" s="12"/>
      <c r="W50" s="12">
        <f>V50+'6'!W50</f>
        <v>0</v>
      </c>
      <c r="X50" s="12"/>
      <c r="Y50" s="12">
        <f>X50+'6'!Y50</f>
        <v>0</v>
      </c>
      <c r="AB50" s="5">
        <v>40</v>
      </c>
      <c r="AC50" s="26">
        <f>'6'!AC50</f>
        <v>0</v>
      </c>
      <c r="AD50" s="28">
        <f>'6'!AI50</f>
        <v>0</v>
      </c>
      <c r="AE50" s="3"/>
      <c r="AF50" s="28">
        <f>AE50+'6'!AF50</f>
        <v>0</v>
      </c>
      <c r="AG50" s="4"/>
      <c r="AH50" s="28">
        <f>AG50+'6'!AH50</f>
        <v>0</v>
      </c>
      <c r="AI50" s="4">
        <f t="shared" si="6"/>
        <v>0</v>
      </c>
      <c r="AJ50" s="11" t="e">
        <f t="shared" si="0"/>
        <v>#DIV/0!</v>
      </c>
      <c r="AK50" s="53" t="e">
        <f t="shared" si="1"/>
        <v>#DIV/0!</v>
      </c>
      <c r="AW50" s="26">
        <f>'6'!AW50</f>
        <v>0</v>
      </c>
      <c r="AX50" s="12">
        <f>'6'!AX50</f>
        <v>0</v>
      </c>
      <c r="AY50" s="12">
        <f>'6'!AY50</f>
        <v>0</v>
      </c>
      <c r="AZ50" s="12"/>
      <c r="BA50" s="12"/>
      <c r="BB50" s="12">
        <f>BA50+'6'!BB50</f>
        <v>0</v>
      </c>
      <c r="BC50" s="30" t="e">
        <f t="shared" si="2"/>
        <v>#DIV/0!</v>
      </c>
      <c r="BD50" s="12">
        <f>'6'!BD50</f>
        <v>0</v>
      </c>
      <c r="BE50" s="12">
        <f>'6'!BE50</f>
        <v>0</v>
      </c>
      <c r="BF50" s="12"/>
      <c r="BG50" s="12"/>
      <c r="BH50" s="12">
        <f>BG50+'6'!BH50</f>
        <v>0</v>
      </c>
      <c r="BI50" s="30" t="e">
        <f t="shared" si="3"/>
        <v>#DIV/0!</v>
      </c>
    </row>
    <row r="51" spans="1:61" ht="25.5" thickBot="1" x14ac:dyDescent="0.4">
      <c r="A51" s="321" t="s">
        <v>26</v>
      </c>
      <c r="B51" s="321"/>
      <c r="C51" s="35">
        <f>SUM(C11:C50)</f>
        <v>97446</v>
      </c>
      <c r="D51" s="35">
        <f>SUM(D11:D50)</f>
        <v>0</v>
      </c>
      <c r="E51" s="6">
        <f>SUM(E11:E50)</f>
        <v>0</v>
      </c>
      <c r="F51" s="6">
        <f>SUM(F11:F50)</f>
        <v>533</v>
      </c>
      <c r="G51" s="6">
        <f t="shared" ref="G51:R51" si="8">SUM(G11:G50)</f>
        <v>0</v>
      </c>
      <c r="H51" s="6">
        <f t="shared" si="8"/>
        <v>14954</v>
      </c>
      <c r="I51" s="6">
        <f t="shared" si="8"/>
        <v>0</v>
      </c>
      <c r="J51" s="6">
        <f t="shared" si="8"/>
        <v>37926</v>
      </c>
      <c r="K51" s="6">
        <f t="shared" si="8"/>
        <v>0</v>
      </c>
      <c r="L51" s="6">
        <f t="shared" si="8"/>
        <v>0</v>
      </c>
      <c r="M51" s="6">
        <f t="shared" si="8"/>
        <v>0</v>
      </c>
      <c r="N51" s="6">
        <f t="shared" si="8"/>
        <v>0</v>
      </c>
      <c r="O51" s="6">
        <f t="shared" si="8"/>
        <v>0</v>
      </c>
      <c r="P51" s="6">
        <f t="shared" si="8"/>
        <v>0</v>
      </c>
      <c r="Q51" s="6">
        <f t="shared" si="8"/>
        <v>0</v>
      </c>
      <c r="R51" s="6">
        <f t="shared" si="8"/>
        <v>53413</v>
      </c>
      <c r="S51" s="10">
        <f>R51/C51</f>
        <v>0.54812922028610722</v>
      </c>
      <c r="T51" s="23">
        <f t="shared" ref="T51:Y51" si="9">SUM(T11:T50)</f>
        <v>0</v>
      </c>
      <c r="U51" s="23">
        <f t="shared" si="9"/>
        <v>7532</v>
      </c>
      <c r="V51" s="23">
        <f t="shared" si="9"/>
        <v>0</v>
      </c>
      <c r="W51" s="23">
        <f t="shared" si="9"/>
        <v>1107</v>
      </c>
      <c r="X51" s="23">
        <f t="shared" si="9"/>
        <v>0</v>
      </c>
      <c r="Y51" s="23">
        <f t="shared" si="9"/>
        <v>2</v>
      </c>
      <c r="AB51" s="37" t="s">
        <v>29</v>
      </c>
      <c r="AC51" s="37"/>
      <c r="AD51" s="34">
        <f t="shared" ref="AD51:AI51" si="10">SUM(AD11:AD50)</f>
        <v>3133</v>
      </c>
      <c r="AE51" s="23">
        <f t="shared" si="10"/>
        <v>0</v>
      </c>
      <c r="AF51" s="14">
        <f t="shared" si="10"/>
        <v>8632</v>
      </c>
      <c r="AG51" s="14">
        <f t="shared" si="10"/>
        <v>0</v>
      </c>
      <c r="AH51" s="14">
        <f t="shared" si="10"/>
        <v>5499</v>
      </c>
      <c r="AI51" s="14">
        <f t="shared" si="10"/>
        <v>3133</v>
      </c>
      <c r="AJ51" s="11" t="e">
        <f t="shared" si="0"/>
        <v>#DIV/0!</v>
      </c>
      <c r="AK51" s="53">
        <f t="shared" si="1"/>
        <v>9.713220585561011</v>
      </c>
      <c r="AW51" s="33" t="s">
        <v>26</v>
      </c>
      <c r="AX51" s="13">
        <f>SUM(AX11:AX50)</f>
        <v>121</v>
      </c>
      <c r="AY51" s="13">
        <f>SUM(AY11:AY50)</f>
        <v>50910</v>
      </c>
      <c r="AZ51" s="13">
        <f>SUM(AZ11:AZ50)</f>
        <v>0</v>
      </c>
      <c r="BA51" s="13">
        <f>SUM(BA11:BA50)</f>
        <v>0</v>
      </c>
      <c r="BB51" s="13">
        <f>SUM(BB11:BB50)</f>
        <v>39924</v>
      </c>
      <c r="BC51" s="31">
        <f t="shared" si="2"/>
        <v>0.78420742486741313</v>
      </c>
      <c r="BD51" s="32">
        <f>SUM(BD11:BD50)</f>
        <v>241</v>
      </c>
      <c r="BE51" s="32">
        <f>SUM(BE11:BE50)</f>
        <v>14990</v>
      </c>
      <c r="BF51" s="32">
        <f>SUM(BF11:BF50)</f>
        <v>0</v>
      </c>
      <c r="BG51" s="32">
        <f>SUM(BG11:BG50)</f>
        <v>0</v>
      </c>
      <c r="BH51" s="32">
        <f>SUM(BH11:BH50)</f>
        <v>9274</v>
      </c>
      <c r="BI51" s="31">
        <f t="shared" si="3"/>
        <v>0.61867911941294196</v>
      </c>
    </row>
    <row r="52" spans="1:61" ht="17.5" x14ac:dyDescent="0.35">
      <c r="AB52" s="36"/>
      <c r="AC52" s="36"/>
      <c r="AD52" s="36"/>
      <c r="AE52" s="36"/>
      <c r="AF52" s="40"/>
      <c r="AG52" s="40"/>
      <c r="AH52" s="40"/>
      <c r="AI52" s="41"/>
      <c r="AJ52" s="15"/>
      <c r="AK52" s="15"/>
    </row>
    <row r="54" spans="1:61" ht="18.5" x14ac:dyDescent="0.45">
      <c r="G54" s="322" t="s">
        <v>36</v>
      </c>
      <c r="H54" s="322"/>
      <c r="I54" s="322"/>
      <c r="J54" s="322"/>
      <c r="K54" s="322"/>
      <c r="L54" s="322"/>
      <c r="M54" s="322"/>
      <c r="N54" s="322"/>
      <c r="O54" s="322"/>
      <c r="P54" s="322"/>
      <c r="Q54" s="322"/>
      <c r="R54" s="322"/>
      <c r="S54" s="322"/>
      <c r="AB54" s="313" t="s">
        <v>44</v>
      </c>
      <c r="AC54" s="313"/>
      <c r="AD54" s="313"/>
      <c r="AE54" s="313"/>
      <c r="AF54" s="313"/>
      <c r="AG54" s="313"/>
      <c r="AH54" s="313"/>
      <c r="AI54" s="313"/>
      <c r="AJ54" s="313"/>
      <c r="AK54" s="313"/>
      <c r="AL54" s="313"/>
      <c r="AM54" s="313"/>
      <c r="AN54" s="313"/>
    </row>
    <row r="55" spans="1:61" ht="18.5" x14ac:dyDescent="0.45">
      <c r="AX55" s="313" t="s">
        <v>44</v>
      </c>
      <c r="AY55" s="313"/>
      <c r="AZ55" s="313"/>
      <c r="BA55" s="313"/>
      <c r="BB55" s="313"/>
      <c r="BC55" s="313"/>
      <c r="BD55" s="313"/>
      <c r="BE55" s="313"/>
      <c r="BF55" s="313"/>
      <c r="BG55" s="313"/>
      <c r="BH55" s="313"/>
      <c r="BI55" s="313"/>
    </row>
    <row r="56" spans="1:61" ht="15.5" x14ac:dyDescent="0.35">
      <c r="AG56" s="38"/>
      <c r="AH56" s="38"/>
      <c r="AI56" s="38"/>
    </row>
  </sheetData>
  <mergeCells count="56">
    <mergeCell ref="A6:Y6"/>
    <mergeCell ref="AF6:AN6"/>
    <mergeCell ref="AY6:BI6"/>
    <mergeCell ref="A7:Y7"/>
    <mergeCell ref="A8:A10"/>
    <mergeCell ref="B8:B10"/>
    <mergeCell ref="C8:C10"/>
    <mergeCell ref="D8:D10"/>
    <mergeCell ref="E8:J8"/>
    <mergeCell ref="K8:P8"/>
    <mergeCell ref="Q8:R9"/>
    <mergeCell ref="S8:S10"/>
    <mergeCell ref="T8:U9"/>
    <mergeCell ref="V8:W9"/>
    <mergeCell ref="X8:Y9"/>
    <mergeCell ref="AB8:AB10"/>
    <mergeCell ref="AN8:AN9"/>
    <mergeCell ref="AO8:AO9"/>
    <mergeCell ref="AP8:AQ8"/>
    <mergeCell ref="AR8:AS8"/>
    <mergeCell ref="AC8:AC10"/>
    <mergeCell ref="AD8:AD10"/>
    <mergeCell ref="AE8:AF9"/>
    <mergeCell ref="AG8:AH9"/>
    <mergeCell ref="AI8:AI10"/>
    <mergeCell ref="AJ8:AJ10"/>
    <mergeCell ref="AW8:AW10"/>
    <mergeCell ref="AX8:BC8"/>
    <mergeCell ref="BD8:BI8"/>
    <mergeCell ref="E9:F9"/>
    <mergeCell ref="G9:H9"/>
    <mergeCell ref="I9:J9"/>
    <mergeCell ref="K9:L9"/>
    <mergeCell ref="M9:N9"/>
    <mergeCell ref="AK8:AK10"/>
    <mergeCell ref="AM8:AM13"/>
    <mergeCell ref="BF9:BF10"/>
    <mergeCell ref="BG9:BG10"/>
    <mergeCell ref="BH9:BH10"/>
    <mergeCell ref="O9:P9"/>
    <mergeCell ref="AX9:AX10"/>
    <mergeCell ref="AY9:AY10"/>
    <mergeCell ref="AZ9:AZ10"/>
    <mergeCell ref="BA9:BA10"/>
    <mergeCell ref="BB9:BB10"/>
    <mergeCell ref="AT8:AT9"/>
    <mergeCell ref="AX55:BI55"/>
    <mergeCell ref="BI9:BI10"/>
    <mergeCell ref="AM14:AN14"/>
    <mergeCell ref="AO14:AS14"/>
    <mergeCell ref="A51:B51"/>
    <mergeCell ref="G54:S54"/>
    <mergeCell ref="AB54:AN54"/>
    <mergeCell ref="BC9:BC10"/>
    <mergeCell ref="BD9:BD10"/>
    <mergeCell ref="BE9:BE10"/>
  </mergeCells>
  <pageMargins left="0.7" right="0.7" top="0.75" bottom="0.75" header="0.3" footer="0.3"/>
  <pageSetup paperSize="9" scale="17" orientation="landscape" r:id="rId1"/>
  <colBreaks count="2" manualBreakCount="2">
    <brk id="26" max="55" man="1"/>
    <brk id="47" max="55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6A04E-175B-4D3D-813C-2572D3CF9F0A}">
  <dimension ref="A1:BJ56"/>
  <sheetViews>
    <sheetView rightToLeft="1" view="pageBreakPreview" topLeftCell="AD1" zoomScale="55" zoomScaleNormal="29" zoomScalePageLayoutView="40" workbookViewId="0">
      <selection activeCell="AO16" sqref="AO16"/>
    </sheetView>
  </sheetViews>
  <sheetFormatPr defaultRowHeight="14.5" x14ac:dyDescent="0.35"/>
  <cols>
    <col min="1" max="1" width="11.26953125" style="1" customWidth="1"/>
    <col min="2" max="4" width="18.7265625" style="1" customWidth="1"/>
    <col min="5" max="6" width="15.26953125" customWidth="1"/>
    <col min="7" max="7" width="18.453125" customWidth="1"/>
    <col min="8" max="8" width="16.81640625" customWidth="1"/>
    <col min="9" max="9" width="15.26953125" customWidth="1"/>
    <col min="10" max="10" width="15.54296875" customWidth="1"/>
    <col min="11" max="23" width="15.26953125" customWidth="1"/>
    <col min="24" max="25" width="12.54296875" customWidth="1"/>
    <col min="27" max="27" width="19.1796875" customWidth="1"/>
    <col min="28" max="30" width="15.26953125" customWidth="1"/>
    <col min="31" max="32" width="13.7265625" customWidth="1"/>
    <col min="33" max="33" width="14.1796875" customWidth="1"/>
    <col min="34" max="34" width="13" customWidth="1"/>
    <col min="35" max="35" width="18.26953125" customWidth="1"/>
    <col min="36" max="40" width="15" customWidth="1"/>
    <col min="41" max="41" width="16.7265625" customWidth="1"/>
    <col min="42" max="42" width="18" customWidth="1"/>
    <col min="43" max="46" width="15" customWidth="1"/>
    <col min="47" max="47" width="14" style="1" customWidth="1"/>
    <col min="49" max="49" width="15.1796875" customWidth="1"/>
    <col min="50" max="50" width="22.26953125" customWidth="1"/>
    <col min="51" max="51" width="16.26953125" customWidth="1"/>
    <col min="52" max="52" width="13.453125" customWidth="1"/>
    <col min="53" max="53" width="14" customWidth="1"/>
    <col min="54" max="54" width="11.7265625" customWidth="1"/>
    <col min="55" max="55" width="14.26953125" customWidth="1"/>
    <col min="56" max="56" width="17.7265625" customWidth="1"/>
    <col min="57" max="57" width="22.453125" customWidth="1"/>
    <col min="58" max="58" width="17.7265625" customWidth="1"/>
    <col min="59" max="59" width="11.7265625" customWidth="1"/>
    <col min="60" max="60" width="16.81640625" customWidth="1"/>
    <col min="61" max="61" width="12.81640625" customWidth="1"/>
    <col min="62" max="62" width="15.26953125" customWidth="1"/>
  </cols>
  <sheetData>
    <row r="1" spans="1:62" s="21" customFormat="1" ht="23.5" x14ac:dyDescent="0.55000000000000004">
      <c r="A1" s="22" t="s">
        <v>0</v>
      </c>
      <c r="B1" s="22"/>
      <c r="C1" s="22"/>
      <c r="D1" s="18"/>
      <c r="E1" s="18"/>
      <c r="F1" s="18"/>
      <c r="G1" s="18"/>
      <c r="H1" s="18"/>
      <c r="I1" s="18"/>
      <c r="J1" s="18"/>
      <c r="K1" s="18"/>
      <c r="L1" s="18"/>
      <c r="M1" s="18"/>
      <c r="N1" s="19"/>
      <c r="O1" s="19"/>
      <c r="P1" s="18"/>
      <c r="Q1" s="18"/>
      <c r="R1" s="18"/>
      <c r="S1" s="18"/>
      <c r="T1" s="18"/>
      <c r="U1" s="18"/>
      <c r="V1" s="18"/>
      <c r="W1" s="18"/>
      <c r="X1" s="18"/>
      <c r="Y1" s="18"/>
      <c r="AA1" s="29"/>
      <c r="AB1" s="22" t="s">
        <v>0</v>
      </c>
      <c r="AC1" s="22"/>
      <c r="AD1" s="29"/>
      <c r="AE1" s="29"/>
      <c r="AF1" s="29"/>
      <c r="AU1" s="54"/>
      <c r="AW1" s="22" t="s">
        <v>0</v>
      </c>
      <c r="AX1" s="22"/>
      <c r="AY1" s="22"/>
      <c r="AZ1" s="18"/>
      <c r="BA1" s="18"/>
      <c r="BB1" s="18"/>
      <c r="BC1" s="18"/>
      <c r="BD1" s="18"/>
      <c r="BE1" s="20"/>
      <c r="BF1" s="19"/>
      <c r="BI1" s="29"/>
      <c r="BJ1" s="29"/>
    </row>
    <row r="2" spans="1:62" s="21" customFormat="1" ht="23.5" x14ac:dyDescent="0.55000000000000004">
      <c r="A2" s="22" t="s">
        <v>21</v>
      </c>
      <c r="B2" s="22"/>
      <c r="C2" s="22"/>
      <c r="D2" s="18"/>
      <c r="E2" s="18"/>
      <c r="F2" s="18"/>
      <c r="G2" s="18"/>
      <c r="H2" s="18"/>
      <c r="I2" s="18"/>
      <c r="J2" s="18"/>
      <c r="K2" s="18"/>
      <c r="L2" s="18"/>
      <c r="M2" s="18"/>
      <c r="N2" s="19"/>
      <c r="O2" s="19"/>
      <c r="P2" s="18"/>
      <c r="Q2" s="18"/>
      <c r="R2" s="18"/>
      <c r="S2" s="18"/>
      <c r="T2" s="18"/>
      <c r="U2" s="18"/>
      <c r="V2" s="18"/>
      <c r="W2" s="18"/>
      <c r="X2" s="18"/>
      <c r="Y2" s="18"/>
      <c r="AA2" s="29"/>
      <c r="AB2" s="22" t="s">
        <v>21</v>
      </c>
      <c r="AC2" s="22"/>
      <c r="AD2" s="29"/>
      <c r="AE2" s="29"/>
      <c r="AF2" s="29"/>
      <c r="AU2" s="54"/>
      <c r="AW2" s="22" t="s">
        <v>21</v>
      </c>
      <c r="AX2" s="22"/>
      <c r="AY2" s="22"/>
      <c r="AZ2" s="18"/>
      <c r="BA2" s="18"/>
      <c r="BB2" s="18"/>
      <c r="BC2" s="18"/>
      <c r="BD2" s="18"/>
      <c r="BE2" s="20"/>
      <c r="BF2" s="19"/>
      <c r="BI2" s="29"/>
      <c r="BJ2" s="29"/>
    </row>
    <row r="3" spans="1:62" s="21" customFormat="1" ht="23.5" x14ac:dyDescent="0.55000000000000004">
      <c r="A3" s="22" t="s">
        <v>22</v>
      </c>
      <c r="B3" s="22"/>
      <c r="C3" s="22"/>
      <c r="D3" s="18"/>
      <c r="E3" s="18"/>
      <c r="F3" s="18"/>
      <c r="G3" s="18"/>
      <c r="H3" s="18"/>
      <c r="I3" s="18"/>
      <c r="J3" s="18"/>
      <c r="K3" s="18"/>
      <c r="L3" s="18"/>
      <c r="M3" s="18"/>
      <c r="N3" s="19"/>
      <c r="O3" s="19"/>
      <c r="P3" s="18"/>
      <c r="Q3" s="18"/>
      <c r="R3" s="18"/>
      <c r="S3" s="18"/>
      <c r="T3" s="18"/>
      <c r="U3" s="18"/>
      <c r="V3" s="18"/>
      <c r="W3" s="18"/>
      <c r="X3" s="18"/>
      <c r="Y3" s="18"/>
      <c r="AA3" s="29"/>
      <c r="AB3" s="22" t="s">
        <v>22</v>
      </c>
      <c r="AC3" s="22"/>
      <c r="AD3" s="29"/>
      <c r="AE3" s="29"/>
      <c r="AF3" s="29"/>
      <c r="AU3" s="54"/>
      <c r="AW3" s="22" t="s">
        <v>22</v>
      </c>
      <c r="AX3" s="22"/>
      <c r="AY3" s="22"/>
      <c r="AZ3" s="18"/>
      <c r="BA3" s="18"/>
      <c r="BB3" s="18"/>
      <c r="BC3" s="18"/>
      <c r="BD3" s="18"/>
      <c r="BE3" s="20"/>
      <c r="BF3" s="19"/>
      <c r="BI3" s="29"/>
      <c r="BJ3" s="29"/>
    </row>
    <row r="4" spans="1:62" s="21" customFormat="1" ht="23.5" x14ac:dyDescent="0.55000000000000004">
      <c r="A4" s="22" t="s">
        <v>23</v>
      </c>
      <c r="B4" s="22"/>
      <c r="C4" s="22"/>
      <c r="D4" s="19"/>
      <c r="E4" s="20"/>
      <c r="F4" s="20"/>
      <c r="G4" s="20"/>
      <c r="H4" s="20"/>
      <c r="I4" s="18"/>
      <c r="J4" s="18"/>
      <c r="K4" s="18"/>
      <c r="L4" s="18"/>
      <c r="M4" s="18"/>
      <c r="N4" s="19"/>
      <c r="O4" s="19"/>
      <c r="P4" s="18"/>
      <c r="Q4" s="18"/>
      <c r="R4" s="18"/>
      <c r="S4" s="18"/>
      <c r="T4" s="18"/>
      <c r="U4" s="18"/>
      <c r="V4" s="18"/>
      <c r="W4" s="18"/>
      <c r="X4" s="18"/>
      <c r="Y4" s="18"/>
      <c r="AB4" s="22" t="s">
        <v>23</v>
      </c>
      <c r="AC4" s="22"/>
      <c r="AU4" s="54"/>
      <c r="AW4" s="22" t="s">
        <v>23</v>
      </c>
      <c r="AX4" s="22"/>
      <c r="AY4" s="22"/>
      <c r="AZ4" s="19"/>
      <c r="BA4" s="18"/>
      <c r="BB4" s="18"/>
      <c r="BC4" s="18"/>
      <c r="BD4" s="18"/>
      <c r="BE4" s="20"/>
      <c r="BF4" s="19"/>
    </row>
    <row r="5" spans="1:62" s="21" customFormat="1" ht="23.5" x14ac:dyDescent="0.55000000000000004">
      <c r="A5" s="22" t="s">
        <v>1</v>
      </c>
      <c r="B5" s="22"/>
      <c r="C5" s="22"/>
      <c r="D5" s="19"/>
      <c r="E5" s="18"/>
      <c r="F5" s="18"/>
      <c r="G5" s="18"/>
      <c r="H5" s="18"/>
      <c r="I5" s="18"/>
      <c r="J5" s="18"/>
      <c r="K5" s="18"/>
      <c r="L5" s="18"/>
      <c r="M5" s="18"/>
      <c r="N5" s="19"/>
      <c r="O5" s="19"/>
      <c r="P5" s="18"/>
      <c r="Q5" s="18"/>
      <c r="R5" s="18"/>
      <c r="S5" s="18"/>
      <c r="T5" s="18"/>
      <c r="U5" s="18"/>
      <c r="V5" s="18"/>
      <c r="W5" s="18"/>
      <c r="X5" s="18"/>
      <c r="Y5" s="18"/>
      <c r="AB5" s="22" t="s">
        <v>1</v>
      </c>
      <c r="AC5" s="22"/>
      <c r="AU5" s="54"/>
      <c r="AW5" s="22" t="s">
        <v>1</v>
      </c>
      <c r="AX5" s="22"/>
      <c r="AY5" s="22"/>
      <c r="AZ5" s="19"/>
      <c r="BA5" s="18"/>
      <c r="BB5" s="18"/>
      <c r="BC5" s="18"/>
      <c r="BD5" s="18"/>
      <c r="BE5" s="20"/>
      <c r="BF5" s="19"/>
    </row>
    <row r="6" spans="1:62" ht="20" x14ac:dyDescent="0.4">
      <c r="A6" s="362" t="s">
        <v>18</v>
      </c>
      <c r="B6" s="362"/>
      <c r="C6" s="362"/>
      <c r="D6" s="362"/>
      <c r="E6" s="362"/>
      <c r="F6" s="362"/>
      <c r="G6" s="362"/>
      <c r="H6" s="362"/>
      <c r="I6" s="362"/>
      <c r="J6" s="362"/>
      <c r="K6" s="362"/>
      <c r="L6" s="362"/>
      <c r="M6" s="362"/>
      <c r="N6" s="362"/>
      <c r="O6" s="362"/>
      <c r="P6" s="362"/>
      <c r="Q6" s="362"/>
      <c r="R6" s="362"/>
      <c r="S6" s="362"/>
      <c r="T6" s="362"/>
      <c r="U6" s="362"/>
      <c r="V6" s="362"/>
      <c r="W6" s="362"/>
      <c r="X6" s="362"/>
      <c r="Y6" s="362"/>
      <c r="AF6" s="362" t="s">
        <v>16</v>
      </c>
      <c r="AG6" s="362"/>
      <c r="AH6" s="362"/>
      <c r="AI6" s="362"/>
      <c r="AJ6" s="362"/>
      <c r="AK6" s="362"/>
      <c r="AL6" s="362"/>
      <c r="AM6" s="362"/>
      <c r="AN6" s="362"/>
      <c r="AO6" s="24"/>
      <c r="AP6" s="24"/>
      <c r="AQ6" s="24"/>
      <c r="AR6" s="24"/>
      <c r="AS6" s="24"/>
      <c r="AT6" s="24"/>
      <c r="AY6" s="362" t="s">
        <v>30</v>
      </c>
      <c r="AZ6" s="362"/>
      <c r="BA6" s="362"/>
      <c r="BB6" s="362"/>
      <c r="BC6" s="362"/>
      <c r="BD6" s="362"/>
      <c r="BE6" s="362"/>
      <c r="BF6" s="362"/>
      <c r="BG6" s="362"/>
      <c r="BH6" s="362"/>
      <c r="BI6" s="362"/>
    </row>
    <row r="7" spans="1:62" ht="20.5" thickBot="1" x14ac:dyDescent="0.45">
      <c r="A7" s="363" t="s">
        <v>27</v>
      </c>
      <c r="B7" s="364"/>
      <c r="C7" s="364"/>
      <c r="D7" s="364"/>
      <c r="E7" s="363"/>
      <c r="F7" s="363"/>
      <c r="G7" s="363"/>
      <c r="H7" s="363"/>
      <c r="I7" s="363"/>
      <c r="J7" s="363"/>
      <c r="K7" s="363"/>
      <c r="L7" s="363"/>
      <c r="M7" s="363"/>
      <c r="N7" s="363"/>
      <c r="O7" s="363"/>
      <c r="P7" s="363"/>
      <c r="Q7" s="363"/>
      <c r="R7" s="363"/>
      <c r="S7" s="363"/>
      <c r="T7" s="364"/>
      <c r="U7" s="364"/>
      <c r="V7" s="364"/>
      <c r="W7" s="364"/>
      <c r="X7" s="364"/>
      <c r="Y7" s="364"/>
      <c r="AJ7" s="25" t="s">
        <v>31</v>
      </c>
      <c r="AK7" s="25"/>
      <c r="AL7" s="25"/>
      <c r="AN7" s="25"/>
      <c r="AO7" s="25"/>
      <c r="AP7" s="25"/>
      <c r="AQ7" s="25"/>
      <c r="AS7" s="25"/>
      <c r="AT7" s="25"/>
      <c r="BC7" s="25" t="s">
        <v>31</v>
      </c>
      <c r="BD7" s="25"/>
      <c r="BF7" s="25"/>
      <c r="BG7" s="25"/>
      <c r="BH7" s="25"/>
      <c r="BI7" s="25"/>
      <c r="BJ7" s="25"/>
    </row>
    <row r="8" spans="1:62" ht="41.5" customHeight="1" x14ac:dyDescent="0.35">
      <c r="A8" s="326" t="s">
        <v>24</v>
      </c>
      <c r="B8" s="365" t="s">
        <v>25</v>
      </c>
      <c r="C8" s="366" t="s">
        <v>11</v>
      </c>
      <c r="D8" s="366" t="s">
        <v>15</v>
      </c>
      <c r="E8" s="330" t="s">
        <v>5</v>
      </c>
      <c r="F8" s="330"/>
      <c r="G8" s="330"/>
      <c r="H8" s="330"/>
      <c r="I8" s="330"/>
      <c r="J8" s="330"/>
      <c r="K8" s="330" t="s">
        <v>7</v>
      </c>
      <c r="L8" s="330"/>
      <c r="M8" s="330"/>
      <c r="N8" s="330"/>
      <c r="O8" s="330"/>
      <c r="P8" s="330"/>
      <c r="Q8" s="356" t="s">
        <v>2</v>
      </c>
      <c r="R8" s="350"/>
      <c r="S8" s="358" t="s">
        <v>12</v>
      </c>
      <c r="T8" s="323" t="s">
        <v>8</v>
      </c>
      <c r="U8" s="323"/>
      <c r="V8" s="323" t="s">
        <v>9</v>
      </c>
      <c r="W8" s="323"/>
      <c r="X8" s="323" t="s">
        <v>20</v>
      </c>
      <c r="Y8" s="323"/>
      <c r="AB8" s="326" t="s">
        <v>24</v>
      </c>
      <c r="AC8" s="342" t="s">
        <v>28</v>
      </c>
      <c r="AD8" s="342" t="s">
        <v>14</v>
      </c>
      <c r="AE8" s="345" t="s">
        <v>45</v>
      </c>
      <c r="AF8" s="346"/>
      <c r="AG8" s="349" t="s">
        <v>10</v>
      </c>
      <c r="AH8" s="350"/>
      <c r="AI8" s="353" t="s">
        <v>46</v>
      </c>
      <c r="AJ8" s="336" t="s">
        <v>51</v>
      </c>
      <c r="AK8" s="336" t="s">
        <v>47</v>
      </c>
      <c r="AM8" s="339" t="s">
        <v>41</v>
      </c>
      <c r="AN8" s="341" t="s">
        <v>38</v>
      </c>
      <c r="AO8" s="341" t="s">
        <v>14</v>
      </c>
      <c r="AP8" s="341" t="s">
        <v>39</v>
      </c>
      <c r="AQ8" s="341"/>
      <c r="AR8" s="341" t="s">
        <v>50</v>
      </c>
      <c r="AS8" s="341"/>
      <c r="AT8" s="324" t="s">
        <v>40</v>
      </c>
      <c r="AU8" s="55"/>
      <c r="AW8" s="326" t="s">
        <v>28</v>
      </c>
      <c r="AX8" s="329" t="s">
        <v>48</v>
      </c>
      <c r="AY8" s="330"/>
      <c r="AZ8" s="330"/>
      <c r="BA8" s="330"/>
      <c r="BB8" s="330"/>
      <c r="BC8" s="331"/>
      <c r="BD8" s="332" t="s">
        <v>49</v>
      </c>
      <c r="BE8" s="330"/>
      <c r="BF8" s="330"/>
      <c r="BG8" s="330"/>
      <c r="BH8" s="330"/>
      <c r="BI8" s="331"/>
    </row>
    <row r="9" spans="1:62" ht="19.149999999999999" customHeight="1" x14ac:dyDescent="0.35">
      <c r="A9" s="327"/>
      <c r="B9" s="365"/>
      <c r="C9" s="366"/>
      <c r="D9" s="366"/>
      <c r="E9" s="333" t="s">
        <v>6</v>
      </c>
      <c r="F9" s="334"/>
      <c r="G9" s="335" t="s">
        <v>13</v>
      </c>
      <c r="H9" s="334"/>
      <c r="I9" s="323" t="s">
        <v>19</v>
      </c>
      <c r="J9" s="323"/>
      <c r="K9" s="333" t="s">
        <v>6</v>
      </c>
      <c r="L9" s="334"/>
      <c r="M9" s="335" t="s">
        <v>13</v>
      </c>
      <c r="N9" s="334"/>
      <c r="O9" s="323" t="s">
        <v>19</v>
      </c>
      <c r="P9" s="323"/>
      <c r="Q9" s="357"/>
      <c r="R9" s="352"/>
      <c r="S9" s="359"/>
      <c r="T9" s="323"/>
      <c r="U9" s="323"/>
      <c r="V9" s="323"/>
      <c r="W9" s="323"/>
      <c r="X9" s="323"/>
      <c r="Y9" s="323"/>
      <c r="AB9" s="327"/>
      <c r="AC9" s="343"/>
      <c r="AD9" s="343"/>
      <c r="AE9" s="347"/>
      <c r="AF9" s="348"/>
      <c r="AG9" s="351"/>
      <c r="AH9" s="352"/>
      <c r="AI9" s="354"/>
      <c r="AJ9" s="337"/>
      <c r="AK9" s="337"/>
      <c r="AM9" s="340"/>
      <c r="AN9" s="323"/>
      <c r="AO9" s="323"/>
      <c r="AP9" s="8" t="s">
        <v>3</v>
      </c>
      <c r="AQ9" s="8" t="s">
        <v>4</v>
      </c>
      <c r="AR9" s="43" t="s">
        <v>3</v>
      </c>
      <c r="AS9" s="43" t="s">
        <v>4</v>
      </c>
      <c r="AT9" s="325"/>
      <c r="AU9" s="55"/>
      <c r="AW9" s="327"/>
      <c r="AX9" s="314" t="s">
        <v>17</v>
      </c>
      <c r="AY9" s="314" t="s">
        <v>11</v>
      </c>
      <c r="AZ9" s="314" t="s">
        <v>32</v>
      </c>
      <c r="BA9" s="314" t="s">
        <v>37</v>
      </c>
      <c r="BB9" s="314" t="s">
        <v>34</v>
      </c>
      <c r="BC9" s="314" t="s">
        <v>12</v>
      </c>
      <c r="BD9" s="314" t="s">
        <v>33</v>
      </c>
      <c r="BE9" s="314" t="s">
        <v>11</v>
      </c>
      <c r="BF9" s="314" t="s">
        <v>35</v>
      </c>
      <c r="BG9" s="314" t="s">
        <v>37</v>
      </c>
      <c r="BH9" s="314" t="s">
        <v>34</v>
      </c>
      <c r="BI9" s="314" t="s">
        <v>12</v>
      </c>
    </row>
    <row r="10" spans="1:62" ht="53.5" customHeight="1" thickBot="1" x14ac:dyDescent="0.4">
      <c r="A10" s="328"/>
      <c r="B10" s="365"/>
      <c r="C10" s="366"/>
      <c r="D10" s="366"/>
      <c r="E10" s="7" t="s">
        <v>3</v>
      </c>
      <c r="F10" s="8" t="s">
        <v>4</v>
      </c>
      <c r="G10" s="7" t="s">
        <v>3</v>
      </c>
      <c r="H10" s="8" t="s">
        <v>4</v>
      </c>
      <c r="I10" s="8" t="s">
        <v>3</v>
      </c>
      <c r="J10" s="8" t="s">
        <v>4</v>
      </c>
      <c r="K10" s="7" t="s">
        <v>3</v>
      </c>
      <c r="L10" s="8" t="s">
        <v>4</v>
      </c>
      <c r="M10" s="7" t="s">
        <v>3</v>
      </c>
      <c r="N10" s="8" t="s">
        <v>4</v>
      </c>
      <c r="O10" s="8" t="s">
        <v>3</v>
      </c>
      <c r="P10" s="8" t="s">
        <v>4</v>
      </c>
      <c r="Q10" s="9" t="s">
        <v>3</v>
      </c>
      <c r="R10" s="9" t="s">
        <v>4</v>
      </c>
      <c r="S10" s="360"/>
      <c r="T10" s="8" t="s">
        <v>3</v>
      </c>
      <c r="U10" s="8" t="s">
        <v>4</v>
      </c>
      <c r="V10" s="8" t="s">
        <v>3</v>
      </c>
      <c r="W10" s="8" t="s">
        <v>4</v>
      </c>
      <c r="X10" s="8" t="s">
        <v>3</v>
      </c>
      <c r="Y10" s="8" t="s">
        <v>4</v>
      </c>
      <c r="AB10" s="361"/>
      <c r="AC10" s="344"/>
      <c r="AD10" s="344"/>
      <c r="AE10" s="49" t="s">
        <v>3</v>
      </c>
      <c r="AF10" s="50" t="s">
        <v>4</v>
      </c>
      <c r="AG10" s="51" t="s">
        <v>3</v>
      </c>
      <c r="AH10" s="52" t="s">
        <v>4</v>
      </c>
      <c r="AI10" s="355"/>
      <c r="AJ10" s="338"/>
      <c r="AK10" s="338"/>
      <c r="AM10" s="340"/>
      <c r="AN10" s="42" t="str">
        <f>'7'!AN10</f>
        <v>0124W120</v>
      </c>
      <c r="AO10" s="42">
        <f>'7'!AT10</f>
        <v>48</v>
      </c>
      <c r="AP10" s="42"/>
      <c r="AQ10" s="17">
        <f>AP10+'7'!AQ10</f>
        <v>73</v>
      </c>
      <c r="AR10" s="17"/>
      <c r="AS10" s="17">
        <f>AR10+'7'!AS10</f>
        <v>25</v>
      </c>
      <c r="AT10" s="44">
        <f>AO10+AP10-AR10</f>
        <v>48</v>
      </c>
      <c r="AU10" s="56"/>
      <c r="AW10" s="328"/>
      <c r="AX10" s="315"/>
      <c r="AY10" s="315"/>
      <c r="AZ10" s="315"/>
      <c r="BA10" s="315"/>
      <c r="BB10" s="315"/>
      <c r="BC10" s="315"/>
      <c r="BD10" s="315"/>
      <c r="BE10" s="315"/>
      <c r="BF10" s="315"/>
      <c r="BG10" s="315"/>
      <c r="BH10" s="315"/>
      <c r="BI10" s="315"/>
    </row>
    <row r="11" spans="1:62" ht="41.5" customHeight="1" x14ac:dyDescent="0.35">
      <c r="A11" s="5">
        <v>1</v>
      </c>
      <c r="B11" s="26" t="str">
        <f>'7'!B11</f>
        <v>مكتب الصحة</v>
      </c>
      <c r="C11" s="26">
        <f>'7'!C11</f>
        <v>12251</v>
      </c>
      <c r="D11" s="26"/>
      <c r="E11" s="12"/>
      <c r="F11" s="2">
        <f>E11+'7'!F11</f>
        <v>39</v>
      </c>
      <c r="G11" s="2"/>
      <c r="H11" s="2">
        <f>G11+'7'!H11</f>
        <v>1961</v>
      </c>
      <c r="I11" s="2"/>
      <c r="J11" s="2">
        <f>I11+'7'!J11</f>
        <v>5340</v>
      </c>
      <c r="K11" s="2"/>
      <c r="L11" s="2">
        <f>K11+'7'!L11</f>
        <v>0</v>
      </c>
      <c r="M11" s="2"/>
      <c r="N11" s="2">
        <f>M11+'7'!N11</f>
        <v>0</v>
      </c>
      <c r="O11" s="2"/>
      <c r="P11" s="2">
        <f>O11+'7'!P11</f>
        <v>0</v>
      </c>
      <c r="Q11" s="4">
        <f>O11+M11+K11+I11+G11+E11</f>
        <v>0</v>
      </c>
      <c r="R11" s="4">
        <f>Q11+'7'!R11</f>
        <v>7340</v>
      </c>
      <c r="S11" s="27">
        <f>R11/C11</f>
        <v>0.5991347645090197</v>
      </c>
      <c r="T11" s="12"/>
      <c r="U11" s="12">
        <f>T11+'7'!U11</f>
        <v>1397</v>
      </c>
      <c r="V11" s="12"/>
      <c r="W11" s="12">
        <f>V11+'7'!W11</f>
        <v>4</v>
      </c>
      <c r="X11" s="12"/>
      <c r="Y11" s="12">
        <f>X11+'7'!Y11</f>
        <v>1</v>
      </c>
      <c r="AB11" s="48">
        <v>1</v>
      </c>
      <c r="AC11" s="26" t="str">
        <f>'7'!AC11</f>
        <v>مكتب الصحة</v>
      </c>
      <c r="AD11" s="28">
        <f>'7'!AI11</f>
        <v>333</v>
      </c>
      <c r="AE11" s="3"/>
      <c r="AF11" s="28">
        <f>AE11+'7'!AF11</f>
        <v>1082</v>
      </c>
      <c r="AG11" s="4"/>
      <c r="AH11" s="28">
        <f>AG11+'7'!AH11</f>
        <v>749</v>
      </c>
      <c r="AI11" s="4">
        <f>AD11+AE11-AG11</f>
        <v>333</v>
      </c>
      <c r="AJ11" s="11" t="e">
        <f t="shared" ref="AJ11:AJ51" si="0">Q11/AG11</f>
        <v>#DIV/0!</v>
      </c>
      <c r="AK11" s="53">
        <f t="shared" ref="AK11:AK51" si="1">R11/AH11</f>
        <v>9.799732977303071</v>
      </c>
      <c r="AM11" s="340"/>
      <c r="AN11" s="42" t="str">
        <f>'7'!AN11</f>
        <v>420604325A</v>
      </c>
      <c r="AO11" s="42">
        <f>'7'!AT11</f>
        <v>3076</v>
      </c>
      <c r="AP11" s="16"/>
      <c r="AQ11" s="17">
        <f>AP11+'7'!AQ11</f>
        <v>8550</v>
      </c>
      <c r="AR11" s="16"/>
      <c r="AS11" s="17">
        <f>AR11+'7'!AS11</f>
        <v>5474</v>
      </c>
      <c r="AT11" s="44">
        <f>AO11+AP11-AR11</f>
        <v>3076</v>
      </c>
      <c r="AU11" s="56"/>
      <c r="AW11" s="26" t="str">
        <f>'7'!AW11</f>
        <v>مكتب الصحة</v>
      </c>
      <c r="AX11" s="12">
        <f>'7'!AX11</f>
        <v>11</v>
      </c>
      <c r="AY11" s="12">
        <f>'7'!AY11</f>
        <v>8411</v>
      </c>
      <c r="AZ11" s="12"/>
      <c r="BA11" s="12"/>
      <c r="BB11" s="12">
        <f>BA11+'7'!BB11</f>
        <v>5998</v>
      </c>
      <c r="BC11" s="30">
        <f t="shared" ref="BC11:BC51" si="2">BB11/AY11</f>
        <v>0.71311377957436695</v>
      </c>
      <c r="BD11" s="12">
        <f>'7'!BD11</f>
        <v>27</v>
      </c>
      <c r="BE11" s="12">
        <f>'7'!BE11</f>
        <v>1746</v>
      </c>
      <c r="BF11" s="12"/>
      <c r="BG11" s="12"/>
      <c r="BH11" s="12">
        <f>BG11+'7'!BH11</f>
        <v>477</v>
      </c>
      <c r="BI11" s="30">
        <f t="shared" ref="BI11:BI51" si="3">BH11/BE11</f>
        <v>0.27319587628865977</v>
      </c>
    </row>
    <row r="12" spans="1:62" ht="41.5" customHeight="1" x14ac:dyDescent="0.35">
      <c r="A12" s="5">
        <v>2</v>
      </c>
      <c r="B12" s="26" t="str">
        <f>'7'!B12</f>
        <v>شبرابخـــــــــــوم</v>
      </c>
      <c r="C12" s="26">
        <f>'7'!C12</f>
        <v>4445</v>
      </c>
      <c r="D12" s="26"/>
      <c r="E12" s="12"/>
      <c r="F12" s="2">
        <f>E12+'7'!F12</f>
        <v>14</v>
      </c>
      <c r="G12" s="2"/>
      <c r="H12" s="2">
        <f>G12+'7'!H12</f>
        <v>392</v>
      </c>
      <c r="I12" s="2"/>
      <c r="J12" s="2">
        <f>I12+'7'!J12</f>
        <v>1857</v>
      </c>
      <c r="K12" s="2"/>
      <c r="L12" s="2">
        <f>K12+'7'!L12</f>
        <v>0</v>
      </c>
      <c r="M12" s="2"/>
      <c r="N12" s="2">
        <f>M12+'7'!N12</f>
        <v>0</v>
      </c>
      <c r="O12" s="2"/>
      <c r="P12" s="2">
        <f>O12+'7'!P12</f>
        <v>0</v>
      </c>
      <c r="Q12" s="4">
        <f t="shared" ref="Q12:Q50" si="4">O12+M12+K12+I12+G12+E12</f>
        <v>0</v>
      </c>
      <c r="R12" s="4">
        <f>Q12+'7'!R12</f>
        <v>2263</v>
      </c>
      <c r="S12" s="27">
        <f t="shared" ref="S12:S50" si="5">R12/C12</f>
        <v>0.50911136107986499</v>
      </c>
      <c r="T12" s="12"/>
      <c r="U12" s="12">
        <f>T12+'7'!U12</f>
        <v>373</v>
      </c>
      <c r="V12" s="12"/>
      <c r="W12" s="12">
        <f>V12+'7'!W12</f>
        <v>15</v>
      </c>
      <c r="X12" s="12"/>
      <c r="Y12" s="12">
        <f>X12+'7'!Y12</f>
        <v>0</v>
      </c>
      <c r="AB12" s="5">
        <v>2</v>
      </c>
      <c r="AC12" s="26" t="str">
        <f>'7'!AC12</f>
        <v>شبرابخـــــــــــوم</v>
      </c>
      <c r="AD12" s="28">
        <f>'7'!AI12</f>
        <v>158</v>
      </c>
      <c r="AE12" s="3"/>
      <c r="AF12" s="28">
        <f>AE12+'7'!AF12</f>
        <v>390</v>
      </c>
      <c r="AG12" s="4"/>
      <c r="AH12" s="28">
        <f>AG12+'7'!AH12</f>
        <v>232</v>
      </c>
      <c r="AI12" s="4">
        <f>AD12+AE12-AG12</f>
        <v>158</v>
      </c>
      <c r="AJ12" s="11" t="e">
        <f t="shared" si="0"/>
        <v>#DIV/0!</v>
      </c>
      <c r="AK12" s="53">
        <f t="shared" si="1"/>
        <v>9.7543103448275854</v>
      </c>
      <c r="AM12" s="340"/>
      <c r="AN12" s="42" t="str">
        <f>'7'!AN12</f>
        <v>420604225A</v>
      </c>
      <c r="AO12" s="42">
        <f>'7'!AT12</f>
        <v>100</v>
      </c>
      <c r="AP12" s="16"/>
      <c r="AQ12" s="17">
        <f>AP12+'7'!AQ12</f>
        <v>100</v>
      </c>
      <c r="AR12" s="16"/>
      <c r="AS12" s="17">
        <f>AR12+'7'!AS12</f>
        <v>0</v>
      </c>
      <c r="AT12" s="44">
        <f>AO12+AP12-AR12</f>
        <v>100</v>
      </c>
      <c r="AU12" s="56"/>
      <c r="AW12" s="26" t="str">
        <f>'7'!AW12</f>
        <v>شبرابخـــــــــــوم</v>
      </c>
      <c r="AX12" s="12">
        <f>'7'!AX12</f>
        <v>6</v>
      </c>
      <c r="AY12" s="12">
        <f>'7'!AY12</f>
        <v>2215</v>
      </c>
      <c r="AZ12" s="12"/>
      <c r="BA12" s="12"/>
      <c r="BB12" s="12">
        <f>BA12+'7'!BB12</f>
        <v>2306</v>
      </c>
      <c r="BC12" s="30">
        <f t="shared" si="2"/>
        <v>1.0410835214446952</v>
      </c>
      <c r="BD12" s="12">
        <f>'7'!BD12</f>
        <v>16</v>
      </c>
      <c r="BE12" s="12">
        <f>'7'!BE12</f>
        <v>729</v>
      </c>
      <c r="BF12" s="12"/>
      <c r="BG12" s="12"/>
      <c r="BH12" s="12">
        <f>BG12+'7'!BH12</f>
        <v>224</v>
      </c>
      <c r="BI12" s="30">
        <f t="shared" si="3"/>
        <v>0.30727023319615915</v>
      </c>
    </row>
    <row r="13" spans="1:62" ht="41.5" customHeight="1" x14ac:dyDescent="0.35">
      <c r="A13" s="5">
        <v>3</v>
      </c>
      <c r="B13" s="26" t="str">
        <f>'7'!B13</f>
        <v>ميت بره</v>
      </c>
      <c r="C13" s="26">
        <f>'7'!C13</f>
        <v>11614</v>
      </c>
      <c r="D13" s="26"/>
      <c r="E13" s="12"/>
      <c r="F13" s="2">
        <f>E13+'7'!F13</f>
        <v>45</v>
      </c>
      <c r="G13" s="2"/>
      <c r="H13" s="2">
        <f>G13+'7'!H13</f>
        <v>465</v>
      </c>
      <c r="I13" s="2"/>
      <c r="J13" s="2">
        <f>I13+'7'!J13</f>
        <v>3703</v>
      </c>
      <c r="K13" s="2"/>
      <c r="L13" s="2">
        <f>K13+'7'!L13</f>
        <v>0</v>
      </c>
      <c r="M13" s="2"/>
      <c r="N13" s="2">
        <f>M13+'7'!N13</f>
        <v>0</v>
      </c>
      <c r="O13" s="2"/>
      <c r="P13" s="2">
        <f>O13+'7'!P13</f>
        <v>0</v>
      </c>
      <c r="Q13" s="4">
        <f t="shared" si="4"/>
        <v>0</v>
      </c>
      <c r="R13" s="4">
        <f>Q13+'7'!R13</f>
        <v>4213</v>
      </c>
      <c r="S13" s="27">
        <f t="shared" si="5"/>
        <v>0.36275185121405201</v>
      </c>
      <c r="T13" s="12"/>
      <c r="U13" s="12">
        <f>T13+'7'!U13</f>
        <v>641</v>
      </c>
      <c r="V13" s="12"/>
      <c r="W13" s="12">
        <f>V13+'7'!W13</f>
        <v>0</v>
      </c>
      <c r="X13" s="12"/>
      <c r="Y13" s="12">
        <f>X13+'7'!Y13</f>
        <v>0</v>
      </c>
      <c r="AB13" s="5">
        <v>3</v>
      </c>
      <c r="AC13" s="26" t="str">
        <f>'7'!AC13</f>
        <v>ميت بره</v>
      </c>
      <c r="AD13" s="28">
        <f>'7'!AI13</f>
        <v>584</v>
      </c>
      <c r="AE13" s="3"/>
      <c r="AF13" s="28">
        <f>AE13+'7'!AF13</f>
        <v>1020</v>
      </c>
      <c r="AG13" s="4"/>
      <c r="AH13" s="28">
        <f>AG13+'7'!AH13</f>
        <v>436</v>
      </c>
      <c r="AI13" s="4">
        <f t="shared" ref="AI13:AI50" si="6">AD13+AE13-AG13</f>
        <v>584</v>
      </c>
      <c r="AJ13" s="11" t="e">
        <f t="shared" si="0"/>
        <v>#DIV/0!</v>
      </c>
      <c r="AK13" s="53">
        <f t="shared" si="1"/>
        <v>9.6628440366972477</v>
      </c>
      <c r="AM13" s="340"/>
      <c r="AN13" s="46" t="s">
        <v>43</v>
      </c>
      <c r="AO13" s="45">
        <f t="shared" ref="AO13:AT13" si="7">SUM(AO10:AO12)</f>
        <v>3224</v>
      </c>
      <c r="AP13" s="45">
        <f t="shared" si="7"/>
        <v>0</v>
      </c>
      <c r="AQ13" s="45">
        <f t="shared" si="7"/>
        <v>8723</v>
      </c>
      <c r="AR13" s="45">
        <f t="shared" si="7"/>
        <v>0</v>
      </c>
      <c r="AS13" s="45">
        <f t="shared" si="7"/>
        <v>5499</v>
      </c>
      <c r="AT13" s="47">
        <f t="shared" si="7"/>
        <v>3224</v>
      </c>
      <c r="AU13" s="56"/>
      <c r="AW13" s="26" t="str">
        <f>'7'!AW13</f>
        <v>ميت بره</v>
      </c>
      <c r="AX13" s="12">
        <f>'7'!AX13</f>
        <v>8</v>
      </c>
      <c r="AY13" s="12">
        <f>'7'!AY13</f>
        <v>4849</v>
      </c>
      <c r="AZ13" s="12"/>
      <c r="BA13" s="12"/>
      <c r="BB13" s="12">
        <f>BA13+'7'!BB13</f>
        <v>4093</v>
      </c>
      <c r="BC13" s="30">
        <f t="shared" si="2"/>
        <v>0.84409156527118989</v>
      </c>
      <c r="BD13" s="12">
        <f>'7'!BD13</f>
        <v>21</v>
      </c>
      <c r="BE13" s="12">
        <f>'7'!BE13</f>
        <v>1129</v>
      </c>
      <c r="BF13" s="12"/>
      <c r="BG13" s="12"/>
      <c r="BH13" s="12">
        <f>BG13+'7'!BH13</f>
        <v>128</v>
      </c>
      <c r="BI13" s="30">
        <f t="shared" si="3"/>
        <v>0.11337466784765279</v>
      </c>
    </row>
    <row r="14" spans="1:62" ht="41.5" customHeight="1" thickBot="1" x14ac:dyDescent="0.4">
      <c r="A14" s="5">
        <v>4</v>
      </c>
      <c r="B14" s="26" t="str">
        <f>'7'!B14</f>
        <v>أبنــــــــــــــــهس</v>
      </c>
      <c r="C14" s="26">
        <f>'7'!C14</f>
        <v>5029</v>
      </c>
      <c r="D14" s="26"/>
      <c r="E14" s="12"/>
      <c r="F14" s="2">
        <f>E14+'7'!F14</f>
        <v>14</v>
      </c>
      <c r="G14" s="2"/>
      <c r="H14" s="2">
        <f>G14+'7'!H14</f>
        <v>349</v>
      </c>
      <c r="I14" s="2"/>
      <c r="J14" s="2">
        <f>I14+'7'!J14</f>
        <v>2016</v>
      </c>
      <c r="K14" s="2"/>
      <c r="L14" s="2">
        <f>K14+'7'!L14</f>
        <v>0</v>
      </c>
      <c r="M14" s="2"/>
      <c r="N14" s="2">
        <f>M14+'7'!N14</f>
        <v>0</v>
      </c>
      <c r="O14" s="2"/>
      <c r="P14" s="2">
        <f>O14+'7'!P14</f>
        <v>0</v>
      </c>
      <c r="Q14" s="4">
        <f t="shared" si="4"/>
        <v>0</v>
      </c>
      <c r="R14" s="4">
        <f>Q14+'7'!R14</f>
        <v>2379</v>
      </c>
      <c r="S14" s="27">
        <f t="shared" si="5"/>
        <v>0.47305627361304436</v>
      </c>
      <c r="T14" s="12"/>
      <c r="U14" s="12">
        <f>T14+'7'!U14</f>
        <v>341</v>
      </c>
      <c r="V14" s="12"/>
      <c r="W14" s="12">
        <f>V14+'7'!W14</f>
        <v>29</v>
      </c>
      <c r="X14" s="12"/>
      <c r="Y14" s="12">
        <f>X14+'7'!Y14</f>
        <v>0</v>
      </c>
      <c r="AB14" s="5">
        <v>4</v>
      </c>
      <c r="AC14" s="26" t="str">
        <f>'7'!AC14</f>
        <v>أبنــــــــــــــــهس</v>
      </c>
      <c r="AD14" s="28">
        <f>'7'!AI14</f>
        <v>196</v>
      </c>
      <c r="AE14" s="3"/>
      <c r="AF14" s="28">
        <f>AE14+'7'!AF14</f>
        <v>440</v>
      </c>
      <c r="AG14" s="4"/>
      <c r="AH14" s="28">
        <f>AG14+'7'!AH14</f>
        <v>244</v>
      </c>
      <c r="AI14" s="4">
        <f t="shared" si="6"/>
        <v>196</v>
      </c>
      <c r="AJ14" s="11" t="e">
        <f t="shared" si="0"/>
        <v>#DIV/0!</v>
      </c>
      <c r="AK14" s="53">
        <f t="shared" si="1"/>
        <v>9.75</v>
      </c>
      <c r="AM14" s="316" t="s">
        <v>42</v>
      </c>
      <c r="AN14" s="317"/>
      <c r="AO14" s="318"/>
      <c r="AP14" s="319"/>
      <c r="AQ14" s="319"/>
      <c r="AR14" s="319"/>
      <c r="AS14" s="320"/>
      <c r="AT14" s="39">
        <f>AT13+AI51</f>
        <v>6357</v>
      </c>
      <c r="AU14" s="57"/>
      <c r="AW14" s="26" t="str">
        <f>'7'!AW14</f>
        <v>أبنــــــــــــــــهس</v>
      </c>
      <c r="AX14" s="12">
        <f>'7'!AX14</f>
        <v>7</v>
      </c>
      <c r="AY14" s="12">
        <f>'7'!AY14</f>
        <v>2531</v>
      </c>
      <c r="AZ14" s="12"/>
      <c r="BA14" s="12"/>
      <c r="BB14" s="12">
        <f>BA14+'7'!BB14</f>
        <v>2092</v>
      </c>
      <c r="BC14" s="30">
        <f t="shared" si="2"/>
        <v>0.82655077044646386</v>
      </c>
      <c r="BD14" s="12">
        <f>'7'!BD14</f>
        <v>23</v>
      </c>
      <c r="BE14" s="12">
        <f>'7'!BE14</f>
        <v>921</v>
      </c>
      <c r="BF14" s="12"/>
      <c r="BG14" s="12"/>
      <c r="BH14" s="12">
        <f>BG14+'7'!BH14</f>
        <v>287</v>
      </c>
      <c r="BI14" s="30">
        <f t="shared" si="3"/>
        <v>0.31161780673181327</v>
      </c>
    </row>
    <row r="15" spans="1:62" ht="41.5" customHeight="1" x14ac:dyDescent="0.35">
      <c r="A15" s="5">
        <v>5</v>
      </c>
      <c r="B15" s="26" t="str">
        <f>'7'!B15</f>
        <v>ميت ســـــــــراج</v>
      </c>
      <c r="C15" s="26">
        <f>'7'!C15</f>
        <v>2369</v>
      </c>
      <c r="D15" s="26"/>
      <c r="E15" s="12"/>
      <c r="F15" s="2">
        <f>E15+'7'!F15</f>
        <v>4</v>
      </c>
      <c r="G15" s="2"/>
      <c r="H15" s="2">
        <f>G15+'7'!H15</f>
        <v>472</v>
      </c>
      <c r="I15" s="2"/>
      <c r="J15" s="2">
        <f>I15+'7'!J15</f>
        <v>839</v>
      </c>
      <c r="K15" s="2"/>
      <c r="L15" s="2">
        <f>K15+'7'!L15</f>
        <v>0</v>
      </c>
      <c r="M15" s="2"/>
      <c r="N15" s="2">
        <f>M15+'7'!N15</f>
        <v>0</v>
      </c>
      <c r="O15" s="2"/>
      <c r="P15" s="2">
        <f>O15+'7'!P15</f>
        <v>0</v>
      </c>
      <c r="Q15" s="4">
        <f t="shared" si="4"/>
        <v>0</v>
      </c>
      <c r="R15" s="4">
        <f>Q15+'7'!R15</f>
        <v>1315</v>
      </c>
      <c r="S15" s="27">
        <f t="shared" si="5"/>
        <v>0.55508653440270161</v>
      </c>
      <c r="T15" s="12"/>
      <c r="U15" s="12">
        <f>T15+'7'!U15</f>
        <v>105</v>
      </c>
      <c r="V15" s="12"/>
      <c r="W15" s="12">
        <f>V15+'7'!W15</f>
        <v>37</v>
      </c>
      <c r="X15" s="12"/>
      <c r="Y15" s="12">
        <f>X15+'7'!Y15</f>
        <v>0</v>
      </c>
      <c r="AB15" s="5">
        <v>5</v>
      </c>
      <c r="AC15" s="26" t="str">
        <f>'7'!AC15</f>
        <v>ميت ســـــــــراج</v>
      </c>
      <c r="AD15" s="28">
        <f>'7'!AI15</f>
        <v>74</v>
      </c>
      <c r="AE15" s="3"/>
      <c r="AF15" s="28">
        <f>AE15+'7'!AF15</f>
        <v>209</v>
      </c>
      <c r="AG15" s="4"/>
      <c r="AH15" s="28">
        <f>AG15+'7'!AH15</f>
        <v>135</v>
      </c>
      <c r="AI15" s="4">
        <f t="shared" si="6"/>
        <v>74</v>
      </c>
      <c r="AJ15" s="11" t="e">
        <f t="shared" si="0"/>
        <v>#DIV/0!</v>
      </c>
      <c r="AK15" s="53">
        <f t="shared" si="1"/>
        <v>9.7407407407407405</v>
      </c>
      <c r="AW15" s="26" t="str">
        <f>'7'!AW15</f>
        <v>ميت ســـــــــراج</v>
      </c>
      <c r="AX15" s="12">
        <f>'7'!AX15</f>
        <v>2</v>
      </c>
      <c r="AY15" s="12">
        <f>'7'!AY15</f>
        <v>1041</v>
      </c>
      <c r="AZ15" s="12"/>
      <c r="BA15" s="12"/>
      <c r="BB15" s="12">
        <f>BA15+'7'!BB15</f>
        <v>874</v>
      </c>
      <c r="BC15" s="30">
        <f t="shared" si="2"/>
        <v>0.83957732949087416</v>
      </c>
      <c r="BD15" s="12">
        <f>'7'!BD15</f>
        <v>5</v>
      </c>
      <c r="BE15" s="12">
        <f>'7'!BE15</f>
        <v>310</v>
      </c>
      <c r="BF15" s="12"/>
      <c r="BG15" s="12"/>
      <c r="BH15" s="12">
        <f>BG15+'7'!BH15</f>
        <v>385</v>
      </c>
      <c r="BI15" s="30">
        <f t="shared" si="3"/>
        <v>1.2419354838709677</v>
      </c>
    </row>
    <row r="16" spans="1:62" ht="41.5" customHeight="1" x14ac:dyDescent="0.35">
      <c r="A16" s="5">
        <v>6</v>
      </c>
      <c r="B16" s="26" t="str">
        <f>'7'!B16</f>
        <v>أم خــــــــــــــنان</v>
      </c>
      <c r="C16" s="26">
        <f>'7'!C16</f>
        <v>4900</v>
      </c>
      <c r="D16" s="26"/>
      <c r="E16" s="12"/>
      <c r="F16" s="2">
        <f>E16+'7'!F16</f>
        <v>11</v>
      </c>
      <c r="G16" s="2"/>
      <c r="H16" s="2">
        <f>G16+'7'!H16</f>
        <v>280</v>
      </c>
      <c r="I16" s="2"/>
      <c r="J16" s="2">
        <f>I16+'7'!J16</f>
        <v>1942</v>
      </c>
      <c r="K16" s="2"/>
      <c r="L16" s="2">
        <f>K16+'7'!L16</f>
        <v>0</v>
      </c>
      <c r="M16" s="2"/>
      <c r="N16" s="2">
        <f>M16+'7'!N16</f>
        <v>0</v>
      </c>
      <c r="O16" s="2"/>
      <c r="P16" s="2">
        <f>O16+'7'!P16</f>
        <v>0</v>
      </c>
      <c r="Q16" s="4">
        <f t="shared" si="4"/>
        <v>0</v>
      </c>
      <c r="R16" s="4">
        <f>Q16+'7'!R16</f>
        <v>2233</v>
      </c>
      <c r="S16" s="27">
        <f t="shared" si="5"/>
        <v>0.45571428571428574</v>
      </c>
      <c r="T16" s="12"/>
      <c r="U16" s="12">
        <f>T16+'7'!U16</f>
        <v>375</v>
      </c>
      <c r="V16" s="12"/>
      <c r="W16" s="12">
        <f>V16+'7'!W16</f>
        <v>0</v>
      </c>
      <c r="X16" s="12"/>
      <c r="Y16" s="12">
        <f>X16+'7'!Y16</f>
        <v>0</v>
      </c>
      <c r="AB16" s="5">
        <v>6</v>
      </c>
      <c r="AC16" s="26" t="str">
        <f>'7'!AC16</f>
        <v>أم خــــــــــــــنان</v>
      </c>
      <c r="AD16" s="28">
        <f>'7'!AI16</f>
        <v>204</v>
      </c>
      <c r="AE16" s="3"/>
      <c r="AF16" s="28">
        <f>AE16+'7'!AF16</f>
        <v>430</v>
      </c>
      <c r="AG16" s="4"/>
      <c r="AH16" s="28">
        <f>AG16+'7'!AH16</f>
        <v>226</v>
      </c>
      <c r="AI16" s="4">
        <f t="shared" si="6"/>
        <v>204</v>
      </c>
      <c r="AJ16" s="11" t="e">
        <f t="shared" si="0"/>
        <v>#DIV/0!</v>
      </c>
      <c r="AK16" s="53">
        <f t="shared" si="1"/>
        <v>9.8805309734513269</v>
      </c>
      <c r="AW16" s="26" t="str">
        <f>'7'!AW16</f>
        <v>أم خــــــــــــــنان</v>
      </c>
      <c r="AX16" s="12">
        <f>'7'!AX16</f>
        <v>8</v>
      </c>
      <c r="AY16" s="12">
        <f>'7'!AY16</f>
        <v>2981</v>
      </c>
      <c r="AZ16" s="12"/>
      <c r="BA16" s="12"/>
      <c r="BB16" s="12">
        <f>BA16+'7'!BB16</f>
        <v>2132</v>
      </c>
      <c r="BC16" s="30">
        <f t="shared" si="2"/>
        <v>0.71519624287151962</v>
      </c>
      <c r="BD16" s="12">
        <f>'7'!BD16</f>
        <v>12</v>
      </c>
      <c r="BE16" s="12">
        <f>'7'!BE16</f>
        <v>1313</v>
      </c>
      <c r="BF16" s="12"/>
      <c r="BG16" s="12"/>
      <c r="BH16" s="12">
        <f>BG16+'7'!BH16</f>
        <v>0</v>
      </c>
      <c r="BI16" s="30">
        <f t="shared" si="3"/>
        <v>0</v>
      </c>
    </row>
    <row r="17" spans="1:61" ht="41.5" customHeight="1" x14ac:dyDescent="0.35">
      <c r="A17" s="5">
        <v>7</v>
      </c>
      <c r="B17" s="26" t="str">
        <f>'7'!B17</f>
        <v>أجهور الرمل</v>
      </c>
      <c r="C17" s="26">
        <f>'7'!C17</f>
        <v>3590</v>
      </c>
      <c r="D17" s="26"/>
      <c r="E17" s="12"/>
      <c r="F17" s="2">
        <f>E17+'7'!F17</f>
        <v>17</v>
      </c>
      <c r="G17" s="2"/>
      <c r="H17" s="2">
        <f>G17+'7'!H17</f>
        <v>591</v>
      </c>
      <c r="I17" s="2"/>
      <c r="J17" s="2">
        <f>I17+'7'!J17</f>
        <v>1489</v>
      </c>
      <c r="K17" s="2"/>
      <c r="L17" s="2">
        <f>K17+'7'!L17</f>
        <v>0</v>
      </c>
      <c r="M17" s="2"/>
      <c r="N17" s="2">
        <f>M17+'7'!N17</f>
        <v>0</v>
      </c>
      <c r="O17" s="2"/>
      <c r="P17" s="2">
        <f>O17+'7'!P17</f>
        <v>0</v>
      </c>
      <c r="Q17" s="4">
        <f t="shared" si="4"/>
        <v>0</v>
      </c>
      <c r="R17" s="4">
        <f>Q17+'7'!R17</f>
        <v>2097</v>
      </c>
      <c r="S17" s="27">
        <f t="shared" si="5"/>
        <v>0.58412256267409468</v>
      </c>
      <c r="T17" s="12"/>
      <c r="U17" s="12">
        <f>T17+'7'!U17</f>
        <v>360</v>
      </c>
      <c r="V17" s="12"/>
      <c r="W17" s="12">
        <f>V17+'7'!W17</f>
        <v>121</v>
      </c>
      <c r="X17" s="12"/>
      <c r="Y17" s="12">
        <f>X17+'7'!Y17</f>
        <v>0</v>
      </c>
      <c r="AB17" s="5">
        <v>7</v>
      </c>
      <c r="AC17" s="26" t="str">
        <f>'7'!AC17</f>
        <v>أجهور الرمل</v>
      </c>
      <c r="AD17" s="28">
        <f>'7'!AI17</f>
        <v>100</v>
      </c>
      <c r="AE17" s="3"/>
      <c r="AF17" s="28">
        <f>AE17+'7'!AF17</f>
        <v>316</v>
      </c>
      <c r="AG17" s="4"/>
      <c r="AH17" s="28">
        <f>AG17+'7'!AH17</f>
        <v>216</v>
      </c>
      <c r="AI17" s="4">
        <f t="shared" si="6"/>
        <v>100</v>
      </c>
      <c r="AJ17" s="11" t="e">
        <f t="shared" si="0"/>
        <v>#DIV/0!</v>
      </c>
      <c r="AK17" s="53">
        <f t="shared" si="1"/>
        <v>9.7083333333333339</v>
      </c>
      <c r="AW17" s="26" t="str">
        <f>'7'!AW17</f>
        <v>أجهور الرمل</v>
      </c>
      <c r="AX17" s="12">
        <f>'7'!AX17</f>
        <v>4</v>
      </c>
      <c r="AY17" s="12">
        <f>'7'!AY17</f>
        <v>1796</v>
      </c>
      <c r="AZ17" s="12"/>
      <c r="BA17" s="12"/>
      <c r="BB17" s="12">
        <f>BA17+'7'!BB17</f>
        <v>1422</v>
      </c>
      <c r="BC17" s="30">
        <f t="shared" si="2"/>
        <v>0.79175946547884191</v>
      </c>
      <c r="BD17" s="12">
        <f>'7'!BD17</f>
        <v>3</v>
      </c>
      <c r="BE17" s="12">
        <f>'7'!BE17</f>
        <v>100</v>
      </c>
      <c r="BF17" s="12"/>
      <c r="BG17" s="12"/>
      <c r="BH17" s="12">
        <f>BG17+'7'!BH17</f>
        <v>441</v>
      </c>
      <c r="BI17" s="30">
        <f t="shared" si="3"/>
        <v>4.41</v>
      </c>
    </row>
    <row r="18" spans="1:61" ht="41.5" customHeight="1" x14ac:dyDescent="0.35">
      <c r="A18" s="5">
        <v>8</v>
      </c>
      <c r="B18" s="26" t="str">
        <f>'7'!B18</f>
        <v>منشأة دمــــــــــلو</v>
      </c>
      <c r="C18" s="26">
        <f>'7'!C18</f>
        <v>1320</v>
      </c>
      <c r="D18" s="26"/>
      <c r="E18" s="12"/>
      <c r="F18" s="2">
        <f>E18+'7'!F18</f>
        <v>18</v>
      </c>
      <c r="G18" s="2"/>
      <c r="H18" s="2">
        <f>G18+'7'!H18</f>
        <v>528</v>
      </c>
      <c r="I18" s="2"/>
      <c r="J18" s="2">
        <f>I18+'7'!J18</f>
        <v>704</v>
      </c>
      <c r="K18" s="2"/>
      <c r="L18" s="2">
        <f>K18+'7'!L18</f>
        <v>0</v>
      </c>
      <c r="M18" s="2"/>
      <c r="N18" s="2">
        <f>M18+'7'!N18</f>
        <v>0</v>
      </c>
      <c r="O18" s="2"/>
      <c r="P18" s="2">
        <f>O18+'7'!P18</f>
        <v>0</v>
      </c>
      <c r="Q18" s="4">
        <f t="shared" si="4"/>
        <v>0</v>
      </c>
      <c r="R18" s="4">
        <f>Q18+'7'!R18</f>
        <v>1250</v>
      </c>
      <c r="S18" s="27">
        <f t="shared" si="5"/>
        <v>0.94696969696969702</v>
      </c>
      <c r="T18" s="12"/>
      <c r="U18" s="12">
        <f>T18+'7'!U18</f>
        <v>175</v>
      </c>
      <c r="V18" s="12"/>
      <c r="W18" s="12">
        <f>V18+'7'!W18</f>
        <v>38</v>
      </c>
      <c r="X18" s="12"/>
      <c r="Y18" s="12">
        <f>X18+'7'!Y18</f>
        <v>0</v>
      </c>
      <c r="AB18" s="5">
        <v>8</v>
      </c>
      <c r="AC18" s="26" t="str">
        <f>'7'!AC18</f>
        <v>منشأة دمــــــــــلو</v>
      </c>
      <c r="AD18" s="28">
        <f>'7'!AI18</f>
        <v>4</v>
      </c>
      <c r="AE18" s="3"/>
      <c r="AF18" s="28">
        <f>AE18+'7'!AF18</f>
        <v>135</v>
      </c>
      <c r="AG18" s="4"/>
      <c r="AH18" s="28">
        <f>AG18+'7'!AH18</f>
        <v>131</v>
      </c>
      <c r="AI18" s="4">
        <f t="shared" si="6"/>
        <v>4</v>
      </c>
      <c r="AJ18" s="11" t="e">
        <f t="shared" si="0"/>
        <v>#DIV/0!</v>
      </c>
      <c r="AK18" s="53">
        <f t="shared" si="1"/>
        <v>9.5419847328244281</v>
      </c>
      <c r="AW18" s="26" t="str">
        <f>'7'!AW18</f>
        <v>منشأة دمــــــــــلو</v>
      </c>
      <c r="AX18" s="12">
        <f>'7'!AX18</f>
        <v>2</v>
      </c>
      <c r="AY18" s="12">
        <f>'7'!AY18</f>
        <v>896</v>
      </c>
      <c r="AZ18" s="12"/>
      <c r="BA18" s="12"/>
      <c r="BB18" s="12">
        <f>BA18+'7'!BB18</f>
        <v>748</v>
      </c>
      <c r="BC18" s="30">
        <f t="shared" si="2"/>
        <v>0.8348214285714286</v>
      </c>
      <c r="BD18" s="12">
        <f>'7'!BD18</f>
        <v>8</v>
      </c>
      <c r="BE18" s="12">
        <f>'7'!BE18</f>
        <v>340</v>
      </c>
      <c r="BF18" s="12"/>
      <c r="BG18" s="12"/>
      <c r="BH18" s="12">
        <f>BG18+'7'!BH18</f>
        <v>328</v>
      </c>
      <c r="BI18" s="30">
        <f t="shared" si="3"/>
        <v>0.96470588235294119</v>
      </c>
    </row>
    <row r="19" spans="1:61" ht="41.5" customHeight="1" x14ac:dyDescent="0.35">
      <c r="A19" s="5">
        <v>9</v>
      </c>
      <c r="B19" s="26" t="str">
        <f>'7'!B19</f>
        <v>شـــــــــــــرانيس</v>
      </c>
      <c r="C19" s="26">
        <f>'7'!C19</f>
        <v>1414</v>
      </c>
      <c r="D19" s="26"/>
      <c r="E19" s="12"/>
      <c r="F19" s="2">
        <f>E19+'7'!F19</f>
        <v>11</v>
      </c>
      <c r="G19" s="2"/>
      <c r="H19" s="2">
        <f>G19+'7'!H19</f>
        <v>359</v>
      </c>
      <c r="I19" s="2"/>
      <c r="J19" s="2">
        <f>I19+'7'!J19</f>
        <v>618</v>
      </c>
      <c r="K19" s="2"/>
      <c r="L19" s="2">
        <f>K19+'7'!L19</f>
        <v>0</v>
      </c>
      <c r="M19" s="2"/>
      <c r="N19" s="2">
        <f>M19+'7'!N19</f>
        <v>0</v>
      </c>
      <c r="O19" s="2"/>
      <c r="P19" s="2">
        <f>O19+'7'!P19</f>
        <v>0</v>
      </c>
      <c r="Q19" s="4">
        <f t="shared" si="4"/>
        <v>0</v>
      </c>
      <c r="R19" s="4">
        <f>Q19+'7'!R19</f>
        <v>988</v>
      </c>
      <c r="S19" s="27">
        <f t="shared" si="5"/>
        <v>0.69872701555869876</v>
      </c>
      <c r="T19" s="12"/>
      <c r="U19" s="12">
        <f>T19+'7'!U19</f>
        <v>143</v>
      </c>
      <c r="V19" s="12"/>
      <c r="W19" s="12">
        <f>V19+'7'!W19</f>
        <v>0</v>
      </c>
      <c r="X19" s="12"/>
      <c r="Y19" s="12">
        <f>X19+'7'!Y19</f>
        <v>0</v>
      </c>
      <c r="AB19" s="5">
        <v>9</v>
      </c>
      <c r="AC19" s="26" t="str">
        <f>'7'!AC19</f>
        <v>شـــــــــــــرانيس</v>
      </c>
      <c r="AD19" s="28">
        <f>'7'!AI19</f>
        <v>22</v>
      </c>
      <c r="AE19" s="3"/>
      <c r="AF19" s="28">
        <f>AE19+'7'!AF19</f>
        <v>125</v>
      </c>
      <c r="AG19" s="4"/>
      <c r="AH19" s="28">
        <f>AG19+'7'!AH19</f>
        <v>103</v>
      </c>
      <c r="AI19" s="4">
        <f t="shared" si="6"/>
        <v>22</v>
      </c>
      <c r="AJ19" s="11" t="e">
        <f t="shared" si="0"/>
        <v>#DIV/0!</v>
      </c>
      <c r="AK19" s="53">
        <f t="shared" si="1"/>
        <v>9.5922330097087372</v>
      </c>
      <c r="AW19" s="26" t="str">
        <f>'7'!AW19</f>
        <v>شـــــــــــــرانيس</v>
      </c>
      <c r="AX19" s="12">
        <f>'7'!AX19</f>
        <v>2</v>
      </c>
      <c r="AY19" s="12">
        <f>'7'!AY19</f>
        <v>675</v>
      </c>
      <c r="AZ19" s="12"/>
      <c r="BA19" s="12"/>
      <c r="BB19" s="12">
        <f>BA19+'7'!BB19</f>
        <v>569</v>
      </c>
      <c r="BC19" s="30">
        <f t="shared" si="2"/>
        <v>0.84296296296296291</v>
      </c>
      <c r="BD19" s="12">
        <f>'7'!BD19</f>
        <v>2</v>
      </c>
      <c r="BE19" s="12">
        <f>'7'!BE19</f>
        <v>397</v>
      </c>
      <c r="BF19" s="12"/>
      <c r="BG19" s="12"/>
      <c r="BH19" s="12">
        <f>BG19+'7'!BH19</f>
        <v>349</v>
      </c>
      <c r="BI19" s="30">
        <f t="shared" si="3"/>
        <v>0.87909319899244331</v>
      </c>
    </row>
    <row r="20" spans="1:61" ht="41.5" customHeight="1" x14ac:dyDescent="0.35">
      <c r="A20" s="5">
        <v>10</v>
      </c>
      <c r="B20" s="26" t="str">
        <f>'7'!B20</f>
        <v>قويســـــــــنا البلد</v>
      </c>
      <c r="C20" s="26">
        <f>'7'!C20</f>
        <v>4115</v>
      </c>
      <c r="D20" s="26"/>
      <c r="E20" s="12"/>
      <c r="F20" s="2">
        <f>E20+'7'!F20</f>
        <v>27</v>
      </c>
      <c r="G20" s="2"/>
      <c r="H20" s="2">
        <f>G20+'7'!H20</f>
        <v>406</v>
      </c>
      <c r="I20" s="2"/>
      <c r="J20" s="2">
        <f>I20+'7'!J20</f>
        <v>1286</v>
      </c>
      <c r="K20" s="2"/>
      <c r="L20" s="2">
        <f>K20+'7'!L20</f>
        <v>0</v>
      </c>
      <c r="M20" s="2"/>
      <c r="N20" s="2">
        <f>M20+'7'!N20</f>
        <v>0</v>
      </c>
      <c r="O20" s="2"/>
      <c r="P20" s="2">
        <f>O20+'7'!P20</f>
        <v>0</v>
      </c>
      <c r="Q20" s="4">
        <f t="shared" si="4"/>
        <v>0</v>
      </c>
      <c r="R20" s="4">
        <f>Q20+'7'!R20</f>
        <v>1719</v>
      </c>
      <c r="S20" s="27">
        <f t="shared" si="5"/>
        <v>0.41773997569866345</v>
      </c>
      <c r="T20" s="12"/>
      <c r="U20" s="12">
        <f>T20+'7'!U20</f>
        <v>405</v>
      </c>
      <c r="V20" s="12"/>
      <c r="W20" s="12">
        <f>V20+'7'!W20</f>
        <v>144</v>
      </c>
      <c r="X20" s="12"/>
      <c r="Y20" s="12">
        <f>X20+'7'!Y20</f>
        <v>0</v>
      </c>
      <c r="AB20" s="5">
        <v>10</v>
      </c>
      <c r="AC20" s="26" t="str">
        <f>'7'!AC20</f>
        <v>قويســـــــــنا البلد</v>
      </c>
      <c r="AD20" s="28">
        <f>'7'!AI20</f>
        <v>185</v>
      </c>
      <c r="AE20" s="3"/>
      <c r="AF20" s="28">
        <f>AE20+'7'!AF20</f>
        <v>360</v>
      </c>
      <c r="AG20" s="4"/>
      <c r="AH20" s="28">
        <f>AG20+'7'!AH20</f>
        <v>175</v>
      </c>
      <c r="AI20" s="4">
        <f t="shared" si="6"/>
        <v>185</v>
      </c>
      <c r="AJ20" s="11" t="e">
        <f t="shared" si="0"/>
        <v>#DIV/0!</v>
      </c>
      <c r="AK20" s="53">
        <f t="shared" si="1"/>
        <v>9.8228571428571421</v>
      </c>
      <c r="AW20" s="26" t="str">
        <f>'7'!AW20</f>
        <v>قويســـــــــنا البلد</v>
      </c>
      <c r="AX20" s="12">
        <f>'7'!AX20</f>
        <v>2</v>
      </c>
      <c r="AY20" s="12">
        <f>'7'!AY20</f>
        <v>1539</v>
      </c>
      <c r="AZ20" s="12"/>
      <c r="BA20" s="12"/>
      <c r="BB20" s="12">
        <f>BA20+'7'!BB20</f>
        <v>1355</v>
      </c>
      <c r="BC20" s="30">
        <f t="shared" si="2"/>
        <v>0.88044184535412606</v>
      </c>
      <c r="BD20" s="12">
        <f>'7'!BD20</f>
        <v>7</v>
      </c>
      <c r="BE20" s="12">
        <f>'7'!BE20</f>
        <v>580</v>
      </c>
      <c r="BF20" s="12"/>
      <c r="BG20" s="12"/>
      <c r="BH20" s="12">
        <f>BG20+'7'!BH20</f>
        <v>204</v>
      </c>
      <c r="BI20" s="30">
        <f t="shared" si="3"/>
        <v>0.35172413793103446</v>
      </c>
    </row>
    <row r="21" spans="1:61" ht="41.5" customHeight="1" x14ac:dyDescent="0.35">
      <c r="A21" s="5">
        <v>11</v>
      </c>
      <c r="B21" s="26" t="str">
        <f>'7'!B21</f>
        <v>بجيرم</v>
      </c>
      <c r="C21" s="26">
        <f>'7'!C21</f>
        <v>1782</v>
      </c>
      <c r="D21" s="26"/>
      <c r="E21" s="12"/>
      <c r="F21" s="2">
        <f>E21+'7'!F21</f>
        <v>8</v>
      </c>
      <c r="G21" s="2"/>
      <c r="H21" s="2">
        <f>G21+'7'!H21</f>
        <v>406</v>
      </c>
      <c r="I21" s="2"/>
      <c r="J21" s="2">
        <f>I21+'7'!J21</f>
        <v>755</v>
      </c>
      <c r="K21" s="2"/>
      <c r="L21" s="2">
        <f>K21+'7'!L21</f>
        <v>0</v>
      </c>
      <c r="M21" s="2"/>
      <c r="N21" s="2">
        <f>M21+'7'!N21</f>
        <v>0</v>
      </c>
      <c r="O21" s="2"/>
      <c r="P21" s="2">
        <f>O21+'7'!P21</f>
        <v>0</v>
      </c>
      <c r="Q21" s="4">
        <f t="shared" si="4"/>
        <v>0</v>
      </c>
      <c r="R21" s="4">
        <f>Q21+'7'!R21</f>
        <v>1169</v>
      </c>
      <c r="S21" s="27">
        <f t="shared" si="5"/>
        <v>0.65600448933782263</v>
      </c>
      <c r="T21" s="12"/>
      <c r="U21" s="12">
        <f>T21+'7'!U21</f>
        <v>126</v>
      </c>
      <c r="V21" s="12"/>
      <c r="W21" s="12">
        <f>V21+'7'!W21</f>
        <v>44</v>
      </c>
      <c r="X21" s="12"/>
      <c r="Y21" s="12">
        <f>X21+'7'!Y21</f>
        <v>0</v>
      </c>
      <c r="AB21" s="5">
        <v>11</v>
      </c>
      <c r="AC21" s="26" t="str">
        <f>'7'!AC21</f>
        <v>بجيرم</v>
      </c>
      <c r="AD21" s="28">
        <f>'7'!AI21</f>
        <v>37</v>
      </c>
      <c r="AE21" s="3"/>
      <c r="AF21" s="28">
        <f>AE21+'7'!AF21</f>
        <v>157</v>
      </c>
      <c r="AG21" s="4"/>
      <c r="AH21" s="28">
        <f>AG21+'7'!AH21</f>
        <v>120</v>
      </c>
      <c r="AI21" s="4">
        <f t="shared" si="6"/>
        <v>37</v>
      </c>
      <c r="AJ21" s="11" t="e">
        <f t="shared" si="0"/>
        <v>#DIV/0!</v>
      </c>
      <c r="AK21" s="53">
        <f t="shared" si="1"/>
        <v>9.7416666666666671</v>
      </c>
      <c r="AW21" s="26" t="str">
        <f>'7'!AW21</f>
        <v>بجيرم</v>
      </c>
      <c r="AX21" s="12">
        <f>'7'!AX21</f>
        <v>4</v>
      </c>
      <c r="AY21" s="12">
        <f>'7'!AY21</f>
        <v>946</v>
      </c>
      <c r="AZ21" s="12"/>
      <c r="BA21" s="12"/>
      <c r="BB21" s="12">
        <f>BA21+'7'!BB21</f>
        <v>823</v>
      </c>
      <c r="BC21" s="30">
        <f t="shared" si="2"/>
        <v>0.86997885835095135</v>
      </c>
      <c r="BD21" s="12">
        <f>'7'!BD21</f>
        <v>4</v>
      </c>
      <c r="BE21" s="12">
        <f>'7'!BE21</f>
        <v>99</v>
      </c>
      <c r="BF21" s="12"/>
      <c r="BG21" s="12"/>
      <c r="BH21" s="12">
        <f>BG21+'7'!BH21</f>
        <v>99</v>
      </c>
      <c r="BI21" s="30">
        <f t="shared" si="3"/>
        <v>1</v>
      </c>
    </row>
    <row r="22" spans="1:61" ht="30" customHeight="1" x14ac:dyDescent="0.35">
      <c r="A22" s="5">
        <v>12</v>
      </c>
      <c r="B22" s="26" t="str">
        <f>'7'!B22</f>
        <v>كفر بنى غريـــان</v>
      </c>
      <c r="C22" s="26">
        <f>'7'!C22</f>
        <v>2184</v>
      </c>
      <c r="D22" s="26"/>
      <c r="E22" s="12"/>
      <c r="F22" s="2">
        <f>E22+'7'!F22</f>
        <v>12</v>
      </c>
      <c r="G22" s="2"/>
      <c r="H22" s="2">
        <f>G22+'7'!H22</f>
        <v>471</v>
      </c>
      <c r="I22" s="2"/>
      <c r="J22" s="2">
        <f>I22+'7'!J22</f>
        <v>971</v>
      </c>
      <c r="K22" s="2"/>
      <c r="L22" s="2">
        <f>K22+'7'!L22</f>
        <v>0</v>
      </c>
      <c r="M22" s="2"/>
      <c r="N22" s="2">
        <f>M22+'7'!N22</f>
        <v>0</v>
      </c>
      <c r="O22" s="2"/>
      <c r="P22" s="2">
        <f>O22+'7'!P22</f>
        <v>0</v>
      </c>
      <c r="Q22" s="4">
        <f t="shared" si="4"/>
        <v>0</v>
      </c>
      <c r="R22" s="4">
        <f>Q22+'7'!R22</f>
        <v>1454</v>
      </c>
      <c r="S22" s="27">
        <f t="shared" si="5"/>
        <v>0.66575091575091572</v>
      </c>
      <c r="T22" s="12"/>
      <c r="U22" s="12">
        <f>T22+'7'!U22</f>
        <v>174</v>
      </c>
      <c r="V22" s="12"/>
      <c r="W22" s="12">
        <f>V22+'7'!W22</f>
        <v>7</v>
      </c>
      <c r="X22" s="12"/>
      <c r="Y22" s="12">
        <f>X22+'7'!Y22</f>
        <v>0</v>
      </c>
      <c r="AB22" s="5">
        <v>12</v>
      </c>
      <c r="AC22" s="26" t="str">
        <f>'7'!AC22</f>
        <v>كفر بنى غريـــان</v>
      </c>
      <c r="AD22" s="28">
        <f>'7'!AI22</f>
        <v>42</v>
      </c>
      <c r="AE22" s="3"/>
      <c r="AF22" s="28">
        <f>AE22+'7'!AF22</f>
        <v>192</v>
      </c>
      <c r="AG22" s="4"/>
      <c r="AH22" s="28">
        <f>AG22+'7'!AH22</f>
        <v>150</v>
      </c>
      <c r="AI22" s="4">
        <f t="shared" si="6"/>
        <v>42</v>
      </c>
      <c r="AJ22" s="11" t="e">
        <f t="shared" si="0"/>
        <v>#DIV/0!</v>
      </c>
      <c r="AK22" s="53">
        <f t="shared" si="1"/>
        <v>9.6933333333333334</v>
      </c>
      <c r="AW22" s="26" t="str">
        <f>'7'!AW22</f>
        <v>كفر بنى غريـــان</v>
      </c>
      <c r="AX22" s="12">
        <f>'7'!AX22</f>
        <v>3</v>
      </c>
      <c r="AY22" s="12">
        <f>'7'!AY22</f>
        <v>1327</v>
      </c>
      <c r="AZ22" s="12"/>
      <c r="BA22" s="12"/>
      <c r="BB22" s="12">
        <f>BA22+'7'!BB22</f>
        <v>994</v>
      </c>
      <c r="BC22" s="30">
        <f t="shared" si="2"/>
        <v>0.74905802562170309</v>
      </c>
      <c r="BD22" s="12">
        <f>'7'!BD22</f>
        <v>9</v>
      </c>
      <c r="BE22" s="12">
        <f>'7'!BE22</f>
        <v>381</v>
      </c>
      <c r="BF22" s="12"/>
      <c r="BG22" s="12"/>
      <c r="BH22" s="12">
        <f>BG22+'7'!BH22</f>
        <v>387</v>
      </c>
      <c r="BI22" s="30">
        <f t="shared" si="3"/>
        <v>1.015748031496063</v>
      </c>
    </row>
    <row r="23" spans="1:61" ht="30" customHeight="1" x14ac:dyDescent="0.35">
      <c r="A23" s="5">
        <v>13</v>
      </c>
      <c r="B23" s="26" t="str">
        <f>'7'!B23</f>
        <v>بــقســـــــــــــــــا</v>
      </c>
      <c r="C23" s="26">
        <f>'7'!C23</f>
        <v>862</v>
      </c>
      <c r="D23" s="26"/>
      <c r="E23" s="12"/>
      <c r="F23" s="2">
        <f>E23+'7'!F23</f>
        <v>8</v>
      </c>
      <c r="G23" s="2"/>
      <c r="H23" s="2">
        <f>G23+'7'!H23</f>
        <v>160</v>
      </c>
      <c r="I23" s="2"/>
      <c r="J23" s="2">
        <f>I23+'7'!J23</f>
        <v>359</v>
      </c>
      <c r="K23" s="2"/>
      <c r="L23" s="2">
        <f>K23+'7'!L23</f>
        <v>0</v>
      </c>
      <c r="M23" s="2"/>
      <c r="N23" s="2">
        <f>M23+'7'!N23</f>
        <v>0</v>
      </c>
      <c r="O23" s="2"/>
      <c r="P23" s="2">
        <f>O23+'7'!P23</f>
        <v>0</v>
      </c>
      <c r="Q23" s="4">
        <f t="shared" si="4"/>
        <v>0</v>
      </c>
      <c r="R23" s="4">
        <f>Q23+'7'!R23</f>
        <v>527</v>
      </c>
      <c r="S23" s="27">
        <f t="shared" si="5"/>
        <v>0.61136890951276102</v>
      </c>
      <c r="T23" s="12"/>
      <c r="U23" s="12">
        <f>T23+'7'!U23</f>
        <v>36</v>
      </c>
      <c r="V23" s="12"/>
      <c r="W23" s="12">
        <f>V23+'7'!W23</f>
        <v>14</v>
      </c>
      <c r="X23" s="12"/>
      <c r="Y23" s="12">
        <f>X23+'7'!Y23</f>
        <v>0</v>
      </c>
      <c r="AB23" s="5">
        <v>13</v>
      </c>
      <c r="AC23" s="26" t="str">
        <f>'7'!AC23</f>
        <v>بــقســـــــــــــــــا</v>
      </c>
      <c r="AD23" s="28">
        <f>'7'!AI23</f>
        <v>22</v>
      </c>
      <c r="AE23" s="3"/>
      <c r="AF23" s="28">
        <f>AE23+'7'!AF23</f>
        <v>75</v>
      </c>
      <c r="AG23" s="4"/>
      <c r="AH23" s="28">
        <f>AG23+'7'!AH23</f>
        <v>53</v>
      </c>
      <c r="AI23" s="4">
        <f t="shared" si="6"/>
        <v>22</v>
      </c>
      <c r="AJ23" s="11" t="e">
        <f t="shared" si="0"/>
        <v>#DIV/0!</v>
      </c>
      <c r="AK23" s="53">
        <f t="shared" si="1"/>
        <v>9.9433962264150946</v>
      </c>
      <c r="AW23" s="26" t="str">
        <f>'7'!AW23</f>
        <v>بــقســـــــــــــــــا</v>
      </c>
      <c r="AX23" s="12">
        <f>'7'!AX23</f>
        <v>1</v>
      </c>
      <c r="AY23" s="12">
        <f>'7'!AY23</f>
        <v>311</v>
      </c>
      <c r="AZ23" s="12"/>
      <c r="BA23" s="12"/>
      <c r="BB23" s="12">
        <f>BA23+'7'!BB23</f>
        <v>297</v>
      </c>
      <c r="BC23" s="30">
        <f t="shared" si="2"/>
        <v>0.954983922829582</v>
      </c>
      <c r="BD23" s="12">
        <f>'7'!BD23</f>
        <v>1</v>
      </c>
      <c r="BE23" s="12">
        <f>'7'!BE23</f>
        <v>40</v>
      </c>
      <c r="BF23" s="12"/>
      <c r="BG23" s="12"/>
      <c r="BH23" s="12">
        <f>BG23+'7'!BH23</f>
        <v>30</v>
      </c>
      <c r="BI23" s="30">
        <f t="shared" si="3"/>
        <v>0.75</v>
      </c>
    </row>
    <row r="24" spans="1:61" ht="37.15" customHeight="1" x14ac:dyDescent="0.35">
      <c r="A24" s="5">
        <v>14</v>
      </c>
      <c r="B24" s="26" t="str">
        <f>'7'!B24</f>
        <v>كفــــــــر الأكرم</v>
      </c>
      <c r="C24" s="26">
        <f>'7'!C24</f>
        <v>918</v>
      </c>
      <c r="D24" s="26"/>
      <c r="E24" s="12"/>
      <c r="F24" s="2">
        <f>E24+'7'!F24</f>
        <v>3</v>
      </c>
      <c r="G24" s="2"/>
      <c r="H24" s="2">
        <f>G24+'7'!H24</f>
        <v>233</v>
      </c>
      <c r="I24" s="2"/>
      <c r="J24" s="2">
        <f>I24+'7'!J24</f>
        <v>392</v>
      </c>
      <c r="K24" s="2"/>
      <c r="L24" s="2">
        <f>K24+'7'!L24</f>
        <v>0</v>
      </c>
      <c r="M24" s="2"/>
      <c r="N24" s="2">
        <f>M24+'7'!N24</f>
        <v>0</v>
      </c>
      <c r="O24" s="2"/>
      <c r="P24" s="2">
        <f>O24+'7'!P24</f>
        <v>0</v>
      </c>
      <c r="Q24" s="4">
        <f t="shared" si="4"/>
        <v>0</v>
      </c>
      <c r="R24" s="4">
        <f>Q24+'7'!R24</f>
        <v>628</v>
      </c>
      <c r="S24" s="27">
        <f t="shared" si="5"/>
        <v>0.68409586056644878</v>
      </c>
      <c r="T24" s="12"/>
      <c r="U24" s="12">
        <f>T24+'7'!U24</f>
        <v>87</v>
      </c>
      <c r="V24" s="12"/>
      <c r="W24" s="12">
        <f>V24+'7'!W24</f>
        <v>9</v>
      </c>
      <c r="X24" s="12"/>
      <c r="Y24" s="12">
        <f>X24+'7'!Y24</f>
        <v>0</v>
      </c>
      <c r="AB24" s="5">
        <v>14</v>
      </c>
      <c r="AC24" s="26" t="str">
        <f>'7'!AC24</f>
        <v>كفــــــــر الأكرم</v>
      </c>
      <c r="AD24" s="28">
        <f>'7'!AI24</f>
        <v>15</v>
      </c>
      <c r="AE24" s="3"/>
      <c r="AF24" s="28">
        <f>AE24+'7'!AF24</f>
        <v>80</v>
      </c>
      <c r="AG24" s="4"/>
      <c r="AH24" s="28">
        <f>AG24+'7'!AH24</f>
        <v>65</v>
      </c>
      <c r="AI24" s="4">
        <f t="shared" si="6"/>
        <v>15</v>
      </c>
      <c r="AJ24" s="11" t="e">
        <f t="shared" si="0"/>
        <v>#DIV/0!</v>
      </c>
      <c r="AK24" s="53">
        <f t="shared" si="1"/>
        <v>9.661538461538461</v>
      </c>
      <c r="AW24" s="26" t="str">
        <f>'7'!AW24</f>
        <v>كفــــــــر الأكرم</v>
      </c>
      <c r="AX24" s="12">
        <f>'7'!AX24</f>
        <v>2</v>
      </c>
      <c r="AY24" s="12">
        <f>'7'!AY24</f>
        <v>540</v>
      </c>
      <c r="AZ24" s="12"/>
      <c r="BA24" s="12"/>
      <c r="BB24" s="12">
        <f>BA24+'7'!BB24</f>
        <v>380</v>
      </c>
      <c r="BC24" s="30">
        <f t="shared" si="2"/>
        <v>0.70370370370370372</v>
      </c>
      <c r="BD24" s="12">
        <f>'7'!BD24</f>
        <v>2</v>
      </c>
      <c r="BE24" s="12">
        <f>'7'!BE24</f>
        <v>115</v>
      </c>
      <c r="BF24" s="12"/>
      <c r="BG24" s="12"/>
      <c r="BH24" s="12">
        <f>BG24+'7'!BH24</f>
        <v>160</v>
      </c>
      <c r="BI24" s="30">
        <f t="shared" si="3"/>
        <v>1.3913043478260869</v>
      </c>
    </row>
    <row r="25" spans="1:61" ht="28.9" customHeight="1" x14ac:dyDescent="0.35">
      <c r="A25" s="5">
        <v>15</v>
      </c>
      <c r="B25" s="26" t="str">
        <f>'7'!B25</f>
        <v>كفـــــــــر إبنهس</v>
      </c>
      <c r="C25" s="26">
        <f>'7'!C25</f>
        <v>2072</v>
      </c>
      <c r="D25" s="26"/>
      <c r="E25" s="12"/>
      <c r="F25" s="2">
        <f>E25+'7'!F25</f>
        <v>6</v>
      </c>
      <c r="G25" s="2"/>
      <c r="H25" s="2">
        <f>G25+'7'!H25</f>
        <v>345</v>
      </c>
      <c r="I25" s="2"/>
      <c r="J25" s="2">
        <f>I25+'7'!J25</f>
        <v>974</v>
      </c>
      <c r="K25" s="2"/>
      <c r="L25" s="2">
        <f>K25+'7'!L25</f>
        <v>0</v>
      </c>
      <c r="M25" s="2"/>
      <c r="N25" s="2">
        <f>M25+'7'!N25</f>
        <v>0</v>
      </c>
      <c r="O25" s="2"/>
      <c r="P25" s="2">
        <f>O25+'7'!P25</f>
        <v>0</v>
      </c>
      <c r="Q25" s="4">
        <f t="shared" si="4"/>
        <v>0</v>
      </c>
      <c r="R25" s="4">
        <f>Q25+'7'!R25</f>
        <v>1325</v>
      </c>
      <c r="S25" s="27">
        <f t="shared" si="5"/>
        <v>0.63947876447876451</v>
      </c>
      <c r="T25" s="12"/>
      <c r="U25" s="12">
        <f>T25+'7'!U25</f>
        <v>173</v>
      </c>
      <c r="V25" s="12"/>
      <c r="W25" s="12">
        <f>V25+'7'!W25</f>
        <v>50</v>
      </c>
      <c r="X25" s="12"/>
      <c r="Y25" s="12">
        <f>X25+'7'!Y25</f>
        <v>0</v>
      </c>
      <c r="AB25" s="5">
        <v>15</v>
      </c>
      <c r="AC25" s="26" t="str">
        <f>'7'!AC25</f>
        <v>كفـــــــــر إبنهس</v>
      </c>
      <c r="AD25" s="28">
        <f>'7'!AI25</f>
        <v>31</v>
      </c>
      <c r="AE25" s="3"/>
      <c r="AF25" s="28">
        <f>AE25+'7'!AF25</f>
        <v>180</v>
      </c>
      <c r="AG25" s="4"/>
      <c r="AH25" s="28">
        <f>AG25+'7'!AH25</f>
        <v>149</v>
      </c>
      <c r="AI25" s="4">
        <f t="shared" si="6"/>
        <v>31</v>
      </c>
      <c r="AJ25" s="11" t="e">
        <f t="shared" si="0"/>
        <v>#DIV/0!</v>
      </c>
      <c r="AK25" s="53">
        <f t="shared" si="1"/>
        <v>8.8926174496644297</v>
      </c>
      <c r="AW25" s="26" t="str">
        <f>'7'!AW25</f>
        <v>كفـــــــــر إبنهس</v>
      </c>
      <c r="AX25" s="12">
        <f>'7'!AX25</f>
        <v>3</v>
      </c>
      <c r="AY25" s="12">
        <f>'7'!AY25</f>
        <v>1013</v>
      </c>
      <c r="AZ25" s="12"/>
      <c r="BA25" s="12"/>
      <c r="BB25" s="12">
        <f>BA25+'7'!BB25</f>
        <v>838</v>
      </c>
      <c r="BC25" s="30">
        <f t="shared" si="2"/>
        <v>0.82724580454096741</v>
      </c>
      <c r="BD25" s="12">
        <f>'7'!BD25</f>
        <v>4</v>
      </c>
      <c r="BE25" s="12">
        <f>'7'!BE25</f>
        <v>620</v>
      </c>
      <c r="BF25" s="12"/>
      <c r="BG25" s="12"/>
      <c r="BH25" s="12">
        <f>BG25+'7'!BH25</f>
        <v>507</v>
      </c>
      <c r="BI25" s="30">
        <f t="shared" si="3"/>
        <v>0.81774193548387097</v>
      </c>
    </row>
    <row r="26" spans="1:61" ht="28.9" customHeight="1" x14ac:dyDescent="0.35">
      <c r="A26" s="5">
        <v>16</v>
      </c>
      <c r="B26" s="26" t="str">
        <f>'7'!B26</f>
        <v>الرمــــــــــــــالى</v>
      </c>
      <c r="C26" s="26">
        <f>'7'!C26</f>
        <v>2699</v>
      </c>
      <c r="D26" s="26"/>
      <c r="E26" s="12"/>
      <c r="F26" s="2">
        <f>E26+'7'!F26</f>
        <v>27</v>
      </c>
      <c r="G26" s="2"/>
      <c r="H26" s="2">
        <f>G26+'7'!H26</f>
        <v>312</v>
      </c>
      <c r="I26" s="2"/>
      <c r="J26" s="2">
        <f>I26+'7'!J26</f>
        <v>993</v>
      </c>
      <c r="K26" s="2"/>
      <c r="L26" s="2">
        <f>K26+'7'!L26</f>
        <v>0</v>
      </c>
      <c r="M26" s="2"/>
      <c r="N26" s="2">
        <f>M26+'7'!N26</f>
        <v>0</v>
      </c>
      <c r="O26" s="2"/>
      <c r="P26" s="2">
        <f>O26+'7'!P26</f>
        <v>0</v>
      </c>
      <c r="Q26" s="4">
        <f t="shared" si="4"/>
        <v>0</v>
      </c>
      <c r="R26" s="4">
        <f>Q26+'7'!R26</f>
        <v>1332</v>
      </c>
      <c r="S26" s="27">
        <f t="shared" si="5"/>
        <v>0.49351611708040016</v>
      </c>
      <c r="T26" s="12"/>
      <c r="U26" s="12">
        <f>T26+'7'!U26</f>
        <v>114</v>
      </c>
      <c r="V26" s="12"/>
      <c r="W26" s="12">
        <f>V26+'7'!W26</f>
        <v>108</v>
      </c>
      <c r="X26" s="12"/>
      <c r="Y26" s="12">
        <f>X26+'7'!Y26</f>
        <v>1</v>
      </c>
      <c r="Z26" s="38"/>
      <c r="AB26" s="5">
        <v>16</v>
      </c>
      <c r="AC26" s="26" t="str">
        <f>'7'!AC26</f>
        <v>الرمــــــــــــــالى</v>
      </c>
      <c r="AD26" s="28">
        <f>'7'!AI26</f>
        <v>96</v>
      </c>
      <c r="AE26" s="3"/>
      <c r="AF26" s="28">
        <f>AE26+'7'!AF26</f>
        <v>235</v>
      </c>
      <c r="AG26" s="4"/>
      <c r="AH26" s="28">
        <f>AG26+'7'!AH26</f>
        <v>139</v>
      </c>
      <c r="AI26" s="4">
        <f t="shared" si="6"/>
        <v>96</v>
      </c>
      <c r="AJ26" s="11" t="e">
        <f t="shared" si="0"/>
        <v>#DIV/0!</v>
      </c>
      <c r="AK26" s="53">
        <f t="shared" si="1"/>
        <v>9.5827338129496411</v>
      </c>
      <c r="AV26" s="38"/>
      <c r="AW26" s="26" t="str">
        <f>'7'!AW26</f>
        <v>الرمــــــــــــــالى</v>
      </c>
      <c r="AX26" s="12">
        <f>'7'!AX26</f>
        <v>3</v>
      </c>
      <c r="AY26" s="12">
        <f>'7'!AY26</f>
        <v>1486</v>
      </c>
      <c r="AZ26" s="12"/>
      <c r="BA26" s="12"/>
      <c r="BB26" s="12">
        <f>BA26+'7'!BB26</f>
        <v>1149</v>
      </c>
      <c r="BC26" s="30">
        <f t="shared" si="2"/>
        <v>0.77321668909825036</v>
      </c>
      <c r="BD26" s="12">
        <f>'7'!BD26</f>
        <v>3</v>
      </c>
      <c r="BE26" s="12">
        <f>'7'!BE26</f>
        <v>98</v>
      </c>
      <c r="BF26" s="12"/>
      <c r="BG26" s="12"/>
      <c r="BH26" s="12">
        <f>BG26+'7'!BH26</f>
        <v>0</v>
      </c>
      <c r="BI26" s="30">
        <f t="shared" si="3"/>
        <v>0</v>
      </c>
    </row>
    <row r="27" spans="1:61" ht="28.9" customHeight="1" x14ac:dyDescent="0.35">
      <c r="A27" s="5">
        <v>17</v>
      </c>
      <c r="B27" s="26" t="str">
        <f>'7'!B27</f>
        <v>مصطــــــــــــاى</v>
      </c>
      <c r="C27" s="26">
        <f>'7'!C27</f>
        <v>2666</v>
      </c>
      <c r="D27" s="26"/>
      <c r="E27" s="12"/>
      <c r="F27" s="2">
        <f>E27+'7'!F27</f>
        <v>54</v>
      </c>
      <c r="G27" s="2"/>
      <c r="H27" s="2">
        <f>G27+'7'!H27</f>
        <v>364</v>
      </c>
      <c r="I27" s="2"/>
      <c r="J27" s="2">
        <f>I27+'7'!J27</f>
        <v>1154</v>
      </c>
      <c r="K27" s="2"/>
      <c r="L27" s="2">
        <f>K27+'7'!L27</f>
        <v>0</v>
      </c>
      <c r="M27" s="2"/>
      <c r="N27" s="2">
        <f>M27+'7'!N27</f>
        <v>0</v>
      </c>
      <c r="O27" s="2"/>
      <c r="P27" s="2">
        <f>O27+'7'!P27</f>
        <v>0</v>
      </c>
      <c r="Q27" s="4">
        <f t="shared" si="4"/>
        <v>0</v>
      </c>
      <c r="R27" s="4">
        <f>Q27+'7'!R27</f>
        <v>1572</v>
      </c>
      <c r="S27" s="27">
        <f t="shared" si="5"/>
        <v>0.58964741185296321</v>
      </c>
      <c r="T27" s="12"/>
      <c r="U27" s="12">
        <f>T27+'7'!U27</f>
        <v>45</v>
      </c>
      <c r="V27" s="12"/>
      <c r="W27" s="12">
        <f>V27+'7'!W27</f>
        <v>15</v>
      </c>
      <c r="X27" s="12"/>
      <c r="Y27" s="12">
        <f>X27+'7'!Y27</f>
        <v>0</v>
      </c>
      <c r="AB27" s="5">
        <v>17</v>
      </c>
      <c r="AC27" s="26" t="str">
        <f>'7'!AC27</f>
        <v>مصطــــــــــــاى</v>
      </c>
      <c r="AD27" s="28">
        <f>'7'!AI27</f>
        <v>74</v>
      </c>
      <c r="AE27" s="3"/>
      <c r="AF27" s="28">
        <f>AE27+'7'!AF27</f>
        <v>234</v>
      </c>
      <c r="AG27" s="4"/>
      <c r="AH27" s="28">
        <f>AG27+'7'!AH27</f>
        <v>160</v>
      </c>
      <c r="AI27" s="4">
        <f t="shared" si="6"/>
        <v>74</v>
      </c>
      <c r="AJ27" s="11" t="e">
        <f t="shared" si="0"/>
        <v>#DIV/0!</v>
      </c>
      <c r="AK27" s="53">
        <f t="shared" si="1"/>
        <v>9.8249999999999993</v>
      </c>
      <c r="AW27" s="26" t="str">
        <f>'7'!AW27</f>
        <v>مصطــــــــــــاى</v>
      </c>
      <c r="AX27" s="12">
        <f>'7'!AX27</f>
        <v>3</v>
      </c>
      <c r="AY27" s="12">
        <f>'7'!AY27</f>
        <v>1709</v>
      </c>
      <c r="AZ27" s="12"/>
      <c r="BA27" s="12"/>
      <c r="BB27" s="12">
        <f>BA27+'7'!BB27</f>
        <v>1252</v>
      </c>
      <c r="BC27" s="30">
        <f t="shared" si="2"/>
        <v>0.73259215915740195</v>
      </c>
      <c r="BD27" s="12">
        <f>'7'!BD27</f>
        <v>6</v>
      </c>
      <c r="BE27" s="12">
        <f>'7'!BE27</f>
        <v>696</v>
      </c>
      <c r="BF27" s="12"/>
      <c r="BG27" s="12"/>
      <c r="BH27" s="12">
        <f>BG27+'7'!BH27</f>
        <v>120</v>
      </c>
      <c r="BI27" s="30">
        <f t="shared" si="3"/>
        <v>0.17241379310344829</v>
      </c>
    </row>
    <row r="28" spans="1:61" ht="28.9" customHeight="1" x14ac:dyDescent="0.35">
      <c r="A28" s="5">
        <v>18</v>
      </c>
      <c r="B28" s="26" t="str">
        <f>'7'!B28</f>
        <v>كفر طـــــــه شبرا</v>
      </c>
      <c r="C28" s="26">
        <f>'7'!C28</f>
        <v>1795</v>
      </c>
      <c r="D28" s="26"/>
      <c r="E28" s="12"/>
      <c r="F28" s="2">
        <f>E28+'7'!F28</f>
        <v>8</v>
      </c>
      <c r="G28" s="2"/>
      <c r="H28" s="2">
        <f>G28+'7'!H28</f>
        <v>294</v>
      </c>
      <c r="I28" s="2"/>
      <c r="J28" s="2">
        <f>I28+'7'!J28</f>
        <v>940</v>
      </c>
      <c r="K28" s="2"/>
      <c r="L28" s="2">
        <f>K28+'7'!L28</f>
        <v>0</v>
      </c>
      <c r="M28" s="2"/>
      <c r="N28" s="2">
        <f>M28+'7'!N28</f>
        <v>0</v>
      </c>
      <c r="O28" s="2"/>
      <c r="P28" s="2">
        <f>O28+'7'!P28</f>
        <v>0</v>
      </c>
      <c r="Q28" s="4">
        <f t="shared" si="4"/>
        <v>0</v>
      </c>
      <c r="R28" s="4">
        <f>Q28+'7'!R28</f>
        <v>1242</v>
      </c>
      <c r="S28" s="27">
        <f t="shared" si="5"/>
        <v>0.69192200557103067</v>
      </c>
      <c r="T28" s="12"/>
      <c r="U28" s="12">
        <f>T28+'7'!U28</f>
        <v>136</v>
      </c>
      <c r="V28" s="12"/>
      <c r="W28" s="12">
        <f>V28+'7'!W28</f>
        <v>33</v>
      </c>
      <c r="X28" s="12"/>
      <c r="Y28" s="12">
        <f>X28+'7'!Y28</f>
        <v>0</v>
      </c>
      <c r="AB28" s="5">
        <v>18</v>
      </c>
      <c r="AC28" s="26" t="str">
        <f>'7'!AC28</f>
        <v>كفر طـــــــه شبرا</v>
      </c>
      <c r="AD28" s="28">
        <f>'7'!AI28</f>
        <v>28</v>
      </c>
      <c r="AE28" s="3"/>
      <c r="AF28" s="28">
        <f>AE28+'7'!AF28</f>
        <v>158</v>
      </c>
      <c r="AG28" s="4"/>
      <c r="AH28" s="28">
        <f>AG28+'7'!AH28</f>
        <v>130</v>
      </c>
      <c r="AI28" s="4">
        <f t="shared" si="6"/>
        <v>28</v>
      </c>
      <c r="AJ28" s="11" t="e">
        <f t="shared" si="0"/>
        <v>#DIV/0!</v>
      </c>
      <c r="AK28" s="53">
        <f t="shared" si="1"/>
        <v>9.5538461538461537</v>
      </c>
      <c r="AW28" s="26" t="str">
        <f>'7'!AW28</f>
        <v>كفر طـــــــه شبرا</v>
      </c>
      <c r="AX28" s="12">
        <f>'7'!AX28</f>
        <v>4</v>
      </c>
      <c r="AY28" s="12">
        <f>'7'!AY28</f>
        <v>948</v>
      </c>
      <c r="AZ28" s="12"/>
      <c r="BA28" s="12"/>
      <c r="BB28" s="12">
        <f>BA28+'7'!BB28</f>
        <v>827</v>
      </c>
      <c r="BC28" s="30">
        <f t="shared" si="2"/>
        <v>0.87236286919831219</v>
      </c>
      <c r="BD28" s="12">
        <f>'7'!BD28</f>
        <v>7</v>
      </c>
      <c r="BE28" s="12">
        <f>'7'!BE28</f>
        <v>300</v>
      </c>
      <c r="BF28" s="12"/>
      <c r="BG28" s="12"/>
      <c r="BH28" s="12">
        <f>BG28+'7'!BH28</f>
        <v>403</v>
      </c>
      <c r="BI28" s="30">
        <f t="shared" si="3"/>
        <v>1.3433333333333333</v>
      </c>
    </row>
    <row r="29" spans="1:61" ht="28.9" customHeight="1" x14ac:dyDescent="0.35">
      <c r="A29" s="5">
        <v>19</v>
      </c>
      <c r="B29" s="26" t="str">
        <f>'7'!B29</f>
        <v>كفر أبـــو الحسن</v>
      </c>
      <c r="C29" s="26">
        <f>'7'!C29</f>
        <v>1397</v>
      </c>
      <c r="D29" s="26"/>
      <c r="E29" s="12"/>
      <c r="F29" s="2">
        <f>E29+'7'!F29</f>
        <v>4</v>
      </c>
      <c r="G29" s="2"/>
      <c r="H29" s="2">
        <f>G29+'7'!H29</f>
        <v>238</v>
      </c>
      <c r="I29" s="2"/>
      <c r="J29" s="2">
        <f>I29+'7'!J29</f>
        <v>841</v>
      </c>
      <c r="K29" s="2"/>
      <c r="L29" s="2">
        <f>K29+'7'!L29</f>
        <v>0</v>
      </c>
      <c r="M29" s="2"/>
      <c r="N29" s="2">
        <f>M29+'7'!N29</f>
        <v>0</v>
      </c>
      <c r="O29" s="2"/>
      <c r="P29" s="2">
        <f>O29+'7'!P29</f>
        <v>0</v>
      </c>
      <c r="Q29" s="4">
        <f t="shared" si="4"/>
        <v>0</v>
      </c>
      <c r="R29" s="4">
        <f>Q29+'7'!R29</f>
        <v>1083</v>
      </c>
      <c r="S29" s="27">
        <f t="shared" si="5"/>
        <v>0.77523264137437364</v>
      </c>
      <c r="T29" s="12"/>
      <c r="U29" s="12">
        <f>T29+'7'!U29</f>
        <v>205</v>
      </c>
      <c r="V29" s="12"/>
      <c r="W29" s="12">
        <f>V29+'7'!W29</f>
        <v>18</v>
      </c>
      <c r="X29" s="12"/>
      <c r="Y29" s="12">
        <f>X29+'7'!Y29</f>
        <v>0</v>
      </c>
      <c r="AB29" s="5">
        <v>19</v>
      </c>
      <c r="AC29" s="26" t="str">
        <f>'7'!AC29</f>
        <v>كفر أبـــو الحسن</v>
      </c>
      <c r="AD29" s="28">
        <f>'7'!AI29</f>
        <v>22</v>
      </c>
      <c r="AE29" s="3"/>
      <c r="AF29" s="28">
        <f>AE29+'7'!AF29</f>
        <v>133</v>
      </c>
      <c r="AG29" s="4"/>
      <c r="AH29" s="28">
        <f>AG29+'7'!AH29</f>
        <v>111</v>
      </c>
      <c r="AI29" s="4">
        <f t="shared" si="6"/>
        <v>22</v>
      </c>
      <c r="AJ29" s="11" t="e">
        <f t="shared" si="0"/>
        <v>#DIV/0!</v>
      </c>
      <c r="AK29" s="53">
        <f t="shared" si="1"/>
        <v>9.7567567567567561</v>
      </c>
      <c r="AW29" s="26" t="str">
        <f>'7'!AW29</f>
        <v>كفر أبـــو الحسن</v>
      </c>
      <c r="AX29" s="12">
        <f>'7'!AX29</f>
        <v>3</v>
      </c>
      <c r="AY29" s="12">
        <f>'7'!AY29</f>
        <v>912</v>
      </c>
      <c r="AZ29" s="12"/>
      <c r="BA29" s="12"/>
      <c r="BB29" s="12">
        <f>BA29+'7'!BB29</f>
        <v>760</v>
      </c>
      <c r="BC29" s="30">
        <f t="shared" si="2"/>
        <v>0.83333333333333337</v>
      </c>
      <c r="BD29" s="12">
        <f>'7'!BD29</f>
        <v>9</v>
      </c>
      <c r="BE29" s="12">
        <f>'7'!BE29</f>
        <v>258</v>
      </c>
      <c r="BF29" s="12"/>
      <c r="BG29" s="12"/>
      <c r="BH29" s="12">
        <f>BG29+'7'!BH29</f>
        <v>351</v>
      </c>
      <c r="BI29" s="30">
        <f t="shared" si="3"/>
        <v>1.3604651162790697</v>
      </c>
    </row>
    <row r="30" spans="1:61" ht="28.9" customHeight="1" x14ac:dyDescent="0.35">
      <c r="A30" s="5">
        <v>20</v>
      </c>
      <c r="B30" s="26" t="str">
        <f>'7'!B30</f>
        <v>ميت أبـــــوشيخه</v>
      </c>
      <c r="C30" s="26">
        <f>'7'!C30</f>
        <v>1134</v>
      </c>
      <c r="D30" s="26"/>
      <c r="E30" s="12"/>
      <c r="F30" s="2">
        <f>E30+'7'!F30</f>
        <v>10</v>
      </c>
      <c r="G30" s="2"/>
      <c r="H30" s="2">
        <f>G30+'7'!H30</f>
        <v>144</v>
      </c>
      <c r="I30" s="2"/>
      <c r="J30" s="2">
        <f>I30+'7'!J30</f>
        <v>435</v>
      </c>
      <c r="K30" s="2"/>
      <c r="L30" s="2">
        <f>K30+'7'!L30</f>
        <v>0</v>
      </c>
      <c r="M30" s="2"/>
      <c r="N30" s="2">
        <f>M30+'7'!N30</f>
        <v>0</v>
      </c>
      <c r="O30" s="2"/>
      <c r="P30" s="2">
        <f>O30+'7'!P30</f>
        <v>0</v>
      </c>
      <c r="Q30" s="4">
        <f t="shared" si="4"/>
        <v>0</v>
      </c>
      <c r="R30" s="4">
        <f>Q30+'7'!R30</f>
        <v>589</v>
      </c>
      <c r="S30" s="27">
        <f t="shared" si="5"/>
        <v>0.51940035273368612</v>
      </c>
      <c r="T30" s="12"/>
      <c r="U30" s="12">
        <f>T30+'7'!U30</f>
        <v>68</v>
      </c>
      <c r="V30" s="12"/>
      <c r="W30" s="12">
        <f>V30+'7'!W30</f>
        <v>10</v>
      </c>
      <c r="X30" s="12"/>
      <c r="Y30" s="12">
        <f>X30+'7'!Y30</f>
        <v>0</v>
      </c>
      <c r="AB30" s="5">
        <v>20</v>
      </c>
      <c r="AC30" s="26" t="str">
        <f>'7'!AC30</f>
        <v>ميت أبـــــوشيخه</v>
      </c>
      <c r="AD30" s="28">
        <f>'7'!AI30</f>
        <v>40</v>
      </c>
      <c r="AE30" s="3"/>
      <c r="AF30" s="28">
        <f>AE30+'7'!AF30</f>
        <v>100</v>
      </c>
      <c r="AG30" s="4"/>
      <c r="AH30" s="28">
        <f>AG30+'7'!AH30</f>
        <v>60</v>
      </c>
      <c r="AI30" s="4">
        <f t="shared" si="6"/>
        <v>40</v>
      </c>
      <c r="AJ30" s="11" t="e">
        <f t="shared" si="0"/>
        <v>#DIV/0!</v>
      </c>
      <c r="AK30" s="53">
        <f t="shared" si="1"/>
        <v>9.8166666666666664</v>
      </c>
      <c r="AW30" s="26" t="str">
        <f>'7'!AW30</f>
        <v>ميت أبـــــوشيخه</v>
      </c>
      <c r="AX30" s="12">
        <f>'7'!AX30</f>
        <v>2</v>
      </c>
      <c r="AY30" s="12">
        <f>'7'!AY30</f>
        <v>560</v>
      </c>
      <c r="AZ30" s="12"/>
      <c r="BA30" s="12"/>
      <c r="BB30" s="12">
        <f>BA30+'7'!BB30</f>
        <v>459</v>
      </c>
      <c r="BC30" s="30">
        <f t="shared" si="2"/>
        <v>0.81964285714285712</v>
      </c>
      <c r="BD30" s="12">
        <f>'7'!BD30</f>
        <v>2</v>
      </c>
      <c r="BE30" s="12">
        <f>'7'!BE30</f>
        <v>107</v>
      </c>
      <c r="BF30" s="12"/>
      <c r="BG30" s="12"/>
      <c r="BH30" s="12">
        <f>BG30+'7'!BH30</f>
        <v>85</v>
      </c>
      <c r="BI30" s="30">
        <f t="shared" si="3"/>
        <v>0.79439252336448596</v>
      </c>
    </row>
    <row r="31" spans="1:61" ht="28.9" customHeight="1" x14ac:dyDescent="0.35">
      <c r="A31" s="5">
        <v>21</v>
      </c>
      <c r="B31" s="26" t="str">
        <f>'7'!B31</f>
        <v>طــــــــــــه شبرا</v>
      </c>
      <c r="C31" s="26">
        <f>'7'!C31</f>
        <v>5149</v>
      </c>
      <c r="D31" s="26"/>
      <c r="E31" s="12"/>
      <c r="F31" s="2">
        <f>E31+'7'!F31</f>
        <v>22</v>
      </c>
      <c r="G31" s="2"/>
      <c r="H31" s="2">
        <f>G31+'7'!H31</f>
        <v>967</v>
      </c>
      <c r="I31" s="2"/>
      <c r="J31" s="2">
        <f>I31+'7'!J31</f>
        <v>1288</v>
      </c>
      <c r="K31" s="2"/>
      <c r="L31" s="2">
        <f>K31+'7'!L31</f>
        <v>0</v>
      </c>
      <c r="M31" s="2"/>
      <c r="N31" s="2">
        <f>M31+'7'!N31</f>
        <v>0</v>
      </c>
      <c r="O31" s="2"/>
      <c r="P31" s="2">
        <f>O31+'7'!P31</f>
        <v>0</v>
      </c>
      <c r="Q31" s="4">
        <f t="shared" si="4"/>
        <v>0</v>
      </c>
      <c r="R31" s="4">
        <f>Q31+'7'!R31</f>
        <v>2277</v>
      </c>
      <c r="S31" s="27">
        <f t="shared" si="5"/>
        <v>0.442221790638959</v>
      </c>
      <c r="T31" s="12"/>
      <c r="U31" s="12">
        <f>T31+'7'!U31</f>
        <v>277</v>
      </c>
      <c r="V31" s="12"/>
      <c r="W31" s="12">
        <f>V31+'7'!W31</f>
        <v>3</v>
      </c>
      <c r="X31" s="12"/>
      <c r="Y31" s="12">
        <f>X31+'7'!Y31</f>
        <v>0</v>
      </c>
      <c r="AB31" s="5">
        <v>21</v>
      </c>
      <c r="AC31" s="26" t="str">
        <f>'7'!AC31</f>
        <v>طــــــــــــه شبرا</v>
      </c>
      <c r="AD31" s="28">
        <f>'7'!AI31</f>
        <v>216</v>
      </c>
      <c r="AE31" s="3"/>
      <c r="AF31" s="28">
        <f>AE31+'7'!AF31</f>
        <v>452</v>
      </c>
      <c r="AG31" s="4"/>
      <c r="AH31" s="28">
        <f>AG31+'7'!AH31</f>
        <v>236</v>
      </c>
      <c r="AI31" s="4">
        <f t="shared" si="6"/>
        <v>216</v>
      </c>
      <c r="AJ31" s="11" t="e">
        <f t="shared" si="0"/>
        <v>#DIV/0!</v>
      </c>
      <c r="AK31" s="53">
        <f t="shared" si="1"/>
        <v>9.648305084745763</v>
      </c>
      <c r="AW31" s="26" t="str">
        <f>'7'!AW31</f>
        <v>طــــــــــــه شبرا</v>
      </c>
      <c r="AX31" s="12">
        <f>'7'!AX31</f>
        <v>6</v>
      </c>
      <c r="AY31" s="12">
        <f>'7'!AY31</f>
        <v>2219</v>
      </c>
      <c r="AZ31" s="12"/>
      <c r="BA31" s="12"/>
      <c r="BB31" s="12">
        <f>BA31+'7'!BB31</f>
        <v>1367</v>
      </c>
      <c r="BC31" s="30">
        <f t="shared" si="2"/>
        <v>0.61604326273095988</v>
      </c>
      <c r="BD31" s="12">
        <f>'7'!BD31</f>
        <v>8</v>
      </c>
      <c r="BE31" s="12">
        <f>'7'!BE31</f>
        <v>748</v>
      </c>
      <c r="BF31" s="12"/>
      <c r="BG31" s="12"/>
      <c r="BH31" s="12">
        <f>BG31+'7'!BH31</f>
        <v>690</v>
      </c>
      <c r="BI31" s="30">
        <f t="shared" si="3"/>
        <v>0.92245989304812837</v>
      </c>
    </row>
    <row r="32" spans="1:61" ht="28.9" customHeight="1" x14ac:dyDescent="0.35">
      <c r="A32" s="5">
        <v>22</v>
      </c>
      <c r="B32" s="26" t="str">
        <f>'7'!B32</f>
        <v>أشـــــــــــــــــليم</v>
      </c>
      <c r="C32" s="26">
        <f>'7'!C32</f>
        <v>2638</v>
      </c>
      <c r="D32" s="26"/>
      <c r="E32" s="12"/>
      <c r="F32" s="2">
        <f>E32+'7'!F32</f>
        <v>19</v>
      </c>
      <c r="G32" s="2"/>
      <c r="H32" s="2">
        <f>G32+'7'!H32</f>
        <v>606</v>
      </c>
      <c r="I32" s="2"/>
      <c r="J32" s="2">
        <f>I32+'7'!J32</f>
        <v>1522</v>
      </c>
      <c r="K32" s="2"/>
      <c r="L32" s="2">
        <f>K32+'7'!L32</f>
        <v>0</v>
      </c>
      <c r="M32" s="2"/>
      <c r="N32" s="2">
        <f>M32+'7'!N32</f>
        <v>0</v>
      </c>
      <c r="O32" s="2"/>
      <c r="P32" s="2">
        <f>O32+'7'!P32</f>
        <v>0</v>
      </c>
      <c r="Q32" s="4">
        <f t="shared" si="4"/>
        <v>0</v>
      </c>
      <c r="R32" s="4">
        <f>Q32+'7'!R32</f>
        <v>2147</v>
      </c>
      <c r="S32" s="27">
        <f t="shared" si="5"/>
        <v>0.81387414708112205</v>
      </c>
      <c r="T32" s="12"/>
      <c r="U32" s="12">
        <f>T32+'7'!U32</f>
        <v>149</v>
      </c>
      <c r="V32" s="12"/>
      <c r="W32" s="12">
        <f>V32+'7'!W32</f>
        <v>119</v>
      </c>
      <c r="X32" s="12"/>
      <c r="Y32" s="12">
        <f>X32+'7'!Y32</f>
        <v>0</v>
      </c>
      <c r="AB32" s="5">
        <v>22</v>
      </c>
      <c r="AC32" s="26" t="str">
        <f>'7'!AC32</f>
        <v>أشـــــــــــــــــليم</v>
      </c>
      <c r="AD32" s="28">
        <f>'7'!AI32</f>
        <v>31</v>
      </c>
      <c r="AE32" s="3"/>
      <c r="AF32" s="28">
        <f>AE32+'7'!AF32</f>
        <v>252</v>
      </c>
      <c r="AG32" s="4"/>
      <c r="AH32" s="28">
        <f>AG32+'7'!AH32</f>
        <v>221</v>
      </c>
      <c r="AI32" s="4">
        <f t="shared" si="6"/>
        <v>31</v>
      </c>
      <c r="AJ32" s="11" t="e">
        <f t="shared" si="0"/>
        <v>#DIV/0!</v>
      </c>
      <c r="AK32" s="53">
        <f t="shared" si="1"/>
        <v>9.7149321266968318</v>
      </c>
      <c r="AW32" s="26" t="str">
        <f>'7'!AW32</f>
        <v>أشـــــــــــــــــليم</v>
      </c>
      <c r="AX32" s="12">
        <f>'7'!AX32</f>
        <v>8</v>
      </c>
      <c r="AY32" s="12">
        <f>'7'!AY32</f>
        <v>1819</v>
      </c>
      <c r="AZ32" s="12"/>
      <c r="BA32" s="12"/>
      <c r="BB32" s="12">
        <f>BA32+'7'!BB32</f>
        <v>1506</v>
      </c>
      <c r="BC32" s="30">
        <f t="shared" si="2"/>
        <v>0.82792743265530511</v>
      </c>
      <c r="BD32" s="12">
        <f>'7'!BD32</f>
        <v>7</v>
      </c>
      <c r="BE32" s="12">
        <f>'7'!BE32</f>
        <v>176</v>
      </c>
      <c r="BF32" s="12"/>
      <c r="BG32" s="12"/>
      <c r="BH32" s="12">
        <f>BG32+'7'!BH32</f>
        <v>531</v>
      </c>
      <c r="BI32" s="30">
        <f t="shared" si="3"/>
        <v>3.0170454545454546</v>
      </c>
    </row>
    <row r="33" spans="1:61" ht="28.9" customHeight="1" x14ac:dyDescent="0.35">
      <c r="A33" s="5">
        <v>23</v>
      </c>
      <c r="B33" s="26" t="str">
        <f>'7'!B33</f>
        <v>شبرا قبالــــــــــه</v>
      </c>
      <c r="C33" s="26">
        <f>'7'!C33</f>
        <v>2050</v>
      </c>
      <c r="D33" s="26"/>
      <c r="E33" s="12"/>
      <c r="F33" s="2">
        <f>E33+'7'!F33</f>
        <v>23</v>
      </c>
      <c r="G33" s="2"/>
      <c r="H33" s="2">
        <f>G33+'7'!H33</f>
        <v>644</v>
      </c>
      <c r="I33" s="2"/>
      <c r="J33" s="2">
        <f>I33+'7'!J33</f>
        <v>773</v>
      </c>
      <c r="K33" s="2"/>
      <c r="L33" s="2">
        <f>K33+'7'!L33</f>
        <v>0</v>
      </c>
      <c r="M33" s="2"/>
      <c r="N33" s="2">
        <f>M33+'7'!N33</f>
        <v>0</v>
      </c>
      <c r="O33" s="2"/>
      <c r="P33" s="2">
        <f>O33+'7'!P33</f>
        <v>0</v>
      </c>
      <c r="Q33" s="4">
        <f t="shared" si="4"/>
        <v>0</v>
      </c>
      <c r="R33" s="4">
        <f>Q33+'7'!R33</f>
        <v>1440</v>
      </c>
      <c r="S33" s="27">
        <f t="shared" si="5"/>
        <v>0.70243902439024386</v>
      </c>
      <c r="T33" s="12"/>
      <c r="U33" s="12">
        <f>T33+'7'!U33</f>
        <v>96</v>
      </c>
      <c r="V33" s="12"/>
      <c r="W33" s="12">
        <f>V33+'7'!W33</f>
        <v>64</v>
      </c>
      <c r="X33" s="12"/>
      <c r="Y33" s="12">
        <f>X33+'7'!Y33</f>
        <v>0</v>
      </c>
      <c r="AB33" s="5">
        <v>23</v>
      </c>
      <c r="AC33" s="26" t="str">
        <f>'7'!AC33</f>
        <v>شبرا قبالــــــــــه</v>
      </c>
      <c r="AD33" s="28">
        <f>'7'!AI33</f>
        <v>36</v>
      </c>
      <c r="AE33" s="3"/>
      <c r="AF33" s="28">
        <f>AE33+'7'!AF33</f>
        <v>180</v>
      </c>
      <c r="AG33" s="4"/>
      <c r="AH33" s="28">
        <f>AG33+'7'!AH33</f>
        <v>144</v>
      </c>
      <c r="AI33" s="4">
        <f t="shared" si="6"/>
        <v>36</v>
      </c>
      <c r="AJ33" s="11" t="e">
        <f t="shared" si="0"/>
        <v>#DIV/0!</v>
      </c>
      <c r="AK33" s="53">
        <f t="shared" si="1"/>
        <v>10</v>
      </c>
      <c r="AW33" s="26" t="str">
        <f>'7'!AW33</f>
        <v>شبرا قبالــــــــــه</v>
      </c>
      <c r="AX33" s="12">
        <f>'7'!AX33</f>
        <v>1</v>
      </c>
      <c r="AY33" s="12">
        <f>'7'!AY33</f>
        <v>918</v>
      </c>
      <c r="AZ33" s="12"/>
      <c r="BA33" s="12"/>
      <c r="BB33" s="12">
        <f>BA33+'7'!BB33</f>
        <v>780</v>
      </c>
      <c r="BC33" s="30">
        <f t="shared" si="2"/>
        <v>0.84967320261437906</v>
      </c>
      <c r="BD33" s="12">
        <f>'7'!BD33</f>
        <v>5</v>
      </c>
      <c r="BE33" s="12">
        <f>'7'!BE33</f>
        <v>375</v>
      </c>
      <c r="BF33" s="12"/>
      <c r="BG33" s="12"/>
      <c r="BH33" s="12">
        <f>BG33+'7'!BH33</f>
        <v>430</v>
      </c>
      <c r="BI33" s="30">
        <f t="shared" si="3"/>
        <v>1.1466666666666667</v>
      </c>
    </row>
    <row r="34" spans="1:61" ht="28.9" customHeight="1" x14ac:dyDescent="0.35">
      <c r="A34" s="5">
        <v>24</v>
      </c>
      <c r="B34" s="26" t="str">
        <f>'7'!B34</f>
        <v>عرب الرمـــــــل</v>
      </c>
      <c r="C34" s="26">
        <f>'7'!C34</f>
        <v>5755</v>
      </c>
      <c r="D34" s="26"/>
      <c r="E34" s="12"/>
      <c r="F34" s="2">
        <f>E34+'7'!F34</f>
        <v>22</v>
      </c>
      <c r="G34" s="2"/>
      <c r="H34" s="2">
        <f>G34+'7'!H34</f>
        <v>1011</v>
      </c>
      <c r="I34" s="2"/>
      <c r="J34" s="2">
        <f>I34+'7'!J34</f>
        <v>1364</v>
      </c>
      <c r="K34" s="2"/>
      <c r="L34" s="2">
        <f>K34+'7'!L34</f>
        <v>0</v>
      </c>
      <c r="M34" s="2"/>
      <c r="N34" s="2">
        <f>M34+'7'!N34</f>
        <v>0</v>
      </c>
      <c r="O34" s="2"/>
      <c r="P34" s="2">
        <f>O34+'7'!P34</f>
        <v>0</v>
      </c>
      <c r="Q34" s="4">
        <f t="shared" si="4"/>
        <v>0</v>
      </c>
      <c r="R34" s="4">
        <f>Q34+'7'!R34</f>
        <v>2397</v>
      </c>
      <c r="S34" s="27">
        <f t="shared" si="5"/>
        <v>0.41650738488271066</v>
      </c>
      <c r="T34" s="12"/>
      <c r="U34" s="12">
        <f>T34+'7'!U34</f>
        <v>562</v>
      </c>
      <c r="V34" s="12"/>
      <c r="W34" s="12">
        <f>V34+'7'!W34</f>
        <v>41</v>
      </c>
      <c r="X34" s="12"/>
      <c r="Y34" s="12">
        <f>X34+'7'!Y34</f>
        <v>0</v>
      </c>
      <c r="AB34" s="5">
        <v>24</v>
      </c>
      <c r="AC34" s="26" t="str">
        <f>'7'!AC34</f>
        <v>عرب الرمـــــــل</v>
      </c>
      <c r="AD34" s="28">
        <f>'7'!AI34</f>
        <v>263</v>
      </c>
      <c r="AE34" s="3"/>
      <c r="AF34" s="28">
        <f>AE34+'7'!AF34</f>
        <v>505</v>
      </c>
      <c r="AG34" s="4"/>
      <c r="AH34" s="28">
        <f>AG34+'7'!AH34</f>
        <v>242</v>
      </c>
      <c r="AI34" s="4">
        <f t="shared" si="6"/>
        <v>263</v>
      </c>
      <c r="AJ34" s="11" t="e">
        <f t="shared" si="0"/>
        <v>#DIV/0!</v>
      </c>
      <c r="AK34" s="53">
        <f t="shared" si="1"/>
        <v>9.9049586776859506</v>
      </c>
      <c r="AW34" s="26" t="str">
        <f>'7'!AW34</f>
        <v>عرب الرمـــــــل</v>
      </c>
      <c r="AX34" s="12">
        <f>'7'!AX34</f>
        <v>6</v>
      </c>
      <c r="AY34" s="12">
        <f>'7'!AY34</f>
        <v>2210</v>
      </c>
      <c r="AZ34" s="12"/>
      <c r="BA34" s="12"/>
      <c r="BB34" s="12">
        <f>BA34+'7'!BB34</f>
        <v>1456</v>
      </c>
      <c r="BC34" s="30">
        <f t="shared" si="2"/>
        <v>0.6588235294117647</v>
      </c>
      <c r="BD34" s="12">
        <f>'7'!BD34</f>
        <v>9</v>
      </c>
      <c r="BE34" s="12">
        <f>'7'!BE34</f>
        <v>932</v>
      </c>
      <c r="BF34" s="12"/>
      <c r="BG34" s="12"/>
      <c r="BH34" s="12">
        <f>BG34+'7'!BH34</f>
        <v>941</v>
      </c>
      <c r="BI34" s="30">
        <f t="shared" si="3"/>
        <v>1.0096566523605151</v>
      </c>
    </row>
    <row r="35" spans="1:61" ht="28.9" customHeight="1" x14ac:dyDescent="0.35">
      <c r="A35" s="5">
        <v>25</v>
      </c>
      <c r="B35" s="26" t="str">
        <f>'7'!B35</f>
        <v>كفر ميت سراج</v>
      </c>
      <c r="C35" s="26">
        <f>'7'!C35</f>
        <v>1840</v>
      </c>
      <c r="D35" s="26"/>
      <c r="E35" s="12"/>
      <c r="F35" s="2">
        <f>E35+'7'!F35</f>
        <v>8</v>
      </c>
      <c r="G35" s="2"/>
      <c r="H35" s="2">
        <f>G35+'7'!H35</f>
        <v>386</v>
      </c>
      <c r="I35" s="2"/>
      <c r="J35" s="2">
        <f>I35+'7'!J35</f>
        <v>773</v>
      </c>
      <c r="K35" s="2"/>
      <c r="L35" s="2">
        <f>K35+'7'!L35</f>
        <v>0</v>
      </c>
      <c r="M35" s="2"/>
      <c r="N35" s="2">
        <f>M35+'7'!N35</f>
        <v>0</v>
      </c>
      <c r="O35" s="2"/>
      <c r="P35" s="2">
        <f>O35+'7'!P35</f>
        <v>0</v>
      </c>
      <c r="Q35" s="4">
        <f t="shared" si="4"/>
        <v>0</v>
      </c>
      <c r="R35" s="4">
        <f>Q35+'7'!R35</f>
        <v>1167</v>
      </c>
      <c r="S35" s="27">
        <f t="shared" si="5"/>
        <v>0.63423913043478264</v>
      </c>
      <c r="T35" s="12"/>
      <c r="U35" s="12">
        <f>T35+'7'!U35</f>
        <v>174</v>
      </c>
      <c r="V35" s="12"/>
      <c r="W35" s="12">
        <f>V35+'7'!W35</f>
        <v>11</v>
      </c>
      <c r="X35" s="12"/>
      <c r="Y35" s="12">
        <f>X35+'7'!Y35</f>
        <v>0</v>
      </c>
      <c r="AB35" s="5">
        <v>25</v>
      </c>
      <c r="AC35" s="26" t="str">
        <f>'7'!AC35</f>
        <v>كفر ميت سراج</v>
      </c>
      <c r="AD35" s="28">
        <f>'7'!AI35</f>
        <v>41</v>
      </c>
      <c r="AE35" s="3"/>
      <c r="AF35" s="28">
        <f>AE35+'7'!AF35</f>
        <v>162</v>
      </c>
      <c r="AG35" s="4"/>
      <c r="AH35" s="28">
        <f>AG35+'7'!AH35</f>
        <v>121</v>
      </c>
      <c r="AI35" s="4">
        <f t="shared" si="6"/>
        <v>41</v>
      </c>
      <c r="AJ35" s="11" t="e">
        <f t="shared" si="0"/>
        <v>#DIV/0!</v>
      </c>
      <c r="AK35" s="53">
        <f t="shared" si="1"/>
        <v>9.6446280991735538</v>
      </c>
      <c r="AW35" s="26" t="str">
        <f>'7'!AW35</f>
        <v>كفر ميت سراج</v>
      </c>
      <c r="AX35" s="12">
        <f>'7'!AX35</f>
        <v>3</v>
      </c>
      <c r="AY35" s="12">
        <f>'7'!AY35</f>
        <v>1011</v>
      </c>
      <c r="AZ35" s="12"/>
      <c r="BA35" s="12"/>
      <c r="BB35" s="12">
        <f>BA35+'7'!BB35</f>
        <v>773</v>
      </c>
      <c r="BC35" s="30">
        <f t="shared" si="2"/>
        <v>0.76458951533135511</v>
      </c>
      <c r="BD35" s="12">
        <f>'7'!BD35</f>
        <v>4</v>
      </c>
      <c r="BE35" s="12">
        <f>'7'!BE35</f>
        <v>413</v>
      </c>
      <c r="BF35" s="12"/>
      <c r="BG35" s="12"/>
      <c r="BH35" s="12">
        <f>BG35+'7'!BH35</f>
        <v>232</v>
      </c>
      <c r="BI35" s="30">
        <f t="shared" si="3"/>
        <v>0.56174334140435833</v>
      </c>
    </row>
    <row r="36" spans="1:61" ht="28.9" customHeight="1" x14ac:dyDescent="0.35">
      <c r="A36" s="5">
        <v>26</v>
      </c>
      <c r="B36" s="26" t="str">
        <f>'7'!B36</f>
        <v>كفر أبشيش</v>
      </c>
      <c r="C36" s="26">
        <f>'7'!C36</f>
        <v>1345</v>
      </c>
      <c r="D36" s="26"/>
      <c r="E36" s="12"/>
      <c r="F36" s="2">
        <f>E36+'7'!F36</f>
        <v>14</v>
      </c>
      <c r="G36" s="2"/>
      <c r="H36" s="2">
        <f>G36+'7'!H36</f>
        <v>207</v>
      </c>
      <c r="I36" s="2"/>
      <c r="J36" s="2">
        <f>I36+'7'!J36</f>
        <v>725</v>
      </c>
      <c r="K36" s="2"/>
      <c r="L36" s="2">
        <f>K36+'7'!L36</f>
        <v>0</v>
      </c>
      <c r="M36" s="2"/>
      <c r="N36" s="2">
        <f>M36+'7'!N36</f>
        <v>0</v>
      </c>
      <c r="O36" s="2"/>
      <c r="P36" s="2">
        <f>O36+'7'!P36</f>
        <v>0</v>
      </c>
      <c r="Q36" s="4">
        <f t="shared" si="4"/>
        <v>0</v>
      </c>
      <c r="R36" s="4">
        <f>Q36+'7'!R36</f>
        <v>946</v>
      </c>
      <c r="S36" s="27">
        <f t="shared" si="5"/>
        <v>0.70334572490706315</v>
      </c>
      <c r="T36" s="12"/>
      <c r="U36" s="12">
        <f>T36+'7'!U36</f>
        <v>113</v>
      </c>
      <c r="V36" s="12"/>
      <c r="W36" s="12">
        <f>V36+'7'!W36</f>
        <v>4</v>
      </c>
      <c r="X36" s="12"/>
      <c r="Y36" s="12">
        <f>X36+'7'!Y36</f>
        <v>0</v>
      </c>
      <c r="AB36" s="5">
        <v>26</v>
      </c>
      <c r="AC36" s="26" t="str">
        <f>'7'!AC36</f>
        <v>كفر أبشيش</v>
      </c>
      <c r="AD36" s="28">
        <f>'7'!AI36</f>
        <v>24</v>
      </c>
      <c r="AE36" s="3"/>
      <c r="AF36" s="28">
        <f>AE36+'7'!AF36</f>
        <v>119</v>
      </c>
      <c r="AG36" s="4"/>
      <c r="AH36" s="28">
        <f>AG36+'7'!AH36</f>
        <v>95</v>
      </c>
      <c r="AI36" s="4">
        <f t="shared" si="6"/>
        <v>24</v>
      </c>
      <c r="AJ36" s="11" t="e">
        <f t="shared" si="0"/>
        <v>#DIV/0!</v>
      </c>
      <c r="AK36" s="53">
        <f t="shared" si="1"/>
        <v>9.9578947368421051</v>
      </c>
      <c r="AW36" s="26" t="str">
        <f>'7'!AW36</f>
        <v>كفر أبشيش</v>
      </c>
      <c r="AX36" s="12">
        <f>'7'!AX36</f>
        <v>1</v>
      </c>
      <c r="AY36" s="12">
        <f>'7'!AY36</f>
        <v>860</v>
      </c>
      <c r="AZ36" s="12"/>
      <c r="BA36" s="12"/>
      <c r="BB36" s="12">
        <f>BA36+'7'!BB36</f>
        <v>730</v>
      </c>
      <c r="BC36" s="30">
        <f t="shared" si="2"/>
        <v>0.84883720930232553</v>
      </c>
      <c r="BD36" s="12">
        <f>'7'!BD36</f>
        <v>4</v>
      </c>
      <c r="BE36" s="12">
        <f>'7'!BE36</f>
        <v>194</v>
      </c>
      <c r="BF36" s="12"/>
      <c r="BG36" s="12"/>
      <c r="BH36" s="12">
        <f>BG36+'7'!BH36</f>
        <v>0</v>
      </c>
      <c r="BI36" s="30">
        <f t="shared" si="3"/>
        <v>0</v>
      </c>
    </row>
    <row r="37" spans="1:61" ht="28.9" customHeight="1" x14ac:dyDescent="0.35">
      <c r="A37" s="5">
        <v>27</v>
      </c>
      <c r="B37" s="26" t="str">
        <f>'7'!B37</f>
        <v>كفر ميت العبسى</v>
      </c>
      <c r="C37" s="26">
        <f>'7'!C37</f>
        <v>1180</v>
      </c>
      <c r="D37" s="26"/>
      <c r="E37" s="12"/>
      <c r="F37" s="2">
        <f>E37+'7'!F37</f>
        <v>12</v>
      </c>
      <c r="G37" s="2"/>
      <c r="H37" s="2">
        <f>G37+'7'!H37</f>
        <v>248</v>
      </c>
      <c r="I37" s="2"/>
      <c r="J37" s="2">
        <f>I37+'7'!J37</f>
        <v>443</v>
      </c>
      <c r="K37" s="2"/>
      <c r="L37" s="2">
        <f>K37+'7'!L37</f>
        <v>0</v>
      </c>
      <c r="M37" s="2"/>
      <c r="N37" s="2">
        <f>M37+'7'!N37</f>
        <v>0</v>
      </c>
      <c r="O37" s="2"/>
      <c r="P37" s="2">
        <f>O37+'7'!P37</f>
        <v>0</v>
      </c>
      <c r="Q37" s="4">
        <f t="shared" si="4"/>
        <v>0</v>
      </c>
      <c r="R37" s="4">
        <f>Q37+'7'!R37</f>
        <v>703</v>
      </c>
      <c r="S37" s="27">
        <f t="shared" si="5"/>
        <v>0.59576271186440677</v>
      </c>
      <c r="T37" s="12"/>
      <c r="U37" s="12">
        <f>T37+'7'!U37</f>
        <v>53</v>
      </c>
      <c r="V37" s="12"/>
      <c r="W37" s="12">
        <f>V37+'7'!W37</f>
        <v>11</v>
      </c>
      <c r="X37" s="12"/>
      <c r="Y37" s="12">
        <f>X37+'7'!Y37</f>
        <v>0</v>
      </c>
      <c r="AB37" s="5">
        <v>27</v>
      </c>
      <c r="AC37" s="26" t="str">
        <f>'7'!AC37</f>
        <v>كفر ميت العبسى</v>
      </c>
      <c r="AD37" s="28">
        <f>'7'!AI37</f>
        <v>33</v>
      </c>
      <c r="AE37" s="3"/>
      <c r="AF37" s="28">
        <f>AE37+'7'!AF37</f>
        <v>104</v>
      </c>
      <c r="AG37" s="4"/>
      <c r="AH37" s="28">
        <f>AG37+'7'!AH37</f>
        <v>71</v>
      </c>
      <c r="AI37" s="4">
        <f t="shared" si="6"/>
        <v>33</v>
      </c>
      <c r="AJ37" s="11" t="e">
        <f t="shared" si="0"/>
        <v>#DIV/0!</v>
      </c>
      <c r="AK37" s="53">
        <f t="shared" si="1"/>
        <v>9.9014084507042259</v>
      </c>
      <c r="AW37" s="26" t="str">
        <f>'7'!AW37</f>
        <v>كفر ميت العبسى</v>
      </c>
      <c r="AX37" s="12">
        <f>'7'!AX37</f>
        <v>2</v>
      </c>
      <c r="AY37" s="12">
        <f>'7'!AY37</f>
        <v>494</v>
      </c>
      <c r="AZ37" s="12"/>
      <c r="BA37" s="12"/>
      <c r="BB37" s="12">
        <f>BA37+'7'!BB37</f>
        <v>418</v>
      </c>
      <c r="BC37" s="30">
        <f t="shared" si="2"/>
        <v>0.84615384615384615</v>
      </c>
      <c r="BD37" s="12">
        <f>'7'!BD37</f>
        <v>4</v>
      </c>
      <c r="BE37" s="12">
        <f>'7'!BE37</f>
        <v>114</v>
      </c>
      <c r="BF37" s="12"/>
      <c r="BG37" s="12"/>
      <c r="BH37" s="12">
        <f>BG37+'7'!BH37</f>
        <v>73</v>
      </c>
      <c r="BI37" s="30">
        <f t="shared" si="3"/>
        <v>0.64035087719298245</v>
      </c>
    </row>
    <row r="38" spans="1:61" ht="28.9" customHeight="1" x14ac:dyDescent="0.35">
      <c r="A38" s="5">
        <v>28</v>
      </c>
      <c r="B38" s="26" t="str">
        <f>'7'!B38</f>
        <v>كفر وهــــــــــب</v>
      </c>
      <c r="C38" s="26">
        <f>'7'!C38</f>
        <v>1854.9999999999998</v>
      </c>
      <c r="D38" s="26"/>
      <c r="E38" s="12"/>
      <c r="F38" s="2">
        <f>E38+'7'!F38</f>
        <v>7</v>
      </c>
      <c r="G38" s="2"/>
      <c r="H38" s="2">
        <f>G38+'7'!H38</f>
        <v>265</v>
      </c>
      <c r="I38" s="2"/>
      <c r="J38" s="2">
        <f>I38+'7'!J38</f>
        <v>618</v>
      </c>
      <c r="K38" s="2"/>
      <c r="L38" s="2">
        <f>K38+'7'!L38</f>
        <v>0</v>
      </c>
      <c r="M38" s="2"/>
      <c r="N38" s="2">
        <f>M38+'7'!N38</f>
        <v>0</v>
      </c>
      <c r="O38" s="2"/>
      <c r="P38" s="2">
        <f>O38+'7'!P38</f>
        <v>0</v>
      </c>
      <c r="Q38" s="4">
        <f t="shared" si="4"/>
        <v>0</v>
      </c>
      <c r="R38" s="4">
        <f>Q38+'7'!R38</f>
        <v>890</v>
      </c>
      <c r="S38" s="27">
        <f t="shared" si="5"/>
        <v>0.47978436657681944</v>
      </c>
      <c r="T38" s="12"/>
      <c r="U38" s="12">
        <f>T38+'7'!U38</f>
        <v>123</v>
      </c>
      <c r="V38" s="12"/>
      <c r="W38" s="12">
        <f>V38+'7'!W38</f>
        <v>7</v>
      </c>
      <c r="X38" s="12"/>
      <c r="Y38" s="12">
        <f>X38+'7'!Y38</f>
        <v>0</v>
      </c>
      <c r="AB38" s="5">
        <v>28</v>
      </c>
      <c r="AC38" s="26" t="str">
        <f>'7'!AC38</f>
        <v>كفر وهــــــــــب</v>
      </c>
      <c r="AD38" s="28">
        <f>'7'!AI38</f>
        <v>72</v>
      </c>
      <c r="AE38" s="3"/>
      <c r="AF38" s="28">
        <f>AE38+'7'!AF38</f>
        <v>163</v>
      </c>
      <c r="AG38" s="4"/>
      <c r="AH38" s="28">
        <f>AG38+'7'!AH38</f>
        <v>91</v>
      </c>
      <c r="AI38" s="4">
        <f t="shared" si="6"/>
        <v>72</v>
      </c>
      <c r="AJ38" s="11" t="e">
        <f t="shared" si="0"/>
        <v>#DIV/0!</v>
      </c>
      <c r="AK38" s="53">
        <f t="shared" si="1"/>
        <v>9.780219780219781</v>
      </c>
      <c r="AW38" s="26" t="str">
        <f>'7'!AW38</f>
        <v>كفر وهــــــــــب</v>
      </c>
      <c r="AX38" s="12">
        <f>'7'!AX38</f>
        <v>2</v>
      </c>
      <c r="AY38" s="12">
        <f>'7'!AY38</f>
        <v>793</v>
      </c>
      <c r="AZ38" s="12"/>
      <c r="BA38" s="12"/>
      <c r="BB38" s="12">
        <f>BA38+'7'!BB38</f>
        <v>623</v>
      </c>
      <c r="BC38" s="30">
        <f t="shared" si="2"/>
        <v>0.78562421185372</v>
      </c>
      <c r="BD38" s="12">
        <f>'7'!BD38</f>
        <v>3</v>
      </c>
      <c r="BE38" s="12">
        <f>'7'!BE38</f>
        <v>180</v>
      </c>
      <c r="BF38" s="12"/>
      <c r="BG38" s="12"/>
      <c r="BH38" s="12">
        <f>BG38+'7'!BH38</f>
        <v>160</v>
      </c>
      <c r="BI38" s="30">
        <f t="shared" si="3"/>
        <v>0.88888888888888884</v>
      </c>
    </row>
    <row r="39" spans="1:61" ht="28.9" customHeight="1" x14ac:dyDescent="0.35">
      <c r="A39" s="5">
        <v>29</v>
      </c>
      <c r="B39" s="26" t="str">
        <f>'7'!B39</f>
        <v>دمــــــــــــــهوج</v>
      </c>
      <c r="C39" s="26">
        <f>'7'!C39</f>
        <v>2738</v>
      </c>
      <c r="D39" s="26"/>
      <c r="E39" s="12"/>
      <c r="F39" s="2">
        <f>E39+'7'!F39</f>
        <v>11</v>
      </c>
      <c r="G39" s="2"/>
      <c r="H39" s="2">
        <f>G39+'7'!H39</f>
        <v>437</v>
      </c>
      <c r="I39" s="2"/>
      <c r="J39" s="2">
        <f>I39+'7'!J39</f>
        <v>832</v>
      </c>
      <c r="K39" s="2"/>
      <c r="L39" s="2">
        <f>K39+'7'!L39</f>
        <v>0</v>
      </c>
      <c r="M39" s="2"/>
      <c r="N39" s="2">
        <f>M39+'7'!N39</f>
        <v>0</v>
      </c>
      <c r="O39" s="2"/>
      <c r="P39" s="2">
        <f>O39+'7'!P39</f>
        <v>0</v>
      </c>
      <c r="Q39" s="4">
        <f t="shared" si="4"/>
        <v>0</v>
      </c>
      <c r="R39" s="4">
        <f>Q39+'7'!R39</f>
        <v>1280</v>
      </c>
      <c r="S39" s="27">
        <f t="shared" si="5"/>
        <v>0.46749452154857563</v>
      </c>
      <c r="T39" s="12"/>
      <c r="U39" s="12">
        <f>T39+'7'!U39</f>
        <v>158</v>
      </c>
      <c r="V39" s="12"/>
      <c r="W39" s="12">
        <f>V39+'7'!W39</f>
        <v>7</v>
      </c>
      <c r="X39" s="12"/>
      <c r="Y39" s="12">
        <f>X39+'7'!Y39</f>
        <v>0</v>
      </c>
      <c r="AB39" s="5">
        <v>29</v>
      </c>
      <c r="AC39" s="26" t="str">
        <f>'7'!AC39</f>
        <v>دمــــــــــــــهوج</v>
      </c>
      <c r="AD39" s="28">
        <f>'7'!AI39</f>
        <v>109</v>
      </c>
      <c r="AE39" s="3"/>
      <c r="AF39" s="28">
        <f>AE39+'7'!AF39</f>
        <v>240</v>
      </c>
      <c r="AG39" s="4"/>
      <c r="AH39" s="28">
        <f>AG39+'7'!AH39</f>
        <v>131</v>
      </c>
      <c r="AI39" s="4">
        <f t="shared" si="6"/>
        <v>109</v>
      </c>
      <c r="AJ39" s="11" t="e">
        <f t="shared" si="0"/>
        <v>#DIV/0!</v>
      </c>
      <c r="AK39" s="53">
        <f t="shared" si="1"/>
        <v>9.770992366412214</v>
      </c>
      <c r="AW39" s="26" t="str">
        <f>'7'!AW39</f>
        <v>دمــــــــــــــهوج</v>
      </c>
      <c r="AX39" s="12">
        <f>'7'!AX39</f>
        <v>2</v>
      </c>
      <c r="AY39" s="12">
        <f>'7'!AY39</f>
        <v>1086</v>
      </c>
      <c r="AZ39" s="12"/>
      <c r="BA39" s="12"/>
      <c r="BB39" s="12">
        <f>BA39+'7'!BB39</f>
        <v>834</v>
      </c>
      <c r="BC39" s="30">
        <f t="shared" si="2"/>
        <v>0.76795580110497241</v>
      </c>
      <c r="BD39" s="12">
        <f>'7'!BD39</f>
        <v>10</v>
      </c>
      <c r="BE39" s="12">
        <f>'7'!BE39</f>
        <v>455</v>
      </c>
      <c r="BF39" s="12"/>
      <c r="BG39" s="12"/>
      <c r="BH39" s="12">
        <f>BG39+'7'!BH39</f>
        <v>439</v>
      </c>
      <c r="BI39" s="30">
        <f t="shared" si="3"/>
        <v>0.96483516483516485</v>
      </c>
    </row>
    <row r="40" spans="1:61" ht="28.9" customHeight="1" x14ac:dyDescent="0.35">
      <c r="A40" s="5">
        <v>30</v>
      </c>
      <c r="B40" s="26" t="str">
        <f>'7'!B40</f>
        <v>كفر زين الدين</v>
      </c>
      <c r="C40" s="26">
        <f>'7'!C40</f>
        <v>819</v>
      </c>
      <c r="D40" s="26"/>
      <c r="E40" s="12"/>
      <c r="F40" s="2">
        <f>E40+'7'!F40</f>
        <v>9</v>
      </c>
      <c r="G40" s="2"/>
      <c r="H40" s="2">
        <f>G40+'7'!H40</f>
        <v>266</v>
      </c>
      <c r="I40" s="2"/>
      <c r="J40" s="2">
        <f>I40+'7'!J40</f>
        <v>430</v>
      </c>
      <c r="K40" s="2"/>
      <c r="L40" s="2">
        <f>K40+'7'!L40</f>
        <v>0</v>
      </c>
      <c r="M40" s="2"/>
      <c r="N40" s="2">
        <f>M40+'7'!N40</f>
        <v>0</v>
      </c>
      <c r="O40" s="2"/>
      <c r="P40" s="2">
        <f>O40+'7'!P40</f>
        <v>0</v>
      </c>
      <c r="Q40" s="4">
        <f t="shared" si="4"/>
        <v>0</v>
      </c>
      <c r="R40" s="4">
        <f>Q40+'7'!R40</f>
        <v>705</v>
      </c>
      <c r="S40" s="27">
        <f t="shared" si="5"/>
        <v>0.86080586080586086</v>
      </c>
      <c r="T40" s="12"/>
      <c r="U40" s="12">
        <f>T40+'7'!U40</f>
        <v>76</v>
      </c>
      <c r="V40" s="12"/>
      <c r="W40" s="12">
        <f>V40+'7'!W40</f>
        <v>26</v>
      </c>
      <c r="X40" s="12"/>
      <c r="Y40" s="12">
        <f>X40+'7'!Y40</f>
        <v>0</v>
      </c>
      <c r="AB40" s="5">
        <v>30</v>
      </c>
      <c r="AC40" s="26" t="str">
        <f>'7'!AC40</f>
        <v>كفر زين الدين</v>
      </c>
      <c r="AD40" s="28">
        <f>'7'!AI40</f>
        <v>9</v>
      </c>
      <c r="AE40" s="3"/>
      <c r="AF40" s="28">
        <f>AE40+'7'!AF40</f>
        <v>80</v>
      </c>
      <c r="AG40" s="4"/>
      <c r="AH40" s="28">
        <f>AG40+'7'!AH40</f>
        <v>71</v>
      </c>
      <c r="AI40" s="4">
        <f t="shared" si="6"/>
        <v>9</v>
      </c>
      <c r="AJ40" s="11" t="e">
        <f t="shared" si="0"/>
        <v>#DIV/0!</v>
      </c>
      <c r="AK40" s="53">
        <f t="shared" si="1"/>
        <v>9.929577464788732</v>
      </c>
      <c r="AW40" s="26" t="str">
        <f>'7'!AW40</f>
        <v>كفر زين الدين</v>
      </c>
      <c r="AX40" s="12">
        <f>'7'!AX40</f>
        <v>1</v>
      </c>
      <c r="AY40" s="12">
        <f>'7'!AY40</f>
        <v>563</v>
      </c>
      <c r="AZ40" s="12"/>
      <c r="BA40" s="12"/>
      <c r="BB40" s="12">
        <f>BA40+'7'!BB40</f>
        <v>364</v>
      </c>
      <c r="BC40" s="30">
        <f t="shared" si="2"/>
        <v>0.64653641207815271</v>
      </c>
      <c r="BD40" s="12">
        <f>'7'!BD40</f>
        <v>2</v>
      </c>
      <c r="BE40" s="12">
        <f>'7'!BE40</f>
        <v>87</v>
      </c>
      <c r="BF40" s="12"/>
      <c r="BG40" s="12"/>
      <c r="BH40" s="12">
        <f>BG40+'7'!BH40</f>
        <v>166</v>
      </c>
      <c r="BI40" s="30">
        <f t="shared" si="3"/>
        <v>1.9080459770114941</v>
      </c>
    </row>
    <row r="41" spans="1:61" ht="28.9" customHeight="1" x14ac:dyDescent="0.35">
      <c r="A41" s="5">
        <v>31</v>
      </c>
      <c r="B41" s="26" t="str">
        <f>'7'!B41</f>
        <v>عزبــة أبوالنصر</v>
      </c>
      <c r="C41" s="26">
        <f>'7'!C41</f>
        <v>410</v>
      </c>
      <c r="D41" s="26"/>
      <c r="E41" s="12"/>
      <c r="F41" s="2">
        <f>E41+'7'!F41</f>
        <v>10</v>
      </c>
      <c r="G41" s="2"/>
      <c r="H41" s="2">
        <f>G41+'7'!H41</f>
        <v>229</v>
      </c>
      <c r="I41" s="2"/>
      <c r="J41" s="2">
        <f>I41+'7'!J41</f>
        <v>120</v>
      </c>
      <c r="K41" s="2"/>
      <c r="L41" s="2">
        <f>K41+'7'!L41</f>
        <v>0</v>
      </c>
      <c r="M41" s="2"/>
      <c r="N41" s="2">
        <f>M41+'7'!N41</f>
        <v>0</v>
      </c>
      <c r="O41" s="2"/>
      <c r="P41" s="2">
        <f>O41+'7'!P41</f>
        <v>0</v>
      </c>
      <c r="Q41" s="4">
        <f t="shared" si="4"/>
        <v>0</v>
      </c>
      <c r="R41" s="4">
        <f>Q41+'7'!R41</f>
        <v>359</v>
      </c>
      <c r="S41" s="27">
        <f t="shared" si="5"/>
        <v>0.87560975609756098</v>
      </c>
      <c r="T41" s="12"/>
      <c r="U41" s="12">
        <f>T41+'7'!U41</f>
        <v>0</v>
      </c>
      <c r="V41" s="12"/>
      <c r="W41" s="12">
        <f>V41+'7'!W41</f>
        <v>0</v>
      </c>
      <c r="X41" s="12"/>
      <c r="Y41" s="12">
        <f>X41+'7'!Y41</f>
        <v>0</v>
      </c>
      <c r="AB41" s="5">
        <v>31</v>
      </c>
      <c r="AC41" s="26" t="str">
        <f>'7'!AC41</f>
        <v>عزبــة أبوالنصر</v>
      </c>
      <c r="AD41" s="28">
        <f>'7'!AI41</f>
        <v>4</v>
      </c>
      <c r="AE41" s="3"/>
      <c r="AF41" s="28">
        <f>AE41+'7'!AF41</f>
        <v>41</v>
      </c>
      <c r="AG41" s="4"/>
      <c r="AH41" s="28">
        <f>AG41+'7'!AH41</f>
        <v>37</v>
      </c>
      <c r="AI41" s="4">
        <f t="shared" si="6"/>
        <v>4</v>
      </c>
      <c r="AJ41" s="11" t="e">
        <f t="shared" si="0"/>
        <v>#DIV/0!</v>
      </c>
      <c r="AK41" s="53">
        <f t="shared" si="1"/>
        <v>9.7027027027027035</v>
      </c>
      <c r="AW41" s="26" t="str">
        <f>'7'!AW41</f>
        <v>عزبــة أبوالنصر</v>
      </c>
      <c r="AX41" s="12">
        <f>'7'!AX41</f>
        <v>2</v>
      </c>
      <c r="AY41" s="12">
        <f>'7'!AY41</f>
        <v>70</v>
      </c>
      <c r="AZ41" s="12"/>
      <c r="BA41" s="12"/>
      <c r="BB41" s="12">
        <f>BA41+'7'!BB41</f>
        <v>65</v>
      </c>
      <c r="BC41" s="30">
        <f t="shared" si="2"/>
        <v>0.9285714285714286</v>
      </c>
      <c r="BD41" s="12">
        <f>'7'!BD41</f>
        <v>3</v>
      </c>
      <c r="BE41" s="12">
        <f>'7'!BE41</f>
        <v>75</v>
      </c>
      <c r="BF41" s="12"/>
      <c r="BG41" s="12"/>
      <c r="BH41" s="12">
        <f>BG41+'7'!BH41</f>
        <v>36</v>
      </c>
      <c r="BI41" s="30">
        <f t="shared" si="3"/>
        <v>0.48</v>
      </c>
    </row>
    <row r="42" spans="1:61" ht="28.9" customHeight="1" x14ac:dyDescent="0.35">
      <c r="A42" s="5">
        <v>32</v>
      </c>
      <c r="B42" s="26" t="str">
        <f>'7'!B42</f>
        <v>شمنديــــــــــــــل</v>
      </c>
      <c r="C42" s="26">
        <f>'7'!C42</f>
        <v>880</v>
      </c>
      <c r="D42" s="26"/>
      <c r="E42" s="12"/>
      <c r="F42" s="2">
        <f>E42+'7'!F42</f>
        <v>7</v>
      </c>
      <c r="G42" s="2"/>
      <c r="H42" s="2">
        <f>G42+'7'!H42</f>
        <v>219</v>
      </c>
      <c r="I42" s="2"/>
      <c r="J42" s="2">
        <f>I42+'7'!J42</f>
        <v>421</v>
      </c>
      <c r="K42" s="2"/>
      <c r="L42" s="2">
        <f>K42+'7'!L42</f>
        <v>0</v>
      </c>
      <c r="M42" s="2"/>
      <c r="N42" s="2">
        <f>M42+'7'!N42</f>
        <v>0</v>
      </c>
      <c r="O42" s="2"/>
      <c r="P42" s="2">
        <f>O42+'7'!P42</f>
        <v>0</v>
      </c>
      <c r="Q42" s="4">
        <f t="shared" si="4"/>
        <v>0</v>
      </c>
      <c r="R42" s="4">
        <f>Q42+'7'!R42</f>
        <v>647</v>
      </c>
      <c r="S42" s="27">
        <f t="shared" si="5"/>
        <v>0.73522727272727273</v>
      </c>
      <c r="T42" s="12"/>
      <c r="U42" s="12">
        <f>T42+'7'!U42</f>
        <v>69</v>
      </c>
      <c r="V42" s="12"/>
      <c r="W42" s="12">
        <f>V42+'7'!W42</f>
        <v>11</v>
      </c>
      <c r="X42" s="12"/>
      <c r="Y42" s="12">
        <f>X42+'7'!Y42</f>
        <v>0</v>
      </c>
      <c r="AB42" s="5">
        <v>32</v>
      </c>
      <c r="AC42" s="26" t="str">
        <f>'7'!AC42</f>
        <v>شمنديــــــــــــــل</v>
      </c>
      <c r="AD42" s="28">
        <f>'7'!AI42</f>
        <v>9</v>
      </c>
      <c r="AE42" s="3"/>
      <c r="AF42" s="28">
        <f>AE42+'7'!AF42</f>
        <v>78</v>
      </c>
      <c r="AG42" s="4"/>
      <c r="AH42" s="28">
        <f>AG42+'7'!AH42</f>
        <v>69</v>
      </c>
      <c r="AI42" s="4">
        <f t="shared" si="6"/>
        <v>9</v>
      </c>
      <c r="AJ42" s="11" t="e">
        <f t="shared" si="0"/>
        <v>#DIV/0!</v>
      </c>
      <c r="AK42" s="53">
        <f t="shared" si="1"/>
        <v>9.3768115942028984</v>
      </c>
      <c r="AW42" s="26" t="str">
        <f>'7'!AW42</f>
        <v>شمنديــــــــــــــل</v>
      </c>
      <c r="AX42" s="12">
        <f>'7'!AX42</f>
        <v>2</v>
      </c>
      <c r="AY42" s="12">
        <f>'7'!AY42</f>
        <v>569</v>
      </c>
      <c r="AZ42" s="12"/>
      <c r="BA42" s="12"/>
      <c r="BB42" s="12">
        <f>BA42+'7'!BB42</f>
        <v>453</v>
      </c>
      <c r="BC42" s="30">
        <f t="shared" si="2"/>
        <v>0.79613356766256593</v>
      </c>
      <c r="BD42" s="12">
        <f>'7'!BD42</f>
        <v>1</v>
      </c>
      <c r="BE42" s="12">
        <f>'7'!BE42</f>
        <v>39</v>
      </c>
      <c r="BF42" s="12"/>
      <c r="BG42" s="12"/>
      <c r="BH42" s="12">
        <f>BG42+'7'!BH42</f>
        <v>82</v>
      </c>
      <c r="BI42" s="30">
        <f t="shared" si="3"/>
        <v>2.1025641025641026</v>
      </c>
    </row>
    <row r="43" spans="1:61" ht="28.9" customHeight="1" x14ac:dyDescent="0.35">
      <c r="A43" s="5">
        <v>33</v>
      </c>
      <c r="B43" s="26" t="str">
        <f>'7'!B43</f>
        <v>كفور الرمل</v>
      </c>
      <c r="C43" s="26">
        <f>'7'!C43</f>
        <v>1721</v>
      </c>
      <c r="D43" s="26"/>
      <c r="E43" s="12"/>
      <c r="F43" s="2">
        <f>E43+'7'!F43</f>
        <v>17</v>
      </c>
      <c r="G43" s="2"/>
      <c r="H43" s="2">
        <f>G43+'7'!H43</f>
        <v>505</v>
      </c>
      <c r="I43" s="2"/>
      <c r="J43" s="2">
        <f>I43+'7'!J43</f>
        <v>718</v>
      </c>
      <c r="K43" s="2"/>
      <c r="L43" s="2">
        <f>K43+'7'!L43</f>
        <v>0</v>
      </c>
      <c r="M43" s="2"/>
      <c r="N43" s="2">
        <f>M43+'7'!N43</f>
        <v>0</v>
      </c>
      <c r="O43" s="2"/>
      <c r="P43" s="2">
        <f>O43+'7'!P43</f>
        <v>0</v>
      </c>
      <c r="Q43" s="4">
        <f t="shared" si="4"/>
        <v>0</v>
      </c>
      <c r="R43" s="4">
        <f>Q43+'7'!R43</f>
        <v>1240</v>
      </c>
      <c r="S43" s="27">
        <f t="shared" si="5"/>
        <v>0.72051133062173156</v>
      </c>
      <c r="T43" s="12"/>
      <c r="U43" s="12">
        <f>T43+'7'!U43</f>
        <v>192</v>
      </c>
      <c r="V43" s="12"/>
      <c r="W43" s="12">
        <f>V43+'7'!W43</f>
        <v>100</v>
      </c>
      <c r="X43" s="12"/>
      <c r="Y43" s="12">
        <f>X43+'7'!Y43</f>
        <v>0</v>
      </c>
      <c r="AB43" s="5">
        <v>33</v>
      </c>
      <c r="AC43" s="26" t="str">
        <f>'7'!AC43</f>
        <v>كفور الرمل</v>
      </c>
      <c r="AD43" s="28">
        <f>'7'!AI43</f>
        <v>15</v>
      </c>
      <c r="AE43" s="3"/>
      <c r="AF43" s="28">
        <f>AE43+'7'!AF43</f>
        <v>150</v>
      </c>
      <c r="AG43" s="4"/>
      <c r="AH43" s="28">
        <f>AG43+'7'!AH43</f>
        <v>135</v>
      </c>
      <c r="AI43" s="4">
        <f t="shared" si="6"/>
        <v>15</v>
      </c>
      <c r="AJ43" s="11" t="e">
        <f t="shared" si="0"/>
        <v>#DIV/0!</v>
      </c>
      <c r="AK43" s="53">
        <f t="shared" si="1"/>
        <v>9.1851851851851851</v>
      </c>
      <c r="AW43" s="26" t="str">
        <f>'7'!AW43</f>
        <v>كفور الرمل</v>
      </c>
      <c r="AX43" s="12">
        <f>'7'!AX43</f>
        <v>4</v>
      </c>
      <c r="AY43" s="12">
        <f>'7'!AY43</f>
        <v>1335</v>
      </c>
      <c r="AZ43" s="12"/>
      <c r="BA43" s="12"/>
      <c r="BB43" s="12">
        <f>BA43+'7'!BB43</f>
        <v>918</v>
      </c>
      <c r="BC43" s="30">
        <f t="shared" si="2"/>
        <v>0.68764044943820224</v>
      </c>
      <c r="BD43" s="12">
        <f>'7'!BD43</f>
        <v>7</v>
      </c>
      <c r="BE43" s="12">
        <f>'7'!BE43</f>
        <v>753</v>
      </c>
      <c r="BF43" s="12"/>
      <c r="BG43" s="12"/>
      <c r="BH43" s="12">
        <f>BG43+'7'!BH43</f>
        <v>414</v>
      </c>
      <c r="BI43" s="30">
        <f t="shared" si="3"/>
        <v>0.54980079681274896</v>
      </c>
    </row>
    <row r="44" spans="1:61" ht="28.9" customHeight="1" x14ac:dyDescent="0.35">
      <c r="A44" s="5">
        <v>34</v>
      </c>
      <c r="B44" s="26" t="str">
        <f>'7'!B44</f>
        <v>منشأة أم خنان</v>
      </c>
      <c r="C44" s="26">
        <f>'7'!C44</f>
        <v>510</v>
      </c>
      <c r="D44" s="26"/>
      <c r="E44" s="12"/>
      <c r="F44" s="2">
        <f>E44+'7'!F44</f>
        <v>12</v>
      </c>
      <c r="G44" s="2"/>
      <c r="H44" s="2">
        <f>G44+'7'!H44</f>
        <v>194</v>
      </c>
      <c r="I44" s="2"/>
      <c r="J44" s="2">
        <f>I44+'7'!J44</f>
        <v>291</v>
      </c>
      <c r="K44" s="2"/>
      <c r="L44" s="2">
        <f>K44+'7'!L44</f>
        <v>0</v>
      </c>
      <c r="M44" s="2"/>
      <c r="N44" s="2">
        <f>M44+'7'!N44</f>
        <v>0</v>
      </c>
      <c r="O44" s="2"/>
      <c r="P44" s="2">
        <f>O44+'7'!P44</f>
        <v>0</v>
      </c>
      <c r="Q44" s="4">
        <f t="shared" si="4"/>
        <v>0</v>
      </c>
      <c r="R44" s="4">
        <f>Q44+'7'!R44</f>
        <v>497</v>
      </c>
      <c r="S44" s="27">
        <f t="shared" si="5"/>
        <v>0.97450980392156861</v>
      </c>
      <c r="T44" s="12"/>
      <c r="U44" s="12">
        <f>T44+'7'!U44</f>
        <v>11</v>
      </c>
      <c r="V44" s="12"/>
      <c r="W44" s="12">
        <f>V44+'7'!W44</f>
        <v>7</v>
      </c>
      <c r="X44" s="12"/>
      <c r="Y44" s="12">
        <f>X44+'7'!Y44</f>
        <v>0</v>
      </c>
      <c r="AB44" s="5">
        <v>34</v>
      </c>
      <c r="AC44" s="26" t="str">
        <f>'7'!AC44</f>
        <v>منشأة أم خنان</v>
      </c>
      <c r="AD44" s="28">
        <f>'7'!AI44</f>
        <v>4</v>
      </c>
      <c r="AE44" s="3"/>
      <c r="AF44" s="28">
        <f>AE44+'7'!AF44</f>
        <v>55</v>
      </c>
      <c r="AG44" s="4"/>
      <c r="AH44" s="28">
        <f>AG44+'7'!AH44</f>
        <v>51</v>
      </c>
      <c r="AI44" s="4">
        <f t="shared" si="6"/>
        <v>4</v>
      </c>
      <c r="AJ44" s="11" t="e">
        <f t="shared" si="0"/>
        <v>#DIV/0!</v>
      </c>
      <c r="AK44" s="53">
        <f t="shared" si="1"/>
        <v>9.7450980392156854</v>
      </c>
      <c r="AW44" s="26" t="str">
        <f>'7'!AW44</f>
        <v>منشأة أم خنان</v>
      </c>
      <c r="AX44" s="12">
        <f>'7'!AX44</f>
        <v>1</v>
      </c>
      <c r="AY44" s="12">
        <f>'7'!AY44</f>
        <v>277</v>
      </c>
      <c r="AZ44" s="12"/>
      <c r="BA44" s="12"/>
      <c r="BB44" s="12">
        <f>BA44+'7'!BB44</f>
        <v>269</v>
      </c>
      <c r="BC44" s="30">
        <f t="shared" si="2"/>
        <v>0.97111913357400725</v>
      </c>
      <c r="BD44" s="12">
        <f>'7'!BD44</f>
        <v>3</v>
      </c>
      <c r="BE44" s="12">
        <f>'7'!BE44</f>
        <v>170</v>
      </c>
      <c r="BF44" s="12"/>
      <c r="BG44" s="12"/>
      <c r="BH44" s="12">
        <f>BG44+'7'!BH44</f>
        <v>115</v>
      </c>
      <c r="BI44" s="30">
        <f t="shared" si="3"/>
        <v>0.67647058823529416</v>
      </c>
    </row>
    <row r="45" spans="1:61" ht="28.9" customHeight="1" x14ac:dyDescent="0.35">
      <c r="A45" s="5">
        <v>35</v>
      </c>
      <c r="B45" s="26">
        <f>'7'!B45</f>
        <v>0</v>
      </c>
      <c r="C45" s="26">
        <f>'7'!C45</f>
        <v>0</v>
      </c>
      <c r="D45" s="26"/>
      <c r="E45" s="12"/>
      <c r="F45" s="2">
        <f>E45+'7'!F45</f>
        <v>0</v>
      </c>
      <c r="G45" s="2"/>
      <c r="H45" s="2">
        <f>G45+'7'!H45</f>
        <v>0</v>
      </c>
      <c r="I45" s="2"/>
      <c r="J45" s="2">
        <f>I45+'7'!J45</f>
        <v>0</v>
      </c>
      <c r="K45" s="2"/>
      <c r="L45" s="2">
        <f>K45+'7'!L45</f>
        <v>0</v>
      </c>
      <c r="M45" s="2"/>
      <c r="N45" s="2">
        <f>M45+'7'!N45</f>
        <v>0</v>
      </c>
      <c r="O45" s="2"/>
      <c r="P45" s="2">
        <f>O45+'7'!P45</f>
        <v>0</v>
      </c>
      <c r="Q45" s="4">
        <f t="shared" si="4"/>
        <v>0</v>
      </c>
      <c r="R45" s="4">
        <f>Q45+'7'!R45</f>
        <v>0</v>
      </c>
      <c r="S45" s="27" t="e">
        <f t="shared" si="5"/>
        <v>#DIV/0!</v>
      </c>
      <c r="T45" s="12"/>
      <c r="U45" s="12">
        <f>T45+'7'!U45</f>
        <v>0</v>
      </c>
      <c r="V45" s="12"/>
      <c r="W45" s="12">
        <f>V45+'7'!W45</f>
        <v>0</v>
      </c>
      <c r="X45" s="12"/>
      <c r="Y45" s="12">
        <f>X45+'7'!Y45</f>
        <v>0</v>
      </c>
      <c r="AB45" s="5">
        <v>35</v>
      </c>
      <c r="AC45" s="26">
        <f>'7'!AC45</f>
        <v>0</v>
      </c>
      <c r="AD45" s="28">
        <f>'7'!AI45</f>
        <v>0</v>
      </c>
      <c r="AE45" s="3"/>
      <c r="AF45" s="28">
        <f>AE45+'7'!AF45</f>
        <v>0</v>
      </c>
      <c r="AG45" s="4"/>
      <c r="AH45" s="28">
        <f>AG45+'7'!AH45</f>
        <v>0</v>
      </c>
      <c r="AI45" s="4">
        <f t="shared" si="6"/>
        <v>0</v>
      </c>
      <c r="AJ45" s="11" t="e">
        <f t="shared" si="0"/>
        <v>#DIV/0!</v>
      </c>
      <c r="AK45" s="53" t="e">
        <f t="shared" si="1"/>
        <v>#DIV/0!</v>
      </c>
      <c r="AW45" s="26">
        <f>'7'!AW45</f>
        <v>0</v>
      </c>
      <c r="AX45" s="12">
        <f>'7'!AX45</f>
        <v>0</v>
      </c>
      <c r="AY45" s="12">
        <f>'7'!AY45</f>
        <v>0</v>
      </c>
      <c r="AZ45" s="12"/>
      <c r="BA45" s="12"/>
      <c r="BB45" s="12">
        <f>BA45+'7'!BB45</f>
        <v>0</v>
      </c>
      <c r="BC45" s="30" t="e">
        <f t="shared" si="2"/>
        <v>#DIV/0!</v>
      </c>
      <c r="BD45" s="12">
        <f>'7'!BD45</f>
        <v>0</v>
      </c>
      <c r="BE45" s="12">
        <f>'7'!BE45</f>
        <v>0</v>
      </c>
      <c r="BF45" s="12"/>
      <c r="BG45" s="12"/>
      <c r="BH45" s="12">
        <f>BG45+'7'!BH45</f>
        <v>0</v>
      </c>
      <c r="BI45" s="30" t="e">
        <f t="shared" si="3"/>
        <v>#DIV/0!</v>
      </c>
    </row>
    <row r="46" spans="1:61" ht="28.9" customHeight="1" x14ac:dyDescent="0.35">
      <c r="A46" s="5">
        <v>36</v>
      </c>
      <c r="B46" s="26">
        <f>'7'!B46</f>
        <v>0</v>
      </c>
      <c r="C46" s="26">
        <f>'7'!C46</f>
        <v>0</v>
      </c>
      <c r="D46" s="26"/>
      <c r="E46" s="12"/>
      <c r="F46" s="2">
        <f>E46+'7'!F46</f>
        <v>0</v>
      </c>
      <c r="G46" s="2"/>
      <c r="H46" s="2">
        <f>G46+'7'!H46</f>
        <v>0</v>
      </c>
      <c r="I46" s="2"/>
      <c r="J46" s="2">
        <f>I46+'7'!J46</f>
        <v>0</v>
      </c>
      <c r="K46" s="2"/>
      <c r="L46" s="2">
        <f>K46+'7'!L46</f>
        <v>0</v>
      </c>
      <c r="M46" s="2"/>
      <c r="N46" s="2">
        <f>M46+'7'!N46</f>
        <v>0</v>
      </c>
      <c r="O46" s="2"/>
      <c r="P46" s="2">
        <f>O46+'7'!P46</f>
        <v>0</v>
      </c>
      <c r="Q46" s="4">
        <f t="shared" si="4"/>
        <v>0</v>
      </c>
      <c r="R46" s="4">
        <f>Q46+'7'!R46</f>
        <v>0</v>
      </c>
      <c r="S46" s="27" t="e">
        <f t="shared" si="5"/>
        <v>#DIV/0!</v>
      </c>
      <c r="T46" s="12"/>
      <c r="U46" s="12">
        <f>T46+'7'!U46</f>
        <v>0</v>
      </c>
      <c r="V46" s="12"/>
      <c r="W46" s="12">
        <f>V46+'7'!W46</f>
        <v>0</v>
      </c>
      <c r="X46" s="12"/>
      <c r="Y46" s="12">
        <f>X46+'7'!Y46</f>
        <v>0</v>
      </c>
      <c r="AB46" s="5">
        <v>36</v>
      </c>
      <c r="AC46" s="26">
        <f>'7'!AC46</f>
        <v>0</v>
      </c>
      <c r="AD46" s="28">
        <f>'7'!AI46</f>
        <v>0</v>
      </c>
      <c r="AE46" s="3"/>
      <c r="AF46" s="28">
        <f>AE46+'7'!AF46</f>
        <v>0</v>
      </c>
      <c r="AG46" s="4"/>
      <c r="AH46" s="28">
        <f>AG46+'7'!AH46</f>
        <v>0</v>
      </c>
      <c r="AI46" s="4">
        <f t="shared" si="6"/>
        <v>0</v>
      </c>
      <c r="AJ46" s="11" t="e">
        <f t="shared" si="0"/>
        <v>#DIV/0!</v>
      </c>
      <c r="AK46" s="53" t="e">
        <f t="shared" si="1"/>
        <v>#DIV/0!</v>
      </c>
      <c r="AW46" s="26">
        <f>'7'!AW46</f>
        <v>0</v>
      </c>
      <c r="AX46" s="12">
        <f>'7'!AX46</f>
        <v>0</v>
      </c>
      <c r="AY46" s="12">
        <f>'7'!AY46</f>
        <v>0</v>
      </c>
      <c r="AZ46" s="12"/>
      <c r="BA46" s="12"/>
      <c r="BB46" s="12">
        <f>BA46+'7'!BB46</f>
        <v>0</v>
      </c>
      <c r="BC46" s="30" t="e">
        <f t="shared" si="2"/>
        <v>#DIV/0!</v>
      </c>
      <c r="BD46" s="12">
        <f>'7'!BD46</f>
        <v>0</v>
      </c>
      <c r="BE46" s="12">
        <f>'7'!BE46</f>
        <v>0</v>
      </c>
      <c r="BF46" s="12"/>
      <c r="BG46" s="12"/>
      <c r="BH46" s="12">
        <f>BG46+'7'!BH46</f>
        <v>0</v>
      </c>
      <c r="BI46" s="30" t="e">
        <f t="shared" si="3"/>
        <v>#DIV/0!</v>
      </c>
    </row>
    <row r="47" spans="1:61" ht="28.9" customHeight="1" x14ac:dyDescent="0.35">
      <c r="A47" s="5">
        <v>37</v>
      </c>
      <c r="B47" s="26">
        <f>'7'!B47</f>
        <v>0</v>
      </c>
      <c r="C47" s="26">
        <f>'7'!C47</f>
        <v>0</v>
      </c>
      <c r="D47" s="26"/>
      <c r="E47" s="12"/>
      <c r="F47" s="2">
        <f>E47+'7'!F47</f>
        <v>0</v>
      </c>
      <c r="G47" s="2"/>
      <c r="H47" s="2">
        <f>G47+'7'!H47</f>
        <v>0</v>
      </c>
      <c r="I47" s="2"/>
      <c r="J47" s="2">
        <f>I47+'7'!J47</f>
        <v>0</v>
      </c>
      <c r="K47" s="2"/>
      <c r="L47" s="2">
        <f>K47+'7'!L47</f>
        <v>0</v>
      </c>
      <c r="M47" s="2"/>
      <c r="N47" s="2">
        <f>M47+'7'!N47</f>
        <v>0</v>
      </c>
      <c r="O47" s="2"/>
      <c r="P47" s="2">
        <f>O47+'7'!P47</f>
        <v>0</v>
      </c>
      <c r="Q47" s="4">
        <f t="shared" si="4"/>
        <v>0</v>
      </c>
      <c r="R47" s="4">
        <f>Q47+'7'!R47</f>
        <v>0</v>
      </c>
      <c r="S47" s="27" t="e">
        <f t="shared" si="5"/>
        <v>#DIV/0!</v>
      </c>
      <c r="T47" s="12"/>
      <c r="U47" s="12">
        <f>T47+'7'!U47</f>
        <v>0</v>
      </c>
      <c r="V47" s="12"/>
      <c r="W47" s="12">
        <f>V47+'7'!W47</f>
        <v>0</v>
      </c>
      <c r="X47" s="12"/>
      <c r="Y47" s="12">
        <f>X47+'7'!Y47</f>
        <v>0</v>
      </c>
      <c r="AB47" s="5">
        <v>37</v>
      </c>
      <c r="AC47" s="26">
        <f>'7'!AC47</f>
        <v>0</v>
      </c>
      <c r="AD47" s="28">
        <f>'7'!AI47</f>
        <v>0</v>
      </c>
      <c r="AE47" s="3"/>
      <c r="AF47" s="28">
        <f>AE47+'7'!AF47</f>
        <v>0</v>
      </c>
      <c r="AG47" s="4"/>
      <c r="AH47" s="28">
        <f>AG47+'7'!AH47</f>
        <v>0</v>
      </c>
      <c r="AI47" s="4">
        <f t="shared" si="6"/>
        <v>0</v>
      </c>
      <c r="AJ47" s="11" t="e">
        <f t="shared" si="0"/>
        <v>#DIV/0!</v>
      </c>
      <c r="AK47" s="53" t="e">
        <f t="shared" si="1"/>
        <v>#DIV/0!</v>
      </c>
      <c r="AW47" s="26">
        <f>'7'!AW47</f>
        <v>0</v>
      </c>
      <c r="AX47" s="12">
        <f>'7'!AX47</f>
        <v>0</v>
      </c>
      <c r="AY47" s="12">
        <f>'7'!AY47</f>
        <v>0</v>
      </c>
      <c r="AZ47" s="12"/>
      <c r="BA47" s="12"/>
      <c r="BB47" s="12">
        <f>BA47+'7'!BB47</f>
        <v>0</v>
      </c>
      <c r="BC47" s="30" t="e">
        <f t="shared" si="2"/>
        <v>#DIV/0!</v>
      </c>
      <c r="BD47" s="12">
        <f>'7'!BD47</f>
        <v>0</v>
      </c>
      <c r="BE47" s="12">
        <f>'7'!BE47</f>
        <v>0</v>
      </c>
      <c r="BF47" s="12"/>
      <c r="BG47" s="12"/>
      <c r="BH47" s="12">
        <f>BG47+'7'!BH47</f>
        <v>0</v>
      </c>
      <c r="BI47" s="30" t="e">
        <f t="shared" si="3"/>
        <v>#DIV/0!</v>
      </c>
    </row>
    <row r="48" spans="1:61" ht="28.9" customHeight="1" x14ac:dyDescent="0.35">
      <c r="A48" s="5">
        <v>38</v>
      </c>
      <c r="B48" s="26">
        <f>'7'!B48</f>
        <v>0</v>
      </c>
      <c r="C48" s="26">
        <f>'7'!C48</f>
        <v>0</v>
      </c>
      <c r="D48" s="26"/>
      <c r="E48" s="12"/>
      <c r="F48" s="2">
        <f>E48+'7'!F48</f>
        <v>0</v>
      </c>
      <c r="G48" s="2"/>
      <c r="H48" s="2">
        <f>G48+'7'!H48</f>
        <v>0</v>
      </c>
      <c r="I48" s="2"/>
      <c r="J48" s="2">
        <f>I48+'7'!J48</f>
        <v>0</v>
      </c>
      <c r="K48" s="2"/>
      <c r="L48" s="2">
        <f>K48+'7'!L48</f>
        <v>0</v>
      </c>
      <c r="M48" s="2"/>
      <c r="N48" s="2">
        <f>M48+'7'!N48</f>
        <v>0</v>
      </c>
      <c r="O48" s="2"/>
      <c r="P48" s="2">
        <f>O48+'7'!P48</f>
        <v>0</v>
      </c>
      <c r="Q48" s="4">
        <f t="shared" si="4"/>
        <v>0</v>
      </c>
      <c r="R48" s="4">
        <f>Q48+'7'!R48</f>
        <v>0</v>
      </c>
      <c r="S48" s="27" t="e">
        <f t="shared" si="5"/>
        <v>#DIV/0!</v>
      </c>
      <c r="T48" s="12"/>
      <c r="U48" s="12">
        <f>T48+'7'!U48</f>
        <v>0</v>
      </c>
      <c r="V48" s="12"/>
      <c r="W48" s="12">
        <f>V48+'7'!W48</f>
        <v>0</v>
      </c>
      <c r="X48" s="12"/>
      <c r="Y48" s="12">
        <f>X48+'7'!Y48</f>
        <v>0</v>
      </c>
      <c r="AB48" s="5">
        <v>38</v>
      </c>
      <c r="AC48" s="26">
        <f>'7'!AC48</f>
        <v>0</v>
      </c>
      <c r="AD48" s="28">
        <f>'7'!AI48</f>
        <v>0</v>
      </c>
      <c r="AE48" s="3"/>
      <c r="AF48" s="28">
        <f>AE48+'7'!AF48</f>
        <v>0</v>
      </c>
      <c r="AG48" s="4"/>
      <c r="AH48" s="28">
        <f>AG48+'7'!AH48</f>
        <v>0</v>
      </c>
      <c r="AI48" s="4">
        <f t="shared" si="6"/>
        <v>0</v>
      </c>
      <c r="AJ48" s="11" t="e">
        <f t="shared" si="0"/>
        <v>#DIV/0!</v>
      </c>
      <c r="AK48" s="53" t="e">
        <f t="shared" si="1"/>
        <v>#DIV/0!</v>
      </c>
      <c r="AW48" s="26">
        <f>'7'!AW48</f>
        <v>0</v>
      </c>
      <c r="AX48" s="12">
        <f>'7'!AX48</f>
        <v>0</v>
      </c>
      <c r="AY48" s="12">
        <f>'7'!AY48</f>
        <v>0</v>
      </c>
      <c r="AZ48" s="12"/>
      <c r="BA48" s="12"/>
      <c r="BB48" s="12">
        <f>BA48+'7'!BB48</f>
        <v>0</v>
      </c>
      <c r="BC48" s="30" t="e">
        <f t="shared" si="2"/>
        <v>#DIV/0!</v>
      </c>
      <c r="BD48" s="12">
        <f>'7'!BD48</f>
        <v>0</v>
      </c>
      <c r="BE48" s="12">
        <f>'7'!BE48</f>
        <v>0</v>
      </c>
      <c r="BF48" s="12"/>
      <c r="BG48" s="12"/>
      <c r="BH48" s="12">
        <f>BG48+'7'!BH48</f>
        <v>0</v>
      </c>
      <c r="BI48" s="30" t="e">
        <f t="shared" si="3"/>
        <v>#DIV/0!</v>
      </c>
    </row>
    <row r="49" spans="1:61" ht="28.9" customHeight="1" x14ac:dyDescent="0.35">
      <c r="A49" s="5">
        <v>39</v>
      </c>
      <c r="B49" s="26">
        <f>'7'!B49</f>
        <v>0</v>
      </c>
      <c r="C49" s="26">
        <f>'7'!C49</f>
        <v>0</v>
      </c>
      <c r="D49" s="26"/>
      <c r="E49" s="12"/>
      <c r="F49" s="2">
        <f>E49+'7'!F49</f>
        <v>0</v>
      </c>
      <c r="G49" s="2"/>
      <c r="H49" s="2">
        <f>G49+'7'!H49</f>
        <v>0</v>
      </c>
      <c r="I49" s="2"/>
      <c r="J49" s="2">
        <f>I49+'7'!J49</f>
        <v>0</v>
      </c>
      <c r="K49" s="2"/>
      <c r="L49" s="2">
        <f>K49+'7'!L49</f>
        <v>0</v>
      </c>
      <c r="M49" s="2"/>
      <c r="N49" s="2">
        <f>M49+'7'!N49</f>
        <v>0</v>
      </c>
      <c r="O49" s="2"/>
      <c r="P49" s="2">
        <f>O49+'7'!P49</f>
        <v>0</v>
      </c>
      <c r="Q49" s="4">
        <f t="shared" si="4"/>
        <v>0</v>
      </c>
      <c r="R49" s="4">
        <f>Q49+'7'!R49</f>
        <v>0</v>
      </c>
      <c r="S49" s="27" t="e">
        <f t="shared" si="5"/>
        <v>#DIV/0!</v>
      </c>
      <c r="T49" s="12"/>
      <c r="U49" s="12">
        <f>T49+'7'!U49</f>
        <v>0</v>
      </c>
      <c r="V49" s="12"/>
      <c r="W49" s="12">
        <f>V49+'7'!W49</f>
        <v>0</v>
      </c>
      <c r="X49" s="12"/>
      <c r="Y49" s="12">
        <f>X49+'7'!Y49</f>
        <v>0</v>
      </c>
      <c r="AB49" s="5">
        <v>39</v>
      </c>
      <c r="AC49" s="26">
        <f>'7'!AC49</f>
        <v>0</v>
      </c>
      <c r="AD49" s="28">
        <f>'7'!AI49</f>
        <v>0</v>
      </c>
      <c r="AE49" s="3"/>
      <c r="AF49" s="28">
        <f>AE49+'7'!AF49</f>
        <v>0</v>
      </c>
      <c r="AG49" s="4"/>
      <c r="AH49" s="28">
        <f>AG49+'7'!AH49</f>
        <v>0</v>
      </c>
      <c r="AI49" s="4">
        <f t="shared" si="6"/>
        <v>0</v>
      </c>
      <c r="AJ49" s="11" t="e">
        <f t="shared" si="0"/>
        <v>#DIV/0!</v>
      </c>
      <c r="AK49" s="53" t="e">
        <f t="shared" si="1"/>
        <v>#DIV/0!</v>
      </c>
      <c r="AW49" s="26">
        <f>'7'!AW49</f>
        <v>0</v>
      </c>
      <c r="AX49" s="12">
        <f>'7'!AX49</f>
        <v>0</v>
      </c>
      <c r="AY49" s="12">
        <f>'7'!AY49</f>
        <v>0</v>
      </c>
      <c r="AZ49" s="12"/>
      <c r="BA49" s="12"/>
      <c r="BB49" s="12">
        <f>BA49+'7'!BB49</f>
        <v>0</v>
      </c>
      <c r="BC49" s="30" t="e">
        <f t="shared" si="2"/>
        <v>#DIV/0!</v>
      </c>
      <c r="BD49" s="12">
        <f>'7'!BD49</f>
        <v>0</v>
      </c>
      <c r="BE49" s="12">
        <f>'7'!BE49</f>
        <v>0</v>
      </c>
      <c r="BF49" s="12"/>
      <c r="BG49" s="12"/>
      <c r="BH49" s="12">
        <f>BG49+'7'!BH49</f>
        <v>0</v>
      </c>
      <c r="BI49" s="30" t="e">
        <f t="shared" si="3"/>
        <v>#DIV/0!</v>
      </c>
    </row>
    <row r="50" spans="1:61" ht="28.9" customHeight="1" x14ac:dyDescent="0.35">
      <c r="A50" s="5">
        <v>40</v>
      </c>
      <c r="B50" s="26">
        <f>'7'!B50</f>
        <v>0</v>
      </c>
      <c r="C50" s="26">
        <f>'7'!C50</f>
        <v>0</v>
      </c>
      <c r="D50" s="26"/>
      <c r="E50" s="12"/>
      <c r="F50" s="2">
        <f>E50+'7'!F50</f>
        <v>0</v>
      </c>
      <c r="G50" s="2"/>
      <c r="H50" s="2">
        <f>G50+'7'!H50</f>
        <v>0</v>
      </c>
      <c r="I50" s="2"/>
      <c r="J50" s="2">
        <f>I50+'7'!J50</f>
        <v>0</v>
      </c>
      <c r="K50" s="2"/>
      <c r="L50" s="2">
        <f>K50+'7'!L50</f>
        <v>0</v>
      </c>
      <c r="M50" s="2"/>
      <c r="N50" s="2">
        <f>M50+'7'!N50</f>
        <v>0</v>
      </c>
      <c r="O50" s="2"/>
      <c r="P50" s="2">
        <f>O50+'7'!P50</f>
        <v>0</v>
      </c>
      <c r="Q50" s="4">
        <f t="shared" si="4"/>
        <v>0</v>
      </c>
      <c r="R50" s="4">
        <f>Q50+'7'!R50</f>
        <v>0</v>
      </c>
      <c r="S50" s="27" t="e">
        <f t="shared" si="5"/>
        <v>#DIV/0!</v>
      </c>
      <c r="T50" s="12"/>
      <c r="U50" s="12">
        <f>T50+'7'!U50</f>
        <v>0</v>
      </c>
      <c r="V50" s="12"/>
      <c r="W50" s="12">
        <f>V50+'7'!W50</f>
        <v>0</v>
      </c>
      <c r="X50" s="12"/>
      <c r="Y50" s="12">
        <f>X50+'7'!Y50</f>
        <v>0</v>
      </c>
      <c r="AB50" s="5">
        <v>40</v>
      </c>
      <c r="AC50" s="26">
        <f>'7'!AC50</f>
        <v>0</v>
      </c>
      <c r="AD50" s="28">
        <f>'7'!AI50</f>
        <v>0</v>
      </c>
      <c r="AE50" s="3"/>
      <c r="AF50" s="28">
        <f>AE50+'7'!AF50</f>
        <v>0</v>
      </c>
      <c r="AG50" s="4"/>
      <c r="AH50" s="28">
        <f>AG50+'7'!AH50</f>
        <v>0</v>
      </c>
      <c r="AI50" s="4">
        <f t="shared" si="6"/>
        <v>0</v>
      </c>
      <c r="AJ50" s="11" t="e">
        <f t="shared" si="0"/>
        <v>#DIV/0!</v>
      </c>
      <c r="AK50" s="53" t="e">
        <f t="shared" si="1"/>
        <v>#DIV/0!</v>
      </c>
      <c r="AW50" s="26">
        <f>'7'!AW50</f>
        <v>0</v>
      </c>
      <c r="AX50" s="12">
        <f>'7'!AX50</f>
        <v>0</v>
      </c>
      <c r="AY50" s="12">
        <f>'7'!AY50</f>
        <v>0</v>
      </c>
      <c r="AZ50" s="12"/>
      <c r="BA50" s="12"/>
      <c r="BB50" s="12">
        <f>BA50+'7'!BB50</f>
        <v>0</v>
      </c>
      <c r="BC50" s="30" t="e">
        <f t="shared" si="2"/>
        <v>#DIV/0!</v>
      </c>
      <c r="BD50" s="12">
        <f>'7'!BD50</f>
        <v>0</v>
      </c>
      <c r="BE50" s="12">
        <f>'7'!BE50</f>
        <v>0</v>
      </c>
      <c r="BF50" s="12"/>
      <c r="BG50" s="12"/>
      <c r="BH50" s="12">
        <f>BG50+'7'!BH50</f>
        <v>0</v>
      </c>
      <c r="BI50" s="30" t="e">
        <f t="shared" si="3"/>
        <v>#DIV/0!</v>
      </c>
    </row>
    <row r="51" spans="1:61" ht="25.5" thickBot="1" x14ac:dyDescent="0.4">
      <c r="A51" s="321" t="s">
        <v>26</v>
      </c>
      <c r="B51" s="321"/>
      <c r="C51" s="35">
        <f>SUM(C11:C50)</f>
        <v>97446</v>
      </c>
      <c r="D51" s="35">
        <f>SUM(D11:D50)</f>
        <v>0</v>
      </c>
      <c r="E51" s="6">
        <f>SUM(E11:E50)</f>
        <v>0</v>
      </c>
      <c r="F51" s="6">
        <f>SUM(F11:F50)</f>
        <v>533</v>
      </c>
      <c r="G51" s="6">
        <f t="shared" ref="G51:R51" si="8">SUM(G11:G50)</f>
        <v>0</v>
      </c>
      <c r="H51" s="6">
        <f t="shared" si="8"/>
        <v>14954</v>
      </c>
      <c r="I51" s="6">
        <f t="shared" si="8"/>
        <v>0</v>
      </c>
      <c r="J51" s="6">
        <f t="shared" si="8"/>
        <v>37926</v>
      </c>
      <c r="K51" s="6">
        <f t="shared" si="8"/>
        <v>0</v>
      </c>
      <c r="L51" s="6">
        <f t="shared" si="8"/>
        <v>0</v>
      </c>
      <c r="M51" s="6">
        <f t="shared" si="8"/>
        <v>0</v>
      </c>
      <c r="N51" s="6">
        <f t="shared" si="8"/>
        <v>0</v>
      </c>
      <c r="O51" s="6">
        <f t="shared" si="8"/>
        <v>0</v>
      </c>
      <c r="P51" s="6">
        <f t="shared" si="8"/>
        <v>0</v>
      </c>
      <c r="Q51" s="6">
        <f t="shared" si="8"/>
        <v>0</v>
      </c>
      <c r="R51" s="6">
        <f t="shared" si="8"/>
        <v>53413</v>
      </c>
      <c r="S51" s="10">
        <f>R51/C51</f>
        <v>0.54812922028610722</v>
      </c>
      <c r="T51" s="23">
        <f t="shared" ref="T51:Y51" si="9">SUM(T11:T50)</f>
        <v>0</v>
      </c>
      <c r="U51" s="23">
        <f t="shared" si="9"/>
        <v>7532</v>
      </c>
      <c r="V51" s="23">
        <f t="shared" si="9"/>
        <v>0</v>
      </c>
      <c r="W51" s="23">
        <f t="shared" si="9"/>
        <v>1107</v>
      </c>
      <c r="X51" s="23">
        <f t="shared" si="9"/>
        <v>0</v>
      </c>
      <c r="Y51" s="23">
        <f t="shared" si="9"/>
        <v>2</v>
      </c>
      <c r="AB51" s="37" t="s">
        <v>29</v>
      </c>
      <c r="AC51" s="37"/>
      <c r="AD51" s="34">
        <f t="shared" ref="AD51:AI51" si="10">SUM(AD11:AD50)</f>
        <v>3133</v>
      </c>
      <c r="AE51" s="23">
        <f t="shared" si="10"/>
        <v>0</v>
      </c>
      <c r="AF51" s="14">
        <f t="shared" si="10"/>
        <v>8632</v>
      </c>
      <c r="AG51" s="14">
        <f t="shared" si="10"/>
        <v>0</v>
      </c>
      <c r="AH51" s="14">
        <f t="shared" si="10"/>
        <v>5499</v>
      </c>
      <c r="AI51" s="14">
        <f t="shared" si="10"/>
        <v>3133</v>
      </c>
      <c r="AJ51" s="11" t="e">
        <f t="shared" si="0"/>
        <v>#DIV/0!</v>
      </c>
      <c r="AK51" s="53">
        <f t="shared" si="1"/>
        <v>9.713220585561011</v>
      </c>
      <c r="AW51" s="33" t="s">
        <v>26</v>
      </c>
      <c r="AX51" s="13">
        <f>SUM(AX11:AX50)</f>
        <v>121</v>
      </c>
      <c r="AY51" s="13">
        <f>SUM(AY11:AY50)</f>
        <v>50910</v>
      </c>
      <c r="AZ51" s="13">
        <f>SUM(AZ11:AZ50)</f>
        <v>0</v>
      </c>
      <c r="BA51" s="13">
        <f>SUM(BA11:BA50)</f>
        <v>0</v>
      </c>
      <c r="BB51" s="13">
        <f>SUM(BB11:BB50)</f>
        <v>39924</v>
      </c>
      <c r="BC51" s="31">
        <f t="shared" si="2"/>
        <v>0.78420742486741313</v>
      </c>
      <c r="BD51" s="32">
        <f>SUM(BD11:BD50)</f>
        <v>241</v>
      </c>
      <c r="BE51" s="32">
        <f>SUM(BE11:BE50)</f>
        <v>14990</v>
      </c>
      <c r="BF51" s="32">
        <f>SUM(BF11:BF50)</f>
        <v>0</v>
      </c>
      <c r="BG51" s="32">
        <f>SUM(BG11:BG50)</f>
        <v>0</v>
      </c>
      <c r="BH51" s="32">
        <f>SUM(BH11:BH50)</f>
        <v>9274</v>
      </c>
      <c r="BI51" s="31">
        <f t="shared" si="3"/>
        <v>0.61867911941294196</v>
      </c>
    </row>
    <row r="52" spans="1:61" ht="17.5" x14ac:dyDescent="0.35">
      <c r="AB52" s="36"/>
      <c r="AC52" s="36"/>
      <c r="AD52" s="36"/>
      <c r="AE52" s="36"/>
      <c r="AF52" s="40"/>
      <c r="AG52" s="40"/>
      <c r="AH52" s="40"/>
      <c r="AI52" s="41"/>
      <c r="AJ52" s="15"/>
      <c r="AK52" s="15"/>
    </row>
    <row r="54" spans="1:61" ht="18.5" x14ac:dyDescent="0.45">
      <c r="G54" s="322" t="s">
        <v>36</v>
      </c>
      <c r="H54" s="322"/>
      <c r="I54" s="322"/>
      <c r="J54" s="322"/>
      <c r="K54" s="322"/>
      <c r="L54" s="322"/>
      <c r="M54" s="322"/>
      <c r="N54" s="322"/>
      <c r="O54" s="322"/>
      <c r="P54" s="322"/>
      <c r="Q54" s="322"/>
      <c r="R54" s="322"/>
      <c r="S54" s="322"/>
      <c r="AB54" s="313" t="s">
        <v>44</v>
      </c>
      <c r="AC54" s="313"/>
      <c r="AD54" s="313"/>
      <c r="AE54" s="313"/>
      <c r="AF54" s="313"/>
      <c r="AG54" s="313"/>
      <c r="AH54" s="313"/>
      <c r="AI54" s="313"/>
      <c r="AJ54" s="313"/>
      <c r="AK54" s="313"/>
      <c r="AL54" s="313"/>
      <c r="AM54" s="313"/>
      <c r="AN54" s="313"/>
    </row>
    <row r="55" spans="1:61" ht="18.5" x14ac:dyDescent="0.45">
      <c r="AX55" s="313" t="s">
        <v>44</v>
      </c>
      <c r="AY55" s="313"/>
      <c r="AZ55" s="313"/>
      <c r="BA55" s="313"/>
      <c r="BB55" s="313"/>
      <c r="BC55" s="313"/>
      <c r="BD55" s="313"/>
      <c r="BE55" s="313"/>
      <c r="BF55" s="313"/>
      <c r="BG55" s="313"/>
      <c r="BH55" s="313"/>
      <c r="BI55" s="313"/>
    </row>
    <row r="56" spans="1:61" ht="15.5" x14ac:dyDescent="0.35">
      <c r="AG56" s="38"/>
      <c r="AH56" s="38"/>
      <c r="AI56" s="38"/>
    </row>
  </sheetData>
  <mergeCells count="56">
    <mergeCell ref="A6:Y6"/>
    <mergeCell ref="AF6:AN6"/>
    <mergeCell ref="AY6:BI6"/>
    <mergeCell ref="A7:Y7"/>
    <mergeCell ref="A8:A10"/>
    <mergeCell ref="B8:B10"/>
    <mergeCell ref="C8:C10"/>
    <mergeCell ref="D8:D10"/>
    <mergeCell ref="E8:J8"/>
    <mergeCell ref="K8:P8"/>
    <mergeCell ref="Q8:R9"/>
    <mergeCell ref="S8:S10"/>
    <mergeCell ref="T8:U9"/>
    <mergeCell ref="V8:W9"/>
    <mergeCell ref="X8:Y9"/>
    <mergeCell ref="AB8:AB10"/>
    <mergeCell ref="AN8:AN9"/>
    <mergeCell ref="AO8:AO9"/>
    <mergeCell ref="AP8:AQ8"/>
    <mergeCell ref="AR8:AS8"/>
    <mergeCell ref="AC8:AC10"/>
    <mergeCell ref="AD8:AD10"/>
    <mergeCell ref="AE8:AF9"/>
    <mergeCell ref="AG8:AH9"/>
    <mergeCell ref="AI8:AI10"/>
    <mergeCell ref="AJ8:AJ10"/>
    <mergeCell ref="AW8:AW10"/>
    <mergeCell ref="AX8:BC8"/>
    <mergeCell ref="BD8:BI8"/>
    <mergeCell ref="E9:F9"/>
    <mergeCell ref="G9:H9"/>
    <mergeCell ref="I9:J9"/>
    <mergeCell ref="K9:L9"/>
    <mergeCell ref="M9:N9"/>
    <mergeCell ref="AK8:AK10"/>
    <mergeCell ref="AM8:AM13"/>
    <mergeCell ref="BF9:BF10"/>
    <mergeCell ref="BG9:BG10"/>
    <mergeCell ref="BH9:BH10"/>
    <mergeCell ref="O9:P9"/>
    <mergeCell ref="AX9:AX10"/>
    <mergeCell ref="AY9:AY10"/>
    <mergeCell ref="AZ9:AZ10"/>
    <mergeCell ref="BA9:BA10"/>
    <mergeCell ref="BB9:BB10"/>
    <mergeCell ref="AT8:AT9"/>
    <mergeCell ref="AX55:BI55"/>
    <mergeCell ref="BI9:BI10"/>
    <mergeCell ref="AM14:AN14"/>
    <mergeCell ref="AO14:AS14"/>
    <mergeCell ref="A51:B51"/>
    <mergeCell ref="G54:S54"/>
    <mergeCell ref="AB54:AN54"/>
    <mergeCell ref="BC9:BC10"/>
    <mergeCell ref="BD9:BD10"/>
    <mergeCell ref="BE9:BE10"/>
  </mergeCells>
  <pageMargins left="0.7" right="0.7" top="0.75" bottom="0.75" header="0.3" footer="0.3"/>
  <pageSetup paperSize="9" scale="17" orientation="landscape" r:id="rId1"/>
  <colBreaks count="2" manualBreakCount="2">
    <brk id="26" max="55" man="1"/>
    <brk id="47" max="5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B41EE-A360-4B8F-834D-2A64944554AB}">
  <dimension ref="A1:BJ56"/>
  <sheetViews>
    <sheetView rightToLeft="1" view="pageBreakPreview" topLeftCell="AD3" zoomScale="55" zoomScaleNormal="29" zoomScalePageLayoutView="40" workbookViewId="0">
      <selection activeCell="AQ17" sqref="AQ17"/>
    </sheetView>
  </sheetViews>
  <sheetFormatPr defaultRowHeight="14.5" x14ac:dyDescent="0.35"/>
  <cols>
    <col min="1" max="1" width="11.26953125" style="1" customWidth="1"/>
    <col min="2" max="4" width="18.7265625" style="1" customWidth="1"/>
    <col min="5" max="6" width="15.26953125" customWidth="1"/>
    <col min="7" max="7" width="18.453125" customWidth="1"/>
    <col min="8" max="8" width="16.81640625" customWidth="1"/>
    <col min="9" max="9" width="15.26953125" customWidth="1"/>
    <col min="10" max="10" width="15.54296875" customWidth="1"/>
    <col min="11" max="23" width="15.26953125" customWidth="1"/>
    <col min="24" max="25" width="12.54296875" customWidth="1"/>
    <col min="27" max="27" width="19.1796875" customWidth="1"/>
    <col min="28" max="30" width="15.26953125" customWidth="1"/>
    <col min="31" max="32" width="13.7265625" customWidth="1"/>
    <col min="33" max="33" width="14.1796875" customWidth="1"/>
    <col min="34" max="34" width="13" customWidth="1"/>
    <col min="35" max="35" width="18.26953125" customWidth="1"/>
    <col min="36" max="40" width="15" customWidth="1"/>
    <col min="41" max="41" width="16.7265625" customWidth="1"/>
    <col min="42" max="42" width="18" customWidth="1"/>
    <col min="43" max="46" width="15" customWidth="1"/>
    <col min="47" max="47" width="14" style="1" customWidth="1"/>
    <col min="49" max="49" width="15.1796875" customWidth="1"/>
    <col min="50" max="50" width="22.26953125" customWidth="1"/>
    <col min="51" max="51" width="16.26953125" customWidth="1"/>
    <col min="52" max="52" width="13.453125" customWidth="1"/>
    <col min="53" max="53" width="14" customWidth="1"/>
    <col min="54" max="54" width="11.7265625" customWidth="1"/>
    <col min="55" max="55" width="14.26953125" customWidth="1"/>
    <col min="56" max="56" width="17.7265625" customWidth="1"/>
    <col min="57" max="57" width="22.453125" customWidth="1"/>
    <col min="58" max="58" width="17.7265625" customWidth="1"/>
    <col min="59" max="59" width="11.7265625" customWidth="1"/>
    <col min="60" max="60" width="16.81640625" customWidth="1"/>
    <col min="61" max="61" width="12.81640625" customWidth="1"/>
    <col min="62" max="62" width="15.26953125" customWidth="1"/>
  </cols>
  <sheetData>
    <row r="1" spans="1:62" s="21" customFormat="1" ht="23.5" x14ac:dyDescent="0.55000000000000004">
      <c r="A1" s="22" t="s">
        <v>0</v>
      </c>
      <c r="B1" s="22"/>
      <c r="C1" s="22"/>
      <c r="D1" s="18"/>
      <c r="E1" s="18"/>
      <c r="F1" s="18"/>
      <c r="G1" s="18"/>
      <c r="H1" s="18"/>
      <c r="I1" s="18"/>
      <c r="J1" s="18"/>
      <c r="K1" s="18"/>
      <c r="L1" s="18"/>
      <c r="M1" s="18"/>
      <c r="N1" s="19"/>
      <c r="O1" s="19"/>
      <c r="P1" s="18"/>
      <c r="Q1" s="18"/>
      <c r="R1" s="18"/>
      <c r="S1" s="18"/>
      <c r="T1" s="18"/>
      <c r="U1" s="18"/>
      <c r="V1" s="18"/>
      <c r="W1" s="18"/>
      <c r="X1" s="18"/>
      <c r="Y1" s="18"/>
      <c r="AA1" s="29"/>
      <c r="AB1" s="22" t="s">
        <v>0</v>
      </c>
      <c r="AC1" s="22"/>
      <c r="AD1" s="29"/>
      <c r="AE1" s="29"/>
      <c r="AF1" s="29"/>
      <c r="AU1" s="54"/>
      <c r="AW1" s="22" t="s">
        <v>0</v>
      </c>
      <c r="AX1" s="22"/>
      <c r="AY1" s="22"/>
      <c r="AZ1" s="18"/>
      <c r="BA1" s="18"/>
      <c r="BB1" s="18"/>
      <c r="BC1" s="18"/>
      <c r="BD1" s="18"/>
      <c r="BE1" s="20"/>
      <c r="BF1" s="19"/>
      <c r="BI1" s="29"/>
      <c r="BJ1" s="29"/>
    </row>
    <row r="2" spans="1:62" s="21" customFormat="1" ht="23.5" x14ac:dyDescent="0.55000000000000004">
      <c r="A2" s="22" t="s">
        <v>21</v>
      </c>
      <c r="B2" s="22"/>
      <c r="C2" s="22"/>
      <c r="D2" s="18"/>
      <c r="E2" s="18"/>
      <c r="F2" s="18"/>
      <c r="G2" s="18"/>
      <c r="H2" s="18"/>
      <c r="I2" s="18"/>
      <c r="J2" s="18"/>
      <c r="K2" s="18"/>
      <c r="L2" s="18"/>
      <c r="M2" s="18"/>
      <c r="N2" s="19"/>
      <c r="O2" s="19"/>
      <c r="P2" s="18"/>
      <c r="Q2" s="18"/>
      <c r="R2" s="18"/>
      <c r="S2" s="18"/>
      <c r="T2" s="18"/>
      <c r="U2" s="18"/>
      <c r="V2" s="18"/>
      <c r="W2" s="18"/>
      <c r="X2" s="18"/>
      <c r="Y2" s="18"/>
      <c r="AA2" s="29"/>
      <c r="AB2" s="22" t="s">
        <v>21</v>
      </c>
      <c r="AC2" s="22"/>
      <c r="AD2" s="29"/>
      <c r="AE2" s="29"/>
      <c r="AF2" s="29"/>
      <c r="AU2" s="54"/>
      <c r="AW2" s="22" t="s">
        <v>21</v>
      </c>
      <c r="AX2" s="22"/>
      <c r="AY2" s="22"/>
      <c r="AZ2" s="18"/>
      <c r="BA2" s="18"/>
      <c r="BB2" s="18"/>
      <c r="BC2" s="18"/>
      <c r="BD2" s="18"/>
      <c r="BE2" s="20"/>
      <c r="BF2" s="19"/>
      <c r="BI2" s="29"/>
      <c r="BJ2" s="29"/>
    </row>
    <row r="3" spans="1:62" s="21" customFormat="1" ht="23.5" x14ac:dyDescent="0.55000000000000004">
      <c r="A3" s="22" t="s">
        <v>22</v>
      </c>
      <c r="B3" s="22"/>
      <c r="C3" s="22"/>
      <c r="D3" s="18"/>
      <c r="E3" s="18"/>
      <c r="F3" s="18"/>
      <c r="G3" s="18"/>
      <c r="H3" s="18"/>
      <c r="I3" s="18"/>
      <c r="J3" s="18"/>
      <c r="K3" s="18"/>
      <c r="L3" s="18"/>
      <c r="M3" s="18"/>
      <c r="N3" s="19"/>
      <c r="O3" s="19"/>
      <c r="P3" s="18"/>
      <c r="Q3" s="18"/>
      <c r="R3" s="18"/>
      <c r="S3" s="18"/>
      <c r="T3" s="18"/>
      <c r="U3" s="18"/>
      <c r="V3" s="18"/>
      <c r="W3" s="18"/>
      <c r="X3" s="18"/>
      <c r="Y3" s="18"/>
      <c r="AA3" s="29"/>
      <c r="AB3" s="22" t="s">
        <v>22</v>
      </c>
      <c r="AC3" s="22"/>
      <c r="AD3" s="29"/>
      <c r="AE3" s="29"/>
      <c r="AF3" s="29"/>
      <c r="AU3" s="54"/>
      <c r="AW3" s="22" t="s">
        <v>22</v>
      </c>
      <c r="AX3" s="22"/>
      <c r="AY3" s="22"/>
      <c r="AZ3" s="18"/>
      <c r="BA3" s="18"/>
      <c r="BB3" s="18"/>
      <c r="BC3" s="18"/>
      <c r="BD3" s="18"/>
      <c r="BE3" s="20"/>
      <c r="BF3" s="19"/>
      <c r="BI3" s="29"/>
      <c r="BJ3" s="29"/>
    </row>
    <row r="4" spans="1:62" s="21" customFormat="1" ht="23.5" x14ac:dyDescent="0.55000000000000004">
      <c r="A4" s="22" t="s">
        <v>23</v>
      </c>
      <c r="B4" s="22"/>
      <c r="C4" s="22"/>
      <c r="D4" s="19"/>
      <c r="E4" s="20"/>
      <c r="F4" s="20"/>
      <c r="G4" s="20"/>
      <c r="H4" s="20"/>
      <c r="I4" s="18"/>
      <c r="J4" s="18"/>
      <c r="K4" s="18"/>
      <c r="L4" s="18"/>
      <c r="M4" s="18"/>
      <c r="N4" s="19"/>
      <c r="O4" s="19"/>
      <c r="P4" s="18"/>
      <c r="Q4" s="18"/>
      <c r="R4" s="18"/>
      <c r="S4" s="18"/>
      <c r="T4" s="18"/>
      <c r="U4" s="18"/>
      <c r="V4" s="18"/>
      <c r="W4" s="18"/>
      <c r="X4" s="18"/>
      <c r="Y4" s="18"/>
      <c r="AB4" s="22" t="s">
        <v>23</v>
      </c>
      <c r="AC4" s="22"/>
      <c r="AU4" s="54"/>
      <c r="AW4" s="22" t="s">
        <v>23</v>
      </c>
      <c r="AX4" s="22"/>
      <c r="AY4" s="22"/>
      <c r="AZ4" s="19"/>
      <c r="BA4" s="18"/>
      <c r="BB4" s="18"/>
      <c r="BC4" s="18"/>
      <c r="BD4" s="18"/>
      <c r="BE4" s="20"/>
      <c r="BF4" s="19"/>
    </row>
    <row r="5" spans="1:62" s="21" customFormat="1" ht="23.5" x14ac:dyDescent="0.55000000000000004">
      <c r="A5" s="22" t="s">
        <v>1</v>
      </c>
      <c r="B5" s="22"/>
      <c r="C5" s="22"/>
      <c r="D5" s="19"/>
      <c r="E5" s="18"/>
      <c r="F5" s="18"/>
      <c r="G5" s="18"/>
      <c r="H5" s="18"/>
      <c r="I5" s="18"/>
      <c r="J5" s="18"/>
      <c r="K5" s="18"/>
      <c r="L5" s="18"/>
      <c r="M5" s="18"/>
      <c r="N5" s="19"/>
      <c r="O5" s="19"/>
      <c r="P5" s="18"/>
      <c r="Q5" s="18"/>
      <c r="R5" s="18"/>
      <c r="S5" s="18"/>
      <c r="T5" s="18"/>
      <c r="U5" s="18"/>
      <c r="V5" s="18"/>
      <c r="W5" s="18"/>
      <c r="X5" s="18"/>
      <c r="Y5" s="18"/>
      <c r="AB5" s="22" t="s">
        <v>1</v>
      </c>
      <c r="AC5" s="22"/>
      <c r="AU5" s="54"/>
      <c r="AW5" s="22" t="s">
        <v>1</v>
      </c>
      <c r="AX5" s="22"/>
      <c r="AY5" s="22"/>
      <c r="AZ5" s="19"/>
      <c r="BA5" s="18"/>
      <c r="BB5" s="18"/>
      <c r="BC5" s="18"/>
      <c r="BD5" s="18"/>
      <c r="BE5" s="20"/>
      <c r="BF5" s="19"/>
    </row>
    <row r="6" spans="1:62" ht="20" x14ac:dyDescent="0.4">
      <c r="A6" s="362" t="s">
        <v>18</v>
      </c>
      <c r="B6" s="362"/>
      <c r="C6" s="362"/>
      <c r="D6" s="362"/>
      <c r="E6" s="362"/>
      <c r="F6" s="362"/>
      <c r="G6" s="362"/>
      <c r="H6" s="362"/>
      <c r="I6" s="362"/>
      <c r="J6" s="362"/>
      <c r="K6" s="362"/>
      <c r="L6" s="362"/>
      <c r="M6" s="362"/>
      <c r="N6" s="362"/>
      <c r="O6" s="362"/>
      <c r="P6" s="362"/>
      <c r="Q6" s="362"/>
      <c r="R6" s="362"/>
      <c r="S6" s="362"/>
      <c r="T6" s="362"/>
      <c r="U6" s="362"/>
      <c r="V6" s="362"/>
      <c r="W6" s="362"/>
      <c r="X6" s="362"/>
      <c r="Y6" s="362"/>
      <c r="AF6" s="362" t="s">
        <v>16</v>
      </c>
      <c r="AG6" s="362"/>
      <c r="AH6" s="362"/>
      <c r="AI6" s="362"/>
      <c r="AJ6" s="362"/>
      <c r="AK6" s="362"/>
      <c r="AL6" s="362"/>
      <c r="AM6" s="362"/>
      <c r="AN6" s="362"/>
      <c r="AO6" s="24"/>
      <c r="AP6" s="24"/>
      <c r="AQ6" s="24"/>
      <c r="AR6" s="24"/>
      <c r="AS6" s="24"/>
      <c r="AT6" s="24"/>
      <c r="AY6" s="362" t="s">
        <v>30</v>
      </c>
      <c r="AZ6" s="362"/>
      <c r="BA6" s="362"/>
      <c r="BB6" s="362"/>
      <c r="BC6" s="362"/>
      <c r="BD6" s="362"/>
      <c r="BE6" s="362"/>
      <c r="BF6" s="362"/>
      <c r="BG6" s="362"/>
      <c r="BH6" s="362"/>
      <c r="BI6" s="362"/>
    </row>
    <row r="7" spans="1:62" ht="20.5" thickBot="1" x14ac:dyDescent="0.45">
      <c r="A7" s="363" t="s">
        <v>27</v>
      </c>
      <c r="B7" s="364"/>
      <c r="C7" s="364"/>
      <c r="D7" s="364"/>
      <c r="E7" s="363"/>
      <c r="F7" s="363"/>
      <c r="G7" s="363"/>
      <c r="H7" s="363"/>
      <c r="I7" s="363"/>
      <c r="J7" s="363"/>
      <c r="K7" s="363"/>
      <c r="L7" s="363"/>
      <c r="M7" s="363"/>
      <c r="N7" s="363"/>
      <c r="O7" s="363"/>
      <c r="P7" s="363"/>
      <c r="Q7" s="363"/>
      <c r="R7" s="363"/>
      <c r="S7" s="363"/>
      <c r="T7" s="364"/>
      <c r="U7" s="364"/>
      <c r="V7" s="364"/>
      <c r="W7" s="364"/>
      <c r="X7" s="364"/>
      <c r="Y7" s="364"/>
      <c r="AJ7" s="25" t="s">
        <v>31</v>
      </c>
      <c r="AK7" s="25"/>
      <c r="AL7" s="25"/>
      <c r="AN7" s="25"/>
      <c r="AO7" s="25"/>
      <c r="AP7" s="25"/>
      <c r="AQ7" s="25"/>
      <c r="AS7" s="25"/>
      <c r="AT7" s="25"/>
      <c r="BC7" s="25" t="s">
        <v>31</v>
      </c>
      <c r="BD7" s="25"/>
      <c r="BF7" s="25"/>
      <c r="BG7" s="25"/>
      <c r="BH7" s="25"/>
      <c r="BI7" s="25"/>
      <c r="BJ7" s="25"/>
    </row>
    <row r="8" spans="1:62" ht="41.5" customHeight="1" x14ac:dyDescent="0.35">
      <c r="A8" s="326" t="s">
        <v>24</v>
      </c>
      <c r="B8" s="365" t="s">
        <v>25</v>
      </c>
      <c r="C8" s="366" t="s">
        <v>11</v>
      </c>
      <c r="D8" s="366" t="s">
        <v>15</v>
      </c>
      <c r="E8" s="330" t="s">
        <v>5</v>
      </c>
      <c r="F8" s="330"/>
      <c r="G8" s="330"/>
      <c r="H8" s="330"/>
      <c r="I8" s="330"/>
      <c r="J8" s="330"/>
      <c r="K8" s="330" t="s">
        <v>7</v>
      </c>
      <c r="L8" s="330"/>
      <c r="M8" s="330"/>
      <c r="N8" s="330"/>
      <c r="O8" s="330"/>
      <c r="P8" s="330"/>
      <c r="Q8" s="356" t="s">
        <v>2</v>
      </c>
      <c r="R8" s="350"/>
      <c r="S8" s="358" t="s">
        <v>12</v>
      </c>
      <c r="T8" s="323" t="s">
        <v>8</v>
      </c>
      <c r="U8" s="323"/>
      <c r="V8" s="323" t="s">
        <v>9</v>
      </c>
      <c r="W8" s="323"/>
      <c r="X8" s="323" t="s">
        <v>20</v>
      </c>
      <c r="Y8" s="323"/>
      <c r="AB8" s="326" t="s">
        <v>24</v>
      </c>
      <c r="AC8" s="342" t="s">
        <v>28</v>
      </c>
      <c r="AD8" s="342" t="s">
        <v>14</v>
      </c>
      <c r="AE8" s="345" t="s">
        <v>45</v>
      </c>
      <c r="AF8" s="346"/>
      <c r="AG8" s="349" t="s">
        <v>10</v>
      </c>
      <c r="AH8" s="350"/>
      <c r="AI8" s="353" t="s">
        <v>46</v>
      </c>
      <c r="AJ8" s="336" t="s">
        <v>51</v>
      </c>
      <c r="AK8" s="336" t="s">
        <v>47</v>
      </c>
      <c r="AM8" s="339" t="s">
        <v>41</v>
      </c>
      <c r="AN8" s="341" t="s">
        <v>38</v>
      </c>
      <c r="AO8" s="341" t="s">
        <v>14</v>
      </c>
      <c r="AP8" s="341" t="s">
        <v>39</v>
      </c>
      <c r="AQ8" s="341"/>
      <c r="AR8" s="341" t="s">
        <v>50</v>
      </c>
      <c r="AS8" s="341"/>
      <c r="AT8" s="324" t="s">
        <v>40</v>
      </c>
      <c r="AU8" s="55"/>
      <c r="AW8" s="326" t="s">
        <v>28</v>
      </c>
      <c r="AX8" s="329" t="s">
        <v>48</v>
      </c>
      <c r="AY8" s="330"/>
      <c r="AZ8" s="330"/>
      <c r="BA8" s="330"/>
      <c r="BB8" s="330"/>
      <c r="BC8" s="331"/>
      <c r="BD8" s="332" t="s">
        <v>49</v>
      </c>
      <c r="BE8" s="330"/>
      <c r="BF8" s="330"/>
      <c r="BG8" s="330"/>
      <c r="BH8" s="330"/>
      <c r="BI8" s="331"/>
    </row>
    <row r="9" spans="1:62" ht="19.149999999999999" customHeight="1" x14ac:dyDescent="0.35">
      <c r="A9" s="327"/>
      <c r="B9" s="365"/>
      <c r="C9" s="366"/>
      <c r="D9" s="366"/>
      <c r="E9" s="333" t="s">
        <v>6</v>
      </c>
      <c r="F9" s="334"/>
      <c r="G9" s="335" t="s">
        <v>13</v>
      </c>
      <c r="H9" s="334"/>
      <c r="I9" s="323" t="s">
        <v>19</v>
      </c>
      <c r="J9" s="323"/>
      <c r="K9" s="333" t="s">
        <v>6</v>
      </c>
      <c r="L9" s="334"/>
      <c r="M9" s="335" t="s">
        <v>13</v>
      </c>
      <c r="N9" s="334"/>
      <c r="O9" s="323" t="s">
        <v>19</v>
      </c>
      <c r="P9" s="323"/>
      <c r="Q9" s="357"/>
      <c r="R9" s="352"/>
      <c r="S9" s="359"/>
      <c r="T9" s="323"/>
      <c r="U9" s="323"/>
      <c r="V9" s="323"/>
      <c r="W9" s="323"/>
      <c r="X9" s="323"/>
      <c r="Y9" s="323"/>
      <c r="AB9" s="327"/>
      <c r="AC9" s="343"/>
      <c r="AD9" s="343"/>
      <c r="AE9" s="347"/>
      <c r="AF9" s="348"/>
      <c r="AG9" s="351"/>
      <c r="AH9" s="352"/>
      <c r="AI9" s="354"/>
      <c r="AJ9" s="337"/>
      <c r="AK9" s="337"/>
      <c r="AM9" s="340"/>
      <c r="AN9" s="323"/>
      <c r="AO9" s="323"/>
      <c r="AP9" s="8" t="s">
        <v>3</v>
      </c>
      <c r="AQ9" s="8" t="s">
        <v>4</v>
      </c>
      <c r="AR9" s="43" t="s">
        <v>3</v>
      </c>
      <c r="AS9" s="43" t="s">
        <v>4</v>
      </c>
      <c r="AT9" s="325"/>
      <c r="AU9" s="55"/>
      <c r="AW9" s="327"/>
      <c r="AX9" s="314" t="s">
        <v>17</v>
      </c>
      <c r="AY9" s="314" t="s">
        <v>11</v>
      </c>
      <c r="AZ9" s="314" t="s">
        <v>32</v>
      </c>
      <c r="BA9" s="314" t="s">
        <v>37</v>
      </c>
      <c r="BB9" s="314" t="s">
        <v>34</v>
      </c>
      <c r="BC9" s="314" t="s">
        <v>12</v>
      </c>
      <c r="BD9" s="314" t="s">
        <v>33</v>
      </c>
      <c r="BE9" s="314" t="s">
        <v>11</v>
      </c>
      <c r="BF9" s="314" t="s">
        <v>35</v>
      </c>
      <c r="BG9" s="314" t="s">
        <v>37</v>
      </c>
      <c r="BH9" s="314" t="s">
        <v>34</v>
      </c>
      <c r="BI9" s="314" t="s">
        <v>12</v>
      </c>
    </row>
    <row r="10" spans="1:62" ht="53.5" customHeight="1" thickBot="1" x14ac:dyDescent="0.4">
      <c r="A10" s="328"/>
      <c r="B10" s="365"/>
      <c r="C10" s="366"/>
      <c r="D10" s="366"/>
      <c r="E10" s="7" t="s">
        <v>3</v>
      </c>
      <c r="F10" s="8" t="s">
        <v>4</v>
      </c>
      <c r="G10" s="7" t="s">
        <v>3</v>
      </c>
      <c r="H10" s="8" t="s">
        <v>4</v>
      </c>
      <c r="I10" s="8" t="s">
        <v>3</v>
      </c>
      <c r="J10" s="8" t="s">
        <v>4</v>
      </c>
      <c r="K10" s="7" t="s">
        <v>3</v>
      </c>
      <c r="L10" s="8" t="s">
        <v>4</v>
      </c>
      <c r="M10" s="7" t="s">
        <v>3</v>
      </c>
      <c r="N10" s="8" t="s">
        <v>4</v>
      </c>
      <c r="O10" s="8" t="s">
        <v>3</v>
      </c>
      <c r="P10" s="8" t="s">
        <v>4</v>
      </c>
      <c r="Q10" s="9" t="s">
        <v>3</v>
      </c>
      <c r="R10" s="9" t="s">
        <v>4</v>
      </c>
      <c r="S10" s="360"/>
      <c r="T10" s="8" t="s">
        <v>3</v>
      </c>
      <c r="U10" s="8" t="s">
        <v>4</v>
      </c>
      <c r="V10" s="8" t="s">
        <v>3</v>
      </c>
      <c r="W10" s="8" t="s">
        <v>4</v>
      </c>
      <c r="X10" s="8" t="s">
        <v>3</v>
      </c>
      <c r="Y10" s="8" t="s">
        <v>4</v>
      </c>
      <c r="AB10" s="361"/>
      <c r="AC10" s="344"/>
      <c r="AD10" s="344"/>
      <c r="AE10" s="49" t="s">
        <v>3</v>
      </c>
      <c r="AF10" s="50" t="s">
        <v>4</v>
      </c>
      <c r="AG10" s="51" t="s">
        <v>3</v>
      </c>
      <c r="AH10" s="52" t="s">
        <v>4</v>
      </c>
      <c r="AI10" s="355"/>
      <c r="AJ10" s="338"/>
      <c r="AK10" s="338"/>
      <c r="AM10" s="340"/>
      <c r="AN10" s="42" t="str">
        <f>'8'!AN10</f>
        <v>0124W120</v>
      </c>
      <c r="AO10" s="42">
        <f>'8'!AT10</f>
        <v>48</v>
      </c>
      <c r="AP10" s="42"/>
      <c r="AQ10" s="17">
        <f>AP10+'8'!AQ10</f>
        <v>73</v>
      </c>
      <c r="AR10" s="17"/>
      <c r="AS10" s="17">
        <f>AR10+'8'!AS10</f>
        <v>25</v>
      </c>
      <c r="AT10" s="44">
        <f>AO10+AP10-AR10</f>
        <v>48</v>
      </c>
      <c r="AU10" s="56"/>
      <c r="AW10" s="328"/>
      <c r="AX10" s="315"/>
      <c r="AY10" s="315"/>
      <c r="AZ10" s="315"/>
      <c r="BA10" s="315"/>
      <c r="BB10" s="315"/>
      <c r="BC10" s="315"/>
      <c r="BD10" s="315"/>
      <c r="BE10" s="315"/>
      <c r="BF10" s="315"/>
      <c r="BG10" s="315"/>
      <c r="BH10" s="315"/>
      <c r="BI10" s="315"/>
    </row>
    <row r="11" spans="1:62" ht="41.5" customHeight="1" x14ac:dyDescent="0.35">
      <c r="A11" s="5">
        <v>1</v>
      </c>
      <c r="B11" s="26" t="str">
        <f>'8'!B11</f>
        <v>مكتب الصحة</v>
      </c>
      <c r="C11" s="26">
        <f>'8'!C11</f>
        <v>12251</v>
      </c>
      <c r="D11" s="26"/>
      <c r="E11" s="12"/>
      <c r="F11" s="2">
        <f>E11+'8'!F11</f>
        <v>39</v>
      </c>
      <c r="G11" s="2"/>
      <c r="H11" s="2">
        <f>G11+'8'!H11</f>
        <v>1961</v>
      </c>
      <c r="I11" s="2"/>
      <c r="J11" s="2">
        <f>I11+'8'!J11</f>
        <v>5340</v>
      </c>
      <c r="K11" s="2"/>
      <c r="L11" s="2">
        <f>K11+'8'!L11</f>
        <v>0</v>
      </c>
      <c r="M11" s="2"/>
      <c r="N11" s="2">
        <f>M11+'8'!N11</f>
        <v>0</v>
      </c>
      <c r="O11" s="2"/>
      <c r="P11" s="2">
        <f>O11+'8'!P11</f>
        <v>0</v>
      </c>
      <c r="Q11" s="4">
        <f>O11+M11+K11+I11+G11+E11</f>
        <v>0</v>
      </c>
      <c r="R11" s="4">
        <f>Q11+'8'!R11</f>
        <v>7340</v>
      </c>
      <c r="S11" s="27">
        <f>R11/C11</f>
        <v>0.5991347645090197</v>
      </c>
      <c r="T11" s="12"/>
      <c r="U11" s="12">
        <f>T11+'8'!U11</f>
        <v>1397</v>
      </c>
      <c r="V11" s="12"/>
      <c r="W11" s="12">
        <f>V11+'8'!W11</f>
        <v>4</v>
      </c>
      <c r="X11" s="12"/>
      <c r="Y11" s="12">
        <f>X11+'8'!Y11</f>
        <v>1</v>
      </c>
      <c r="AB11" s="48">
        <v>1</v>
      </c>
      <c r="AC11" s="26" t="str">
        <f>'8'!AC11</f>
        <v>مكتب الصحة</v>
      </c>
      <c r="AD11" s="28">
        <f>'8'!AI11</f>
        <v>333</v>
      </c>
      <c r="AE11" s="3"/>
      <c r="AF11" s="28">
        <f>AE11+'8'!AF11</f>
        <v>1082</v>
      </c>
      <c r="AG11" s="4"/>
      <c r="AH11" s="28">
        <f>AG11+'8'!AH11</f>
        <v>749</v>
      </c>
      <c r="AI11" s="4">
        <f>AD11+AE11-AG11</f>
        <v>333</v>
      </c>
      <c r="AJ11" s="11" t="e">
        <f t="shared" ref="AJ11:AJ51" si="0">Q11/AG11</f>
        <v>#DIV/0!</v>
      </c>
      <c r="AK11" s="53">
        <f t="shared" ref="AK11:AK51" si="1">R11/AH11</f>
        <v>9.799732977303071</v>
      </c>
      <c r="AM11" s="340"/>
      <c r="AN11" s="42" t="str">
        <f>'8'!AN11</f>
        <v>420604325A</v>
      </c>
      <c r="AO11" s="42">
        <f>'8'!AT11</f>
        <v>3076</v>
      </c>
      <c r="AP11" s="16"/>
      <c r="AQ11" s="17">
        <f>AP11+'8'!AQ11</f>
        <v>8550</v>
      </c>
      <c r="AR11" s="16"/>
      <c r="AS11" s="17">
        <f>AR11+'8'!AS11</f>
        <v>5474</v>
      </c>
      <c r="AT11" s="44">
        <f>AO11+AP11-AR11</f>
        <v>3076</v>
      </c>
      <c r="AU11" s="56"/>
      <c r="AW11" s="26" t="str">
        <f>'8'!AW11</f>
        <v>مكتب الصحة</v>
      </c>
      <c r="AX11" s="12">
        <f>'8'!AX11</f>
        <v>11</v>
      </c>
      <c r="AY11" s="12">
        <f>'8'!AY11</f>
        <v>8411</v>
      </c>
      <c r="AZ11" s="12"/>
      <c r="BA11" s="12"/>
      <c r="BB11" s="12">
        <f>BA11+'8'!BB11</f>
        <v>5998</v>
      </c>
      <c r="BC11" s="30">
        <f t="shared" ref="BC11:BC51" si="2">BB11/AY11</f>
        <v>0.71311377957436695</v>
      </c>
      <c r="BD11" s="12">
        <f>'8'!BD11</f>
        <v>27</v>
      </c>
      <c r="BE11" s="12">
        <f>'8'!BE11</f>
        <v>1746</v>
      </c>
      <c r="BF11" s="12"/>
      <c r="BG11" s="12"/>
      <c r="BH11" s="12">
        <f>BG11+'8'!BH11</f>
        <v>477</v>
      </c>
      <c r="BI11" s="30">
        <f t="shared" ref="BI11:BI51" si="3">BH11/BE11</f>
        <v>0.27319587628865977</v>
      </c>
    </row>
    <row r="12" spans="1:62" ht="41.5" customHeight="1" x14ac:dyDescent="0.35">
      <c r="A12" s="5">
        <v>2</v>
      </c>
      <c r="B12" s="26" t="str">
        <f>'8'!B12</f>
        <v>شبرابخـــــــــــوم</v>
      </c>
      <c r="C12" s="26">
        <f>'8'!C12</f>
        <v>4445</v>
      </c>
      <c r="D12" s="26"/>
      <c r="E12" s="12"/>
      <c r="F12" s="2">
        <f>E12+'8'!F12</f>
        <v>14</v>
      </c>
      <c r="G12" s="2"/>
      <c r="H12" s="2">
        <f>G12+'8'!H12</f>
        <v>392</v>
      </c>
      <c r="I12" s="2"/>
      <c r="J12" s="2">
        <f>I12+'8'!J12</f>
        <v>1857</v>
      </c>
      <c r="K12" s="2"/>
      <c r="L12" s="2">
        <f>K12+'8'!L12</f>
        <v>0</v>
      </c>
      <c r="M12" s="2"/>
      <c r="N12" s="2">
        <f>M12+'8'!N12</f>
        <v>0</v>
      </c>
      <c r="O12" s="2"/>
      <c r="P12" s="2">
        <f>O12+'8'!P12</f>
        <v>0</v>
      </c>
      <c r="Q12" s="4">
        <f t="shared" ref="Q12:Q50" si="4">O12+M12+K12+I12+G12+E12</f>
        <v>0</v>
      </c>
      <c r="R12" s="4">
        <f>Q12+'8'!R12</f>
        <v>2263</v>
      </c>
      <c r="S12" s="27">
        <f t="shared" ref="S12:S50" si="5">R12/C12</f>
        <v>0.50911136107986499</v>
      </c>
      <c r="T12" s="12"/>
      <c r="U12" s="12">
        <f>T12+'8'!U12</f>
        <v>373</v>
      </c>
      <c r="V12" s="12"/>
      <c r="W12" s="12">
        <f>V12+'8'!W12</f>
        <v>15</v>
      </c>
      <c r="X12" s="12"/>
      <c r="Y12" s="12">
        <f>X12+'8'!Y12</f>
        <v>0</v>
      </c>
      <c r="AB12" s="5">
        <v>2</v>
      </c>
      <c r="AC12" s="26" t="str">
        <f>'8'!AC12</f>
        <v>شبرابخـــــــــــوم</v>
      </c>
      <c r="AD12" s="28">
        <f>'8'!AI12</f>
        <v>158</v>
      </c>
      <c r="AE12" s="3"/>
      <c r="AF12" s="28">
        <f>AE12+'8'!AF12</f>
        <v>390</v>
      </c>
      <c r="AG12" s="4"/>
      <c r="AH12" s="28">
        <f>AG12+'8'!AH12</f>
        <v>232</v>
      </c>
      <c r="AI12" s="4">
        <f>AD12+AE12-AG12</f>
        <v>158</v>
      </c>
      <c r="AJ12" s="11" t="e">
        <f t="shared" si="0"/>
        <v>#DIV/0!</v>
      </c>
      <c r="AK12" s="53">
        <f t="shared" si="1"/>
        <v>9.7543103448275854</v>
      </c>
      <c r="AM12" s="340"/>
      <c r="AN12" s="42" t="str">
        <f>'8'!AN12</f>
        <v>420604225A</v>
      </c>
      <c r="AO12" s="42">
        <f>'8'!AT12</f>
        <v>100</v>
      </c>
      <c r="AP12" s="16"/>
      <c r="AQ12" s="17">
        <f>AP12+'8'!AQ12</f>
        <v>100</v>
      </c>
      <c r="AR12" s="16"/>
      <c r="AS12" s="17">
        <f>AR12+'8'!AS12</f>
        <v>0</v>
      </c>
      <c r="AT12" s="44">
        <f>AO12+AP12-AR12</f>
        <v>100</v>
      </c>
      <c r="AU12" s="56"/>
      <c r="AW12" s="26" t="str">
        <f>'8'!AW12</f>
        <v>شبرابخـــــــــــوم</v>
      </c>
      <c r="AX12" s="12">
        <f>'8'!AX12</f>
        <v>6</v>
      </c>
      <c r="AY12" s="12">
        <f>'8'!AY12</f>
        <v>2215</v>
      </c>
      <c r="AZ12" s="12"/>
      <c r="BA12" s="12"/>
      <c r="BB12" s="12">
        <f>BA12+'8'!BB12</f>
        <v>2306</v>
      </c>
      <c r="BC12" s="30">
        <f t="shared" si="2"/>
        <v>1.0410835214446952</v>
      </c>
      <c r="BD12" s="12">
        <f>'8'!BD12</f>
        <v>16</v>
      </c>
      <c r="BE12" s="12">
        <f>'8'!BE12</f>
        <v>729</v>
      </c>
      <c r="BF12" s="12"/>
      <c r="BG12" s="12"/>
      <c r="BH12" s="12">
        <f>BG12+'8'!BH12</f>
        <v>224</v>
      </c>
      <c r="BI12" s="30">
        <f t="shared" si="3"/>
        <v>0.30727023319615915</v>
      </c>
    </row>
    <row r="13" spans="1:62" ht="41.5" customHeight="1" x14ac:dyDescent="0.35">
      <c r="A13" s="5">
        <v>3</v>
      </c>
      <c r="B13" s="26" t="str">
        <f>'8'!B13</f>
        <v>ميت بره</v>
      </c>
      <c r="C13" s="26">
        <f>'8'!C13</f>
        <v>11614</v>
      </c>
      <c r="D13" s="26"/>
      <c r="E13" s="12"/>
      <c r="F13" s="2">
        <f>E13+'8'!F13</f>
        <v>45</v>
      </c>
      <c r="G13" s="2"/>
      <c r="H13" s="2">
        <f>G13+'8'!H13</f>
        <v>465</v>
      </c>
      <c r="I13" s="2"/>
      <c r="J13" s="2">
        <f>I13+'8'!J13</f>
        <v>3703</v>
      </c>
      <c r="K13" s="2"/>
      <c r="L13" s="2">
        <f>K13+'8'!L13</f>
        <v>0</v>
      </c>
      <c r="M13" s="2"/>
      <c r="N13" s="2">
        <f>M13+'8'!N13</f>
        <v>0</v>
      </c>
      <c r="O13" s="2"/>
      <c r="P13" s="2">
        <f>O13+'8'!P13</f>
        <v>0</v>
      </c>
      <c r="Q13" s="4">
        <f t="shared" si="4"/>
        <v>0</v>
      </c>
      <c r="R13" s="4">
        <f>Q13+'8'!R13</f>
        <v>4213</v>
      </c>
      <c r="S13" s="27">
        <f t="shared" si="5"/>
        <v>0.36275185121405201</v>
      </c>
      <c r="T13" s="12"/>
      <c r="U13" s="12">
        <f>T13+'8'!U13</f>
        <v>641</v>
      </c>
      <c r="V13" s="12"/>
      <c r="W13" s="12">
        <f>V13+'8'!W13</f>
        <v>0</v>
      </c>
      <c r="X13" s="12"/>
      <c r="Y13" s="12">
        <f>X13+'8'!Y13</f>
        <v>0</v>
      </c>
      <c r="AB13" s="5">
        <v>3</v>
      </c>
      <c r="AC13" s="26" t="str">
        <f>'8'!AC13</f>
        <v>ميت بره</v>
      </c>
      <c r="AD13" s="28">
        <f>'8'!AI13</f>
        <v>584</v>
      </c>
      <c r="AE13" s="3"/>
      <c r="AF13" s="28">
        <f>AE13+'8'!AF13</f>
        <v>1020</v>
      </c>
      <c r="AG13" s="4"/>
      <c r="AH13" s="28">
        <f>AG13+'8'!AH13</f>
        <v>436</v>
      </c>
      <c r="AI13" s="4">
        <f t="shared" ref="AI13:AI50" si="6">AD13+AE13-AG13</f>
        <v>584</v>
      </c>
      <c r="AJ13" s="11" t="e">
        <f t="shared" si="0"/>
        <v>#DIV/0!</v>
      </c>
      <c r="AK13" s="53">
        <f t="shared" si="1"/>
        <v>9.6628440366972477</v>
      </c>
      <c r="AM13" s="340"/>
      <c r="AN13" s="46" t="s">
        <v>43</v>
      </c>
      <c r="AO13" s="45">
        <f t="shared" ref="AO13:AT13" si="7">SUM(AO10:AO12)</f>
        <v>3224</v>
      </c>
      <c r="AP13" s="45">
        <f t="shared" si="7"/>
        <v>0</v>
      </c>
      <c r="AQ13" s="45">
        <f t="shared" si="7"/>
        <v>8723</v>
      </c>
      <c r="AR13" s="45">
        <f t="shared" si="7"/>
        <v>0</v>
      </c>
      <c r="AS13" s="45">
        <f t="shared" si="7"/>
        <v>5499</v>
      </c>
      <c r="AT13" s="47">
        <f t="shared" si="7"/>
        <v>3224</v>
      </c>
      <c r="AU13" s="56"/>
      <c r="AW13" s="26" t="str">
        <f>'8'!AW13</f>
        <v>ميت بره</v>
      </c>
      <c r="AX13" s="12">
        <f>'8'!AX13</f>
        <v>8</v>
      </c>
      <c r="AY13" s="12">
        <f>'8'!AY13</f>
        <v>4849</v>
      </c>
      <c r="AZ13" s="12"/>
      <c r="BA13" s="12"/>
      <c r="BB13" s="12">
        <f>BA13+'8'!BB13</f>
        <v>4093</v>
      </c>
      <c r="BC13" s="30">
        <f t="shared" si="2"/>
        <v>0.84409156527118989</v>
      </c>
      <c r="BD13" s="12">
        <f>'8'!BD13</f>
        <v>21</v>
      </c>
      <c r="BE13" s="12">
        <f>'8'!BE13</f>
        <v>1129</v>
      </c>
      <c r="BF13" s="12"/>
      <c r="BG13" s="12"/>
      <c r="BH13" s="12">
        <f>BG13+'8'!BH13</f>
        <v>128</v>
      </c>
      <c r="BI13" s="30">
        <f t="shared" si="3"/>
        <v>0.11337466784765279</v>
      </c>
    </row>
    <row r="14" spans="1:62" ht="41.5" customHeight="1" thickBot="1" x14ac:dyDescent="0.4">
      <c r="A14" s="5">
        <v>4</v>
      </c>
      <c r="B14" s="26" t="str">
        <f>'8'!B14</f>
        <v>أبنــــــــــــــــهس</v>
      </c>
      <c r="C14" s="26">
        <f>'8'!C14</f>
        <v>5029</v>
      </c>
      <c r="D14" s="26"/>
      <c r="E14" s="12"/>
      <c r="F14" s="2">
        <f>E14+'8'!F14</f>
        <v>14</v>
      </c>
      <c r="G14" s="2"/>
      <c r="H14" s="2">
        <f>G14+'8'!H14</f>
        <v>349</v>
      </c>
      <c r="I14" s="2"/>
      <c r="J14" s="2">
        <f>I14+'8'!J14</f>
        <v>2016</v>
      </c>
      <c r="K14" s="2"/>
      <c r="L14" s="2">
        <f>K14+'8'!L14</f>
        <v>0</v>
      </c>
      <c r="M14" s="2"/>
      <c r="N14" s="2">
        <f>M14+'8'!N14</f>
        <v>0</v>
      </c>
      <c r="O14" s="2"/>
      <c r="P14" s="2">
        <f>O14+'8'!P14</f>
        <v>0</v>
      </c>
      <c r="Q14" s="4">
        <f t="shared" si="4"/>
        <v>0</v>
      </c>
      <c r="R14" s="4">
        <f>Q14+'8'!R14</f>
        <v>2379</v>
      </c>
      <c r="S14" s="27">
        <f t="shared" si="5"/>
        <v>0.47305627361304436</v>
      </c>
      <c r="T14" s="12"/>
      <c r="U14" s="12">
        <f>T14+'8'!U14</f>
        <v>341</v>
      </c>
      <c r="V14" s="12"/>
      <c r="W14" s="12">
        <f>V14+'8'!W14</f>
        <v>29</v>
      </c>
      <c r="X14" s="12"/>
      <c r="Y14" s="12">
        <f>X14+'8'!Y14</f>
        <v>0</v>
      </c>
      <c r="AB14" s="5">
        <v>4</v>
      </c>
      <c r="AC14" s="26" t="str">
        <f>'8'!AC14</f>
        <v>أبنــــــــــــــــهس</v>
      </c>
      <c r="AD14" s="28">
        <f>'8'!AI14</f>
        <v>196</v>
      </c>
      <c r="AE14" s="3"/>
      <c r="AF14" s="28">
        <f>AE14+'8'!AF14</f>
        <v>440</v>
      </c>
      <c r="AG14" s="4"/>
      <c r="AH14" s="28">
        <f>AG14+'8'!AH14</f>
        <v>244</v>
      </c>
      <c r="AI14" s="4">
        <f t="shared" si="6"/>
        <v>196</v>
      </c>
      <c r="AJ14" s="11" t="e">
        <f t="shared" si="0"/>
        <v>#DIV/0!</v>
      </c>
      <c r="AK14" s="53">
        <f t="shared" si="1"/>
        <v>9.75</v>
      </c>
      <c r="AM14" s="316" t="s">
        <v>42</v>
      </c>
      <c r="AN14" s="317"/>
      <c r="AO14" s="318"/>
      <c r="AP14" s="319"/>
      <c r="AQ14" s="319"/>
      <c r="AR14" s="319"/>
      <c r="AS14" s="320"/>
      <c r="AT14" s="39">
        <f>AT13+AI51</f>
        <v>6357</v>
      </c>
      <c r="AU14" s="57"/>
      <c r="AW14" s="26" t="str">
        <f>'8'!AW14</f>
        <v>أبنــــــــــــــــهس</v>
      </c>
      <c r="AX14" s="12">
        <f>'8'!AX14</f>
        <v>7</v>
      </c>
      <c r="AY14" s="12">
        <f>'8'!AY14</f>
        <v>2531</v>
      </c>
      <c r="AZ14" s="12"/>
      <c r="BA14" s="12"/>
      <c r="BB14" s="12">
        <f>BA14+'8'!BB14</f>
        <v>2092</v>
      </c>
      <c r="BC14" s="30">
        <f t="shared" si="2"/>
        <v>0.82655077044646386</v>
      </c>
      <c r="BD14" s="12">
        <f>'8'!BD14</f>
        <v>23</v>
      </c>
      <c r="BE14" s="12">
        <f>'8'!BE14</f>
        <v>921</v>
      </c>
      <c r="BF14" s="12"/>
      <c r="BG14" s="12"/>
      <c r="BH14" s="12">
        <f>BG14+'8'!BH14</f>
        <v>287</v>
      </c>
      <c r="BI14" s="30">
        <f t="shared" si="3"/>
        <v>0.31161780673181327</v>
      </c>
    </row>
    <row r="15" spans="1:62" ht="41.5" customHeight="1" x14ac:dyDescent="0.35">
      <c r="A15" s="5">
        <v>5</v>
      </c>
      <c r="B15" s="26" t="str">
        <f>'8'!B15</f>
        <v>ميت ســـــــــراج</v>
      </c>
      <c r="C15" s="26">
        <f>'8'!C15</f>
        <v>2369</v>
      </c>
      <c r="D15" s="26"/>
      <c r="E15" s="12"/>
      <c r="F15" s="2">
        <f>E15+'8'!F15</f>
        <v>4</v>
      </c>
      <c r="G15" s="2"/>
      <c r="H15" s="2">
        <f>G15+'8'!H15</f>
        <v>472</v>
      </c>
      <c r="I15" s="2"/>
      <c r="J15" s="2">
        <f>I15+'8'!J15</f>
        <v>839</v>
      </c>
      <c r="K15" s="2"/>
      <c r="L15" s="2">
        <f>K15+'8'!L15</f>
        <v>0</v>
      </c>
      <c r="M15" s="2"/>
      <c r="N15" s="2">
        <f>M15+'8'!N15</f>
        <v>0</v>
      </c>
      <c r="O15" s="2"/>
      <c r="P15" s="2">
        <f>O15+'8'!P15</f>
        <v>0</v>
      </c>
      <c r="Q15" s="4">
        <f t="shared" si="4"/>
        <v>0</v>
      </c>
      <c r="R15" s="4">
        <f>Q15+'8'!R15</f>
        <v>1315</v>
      </c>
      <c r="S15" s="27">
        <f t="shared" si="5"/>
        <v>0.55508653440270161</v>
      </c>
      <c r="T15" s="12"/>
      <c r="U15" s="12">
        <f>T15+'8'!U15</f>
        <v>105</v>
      </c>
      <c r="V15" s="12"/>
      <c r="W15" s="12">
        <f>V15+'8'!W15</f>
        <v>37</v>
      </c>
      <c r="X15" s="12"/>
      <c r="Y15" s="12">
        <f>X15+'8'!Y15</f>
        <v>0</v>
      </c>
      <c r="AB15" s="5">
        <v>5</v>
      </c>
      <c r="AC15" s="26" t="str">
        <f>'8'!AC15</f>
        <v>ميت ســـــــــراج</v>
      </c>
      <c r="AD15" s="28">
        <f>'8'!AI15</f>
        <v>74</v>
      </c>
      <c r="AE15" s="3"/>
      <c r="AF15" s="28">
        <f>AE15+'8'!AF15</f>
        <v>209</v>
      </c>
      <c r="AG15" s="4"/>
      <c r="AH15" s="28">
        <f>AG15+'8'!AH15</f>
        <v>135</v>
      </c>
      <c r="AI15" s="4">
        <f t="shared" si="6"/>
        <v>74</v>
      </c>
      <c r="AJ15" s="11" t="e">
        <f t="shared" si="0"/>
        <v>#DIV/0!</v>
      </c>
      <c r="AK15" s="53">
        <f t="shared" si="1"/>
        <v>9.7407407407407405</v>
      </c>
      <c r="AW15" s="26" t="str">
        <f>'8'!AW15</f>
        <v>ميت ســـــــــراج</v>
      </c>
      <c r="AX15" s="12">
        <f>'8'!AX15</f>
        <v>2</v>
      </c>
      <c r="AY15" s="12">
        <f>'8'!AY15</f>
        <v>1041</v>
      </c>
      <c r="AZ15" s="12"/>
      <c r="BA15" s="12"/>
      <c r="BB15" s="12">
        <f>BA15+'8'!BB15</f>
        <v>874</v>
      </c>
      <c r="BC15" s="30">
        <f t="shared" si="2"/>
        <v>0.83957732949087416</v>
      </c>
      <c r="BD15" s="12">
        <f>'8'!BD15</f>
        <v>5</v>
      </c>
      <c r="BE15" s="12">
        <f>'8'!BE15</f>
        <v>310</v>
      </c>
      <c r="BF15" s="12"/>
      <c r="BG15" s="12"/>
      <c r="BH15" s="12">
        <f>BG15+'8'!BH15</f>
        <v>385</v>
      </c>
      <c r="BI15" s="30">
        <f t="shared" si="3"/>
        <v>1.2419354838709677</v>
      </c>
    </row>
    <row r="16" spans="1:62" ht="41.5" customHeight="1" x14ac:dyDescent="0.35">
      <c r="A16" s="5">
        <v>6</v>
      </c>
      <c r="B16" s="26" t="str">
        <f>'8'!B16</f>
        <v>أم خــــــــــــــنان</v>
      </c>
      <c r="C16" s="26">
        <f>'8'!C16</f>
        <v>4900</v>
      </c>
      <c r="D16" s="26"/>
      <c r="E16" s="12"/>
      <c r="F16" s="2">
        <f>E16+'8'!F16</f>
        <v>11</v>
      </c>
      <c r="G16" s="2"/>
      <c r="H16" s="2">
        <f>G16+'8'!H16</f>
        <v>280</v>
      </c>
      <c r="I16" s="2"/>
      <c r="J16" s="2">
        <f>I16+'8'!J16</f>
        <v>1942</v>
      </c>
      <c r="K16" s="2"/>
      <c r="L16" s="2">
        <f>K16+'8'!L16</f>
        <v>0</v>
      </c>
      <c r="M16" s="2"/>
      <c r="N16" s="2">
        <f>M16+'8'!N16</f>
        <v>0</v>
      </c>
      <c r="O16" s="2"/>
      <c r="P16" s="2">
        <f>O16+'8'!P16</f>
        <v>0</v>
      </c>
      <c r="Q16" s="4">
        <f t="shared" si="4"/>
        <v>0</v>
      </c>
      <c r="R16" s="4">
        <f>Q16+'8'!R16</f>
        <v>2233</v>
      </c>
      <c r="S16" s="27">
        <f t="shared" si="5"/>
        <v>0.45571428571428574</v>
      </c>
      <c r="T16" s="12"/>
      <c r="U16" s="12">
        <f>T16+'8'!U16</f>
        <v>375</v>
      </c>
      <c r="V16" s="12"/>
      <c r="W16" s="12">
        <f>V16+'8'!W16</f>
        <v>0</v>
      </c>
      <c r="X16" s="12"/>
      <c r="Y16" s="12">
        <f>X16+'8'!Y16</f>
        <v>0</v>
      </c>
      <c r="AB16" s="5">
        <v>6</v>
      </c>
      <c r="AC16" s="26" t="str">
        <f>'8'!AC16</f>
        <v>أم خــــــــــــــنان</v>
      </c>
      <c r="AD16" s="28">
        <f>'8'!AI16</f>
        <v>204</v>
      </c>
      <c r="AE16" s="3"/>
      <c r="AF16" s="28">
        <f>AE16+'8'!AF16</f>
        <v>430</v>
      </c>
      <c r="AG16" s="4"/>
      <c r="AH16" s="28">
        <f>AG16+'8'!AH16</f>
        <v>226</v>
      </c>
      <c r="AI16" s="4">
        <f t="shared" si="6"/>
        <v>204</v>
      </c>
      <c r="AJ16" s="11" t="e">
        <f t="shared" si="0"/>
        <v>#DIV/0!</v>
      </c>
      <c r="AK16" s="53">
        <f t="shared" si="1"/>
        <v>9.8805309734513269</v>
      </c>
      <c r="AW16" s="26" t="str">
        <f>'8'!AW16</f>
        <v>أم خــــــــــــــنان</v>
      </c>
      <c r="AX16" s="12">
        <f>'8'!AX16</f>
        <v>8</v>
      </c>
      <c r="AY16" s="12">
        <f>'8'!AY16</f>
        <v>2981</v>
      </c>
      <c r="AZ16" s="12"/>
      <c r="BA16" s="12"/>
      <c r="BB16" s="12">
        <f>BA16+'8'!BB16</f>
        <v>2132</v>
      </c>
      <c r="BC16" s="30">
        <f t="shared" si="2"/>
        <v>0.71519624287151962</v>
      </c>
      <c r="BD16" s="12">
        <f>'8'!BD16</f>
        <v>12</v>
      </c>
      <c r="BE16" s="12">
        <f>'8'!BE16</f>
        <v>1313</v>
      </c>
      <c r="BF16" s="12"/>
      <c r="BG16" s="12"/>
      <c r="BH16" s="12">
        <f>BG16+'8'!BH16</f>
        <v>0</v>
      </c>
      <c r="BI16" s="30">
        <f t="shared" si="3"/>
        <v>0</v>
      </c>
    </row>
    <row r="17" spans="1:61" ht="41.5" customHeight="1" x14ac:dyDescent="0.35">
      <c r="A17" s="5">
        <v>7</v>
      </c>
      <c r="B17" s="26" t="str">
        <f>'8'!B17</f>
        <v>أجهور الرمل</v>
      </c>
      <c r="C17" s="26">
        <f>'8'!C17</f>
        <v>3590</v>
      </c>
      <c r="D17" s="26"/>
      <c r="E17" s="12"/>
      <c r="F17" s="2">
        <f>E17+'8'!F17</f>
        <v>17</v>
      </c>
      <c r="G17" s="2"/>
      <c r="H17" s="2">
        <f>G17+'8'!H17</f>
        <v>591</v>
      </c>
      <c r="I17" s="2"/>
      <c r="J17" s="2">
        <f>I17+'8'!J17</f>
        <v>1489</v>
      </c>
      <c r="K17" s="2"/>
      <c r="L17" s="2">
        <f>K17+'8'!L17</f>
        <v>0</v>
      </c>
      <c r="M17" s="2"/>
      <c r="N17" s="2">
        <f>M17+'8'!N17</f>
        <v>0</v>
      </c>
      <c r="O17" s="2"/>
      <c r="P17" s="2">
        <f>O17+'8'!P17</f>
        <v>0</v>
      </c>
      <c r="Q17" s="4">
        <f t="shared" si="4"/>
        <v>0</v>
      </c>
      <c r="R17" s="4">
        <f>Q17+'8'!R17</f>
        <v>2097</v>
      </c>
      <c r="S17" s="27">
        <f t="shared" si="5"/>
        <v>0.58412256267409468</v>
      </c>
      <c r="T17" s="12"/>
      <c r="U17" s="12">
        <f>T17+'8'!U17</f>
        <v>360</v>
      </c>
      <c r="V17" s="12"/>
      <c r="W17" s="12">
        <f>V17+'8'!W17</f>
        <v>121</v>
      </c>
      <c r="X17" s="12"/>
      <c r="Y17" s="12">
        <f>X17+'8'!Y17</f>
        <v>0</v>
      </c>
      <c r="AB17" s="5">
        <v>7</v>
      </c>
      <c r="AC17" s="26" t="str">
        <f>'8'!AC17</f>
        <v>أجهور الرمل</v>
      </c>
      <c r="AD17" s="28">
        <f>'8'!AI17</f>
        <v>100</v>
      </c>
      <c r="AE17" s="3"/>
      <c r="AF17" s="28">
        <f>AE17+'8'!AF17</f>
        <v>316</v>
      </c>
      <c r="AG17" s="4"/>
      <c r="AH17" s="28">
        <f>AG17+'8'!AH17</f>
        <v>216</v>
      </c>
      <c r="AI17" s="4">
        <f t="shared" si="6"/>
        <v>100</v>
      </c>
      <c r="AJ17" s="11" t="e">
        <f t="shared" si="0"/>
        <v>#DIV/0!</v>
      </c>
      <c r="AK17" s="53">
        <f t="shared" si="1"/>
        <v>9.7083333333333339</v>
      </c>
      <c r="AW17" s="26" t="str">
        <f>'8'!AW17</f>
        <v>أجهور الرمل</v>
      </c>
      <c r="AX17" s="12">
        <f>'8'!AX17</f>
        <v>4</v>
      </c>
      <c r="AY17" s="12">
        <f>'8'!AY17</f>
        <v>1796</v>
      </c>
      <c r="AZ17" s="12"/>
      <c r="BA17" s="12"/>
      <c r="BB17" s="12">
        <f>BA17+'8'!BB17</f>
        <v>1422</v>
      </c>
      <c r="BC17" s="30">
        <f t="shared" si="2"/>
        <v>0.79175946547884191</v>
      </c>
      <c r="BD17" s="12">
        <f>'8'!BD17</f>
        <v>3</v>
      </c>
      <c r="BE17" s="12">
        <f>'8'!BE17</f>
        <v>100</v>
      </c>
      <c r="BF17" s="12"/>
      <c r="BG17" s="12"/>
      <c r="BH17" s="12">
        <f>BG17+'8'!BH17</f>
        <v>441</v>
      </c>
      <c r="BI17" s="30">
        <f t="shared" si="3"/>
        <v>4.41</v>
      </c>
    </row>
    <row r="18" spans="1:61" ht="41.5" customHeight="1" x14ac:dyDescent="0.35">
      <c r="A18" s="5">
        <v>8</v>
      </c>
      <c r="B18" s="26" t="str">
        <f>'8'!B18</f>
        <v>منشأة دمــــــــــلو</v>
      </c>
      <c r="C18" s="26">
        <f>'8'!C18</f>
        <v>1320</v>
      </c>
      <c r="D18" s="26"/>
      <c r="E18" s="12"/>
      <c r="F18" s="2">
        <f>E18+'8'!F18</f>
        <v>18</v>
      </c>
      <c r="G18" s="2"/>
      <c r="H18" s="2">
        <f>G18+'8'!H18</f>
        <v>528</v>
      </c>
      <c r="I18" s="2"/>
      <c r="J18" s="2">
        <f>I18+'8'!J18</f>
        <v>704</v>
      </c>
      <c r="K18" s="2"/>
      <c r="L18" s="2">
        <f>K18+'8'!L18</f>
        <v>0</v>
      </c>
      <c r="M18" s="2"/>
      <c r="N18" s="2">
        <f>M18+'8'!N18</f>
        <v>0</v>
      </c>
      <c r="O18" s="2"/>
      <c r="P18" s="2">
        <f>O18+'8'!P18</f>
        <v>0</v>
      </c>
      <c r="Q18" s="4">
        <f t="shared" si="4"/>
        <v>0</v>
      </c>
      <c r="R18" s="4">
        <f>Q18+'8'!R18</f>
        <v>1250</v>
      </c>
      <c r="S18" s="27">
        <f t="shared" si="5"/>
        <v>0.94696969696969702</v>
      </c>
      <c r="T18" s="12"/>
      <c r="U18" s="12">
        <f>T18+'8'!U18</f>
        <v>175</v>
      </c>
      <c r="V18" s="12"/>
      <c r="W18" s="12">
        <f>V18+'8'!W18</f>
        <v>38</v>
      </c>
      <c r="X18" s="12"/>
      <c r="Y18" s="12">
        <f>X18+'8'!Y18</f>
        <v>0</v>
      </c>
      <c r="AB18" s="5">
        <v>8</v>
      </c>
      <c r="AC18" s="26" t="str">
        <f>'8'!AC18</f>
        <v>منشأة دمــــــــــلو</v>
      </c>
      <c r="AD18" s="28">
        <f>'8'!AI18</f>
        <v>4</v>
      </c>
      <c r="AE18" s="3"/>
      <c r="AF18" s="28">
        <f>AE18+'8'!AF18</f>
        <v>135</v>
      </c>
      <c r="AG18" s="4"/>
      <c r="AH18" s="28">
        <f>AG18+'8'!AH18</f>
        <v>131</v>
      </c>
      <c r="AI18" s="4">
        <f t="shared" si="6"/>
        <v>4</v>
      </c>
      <c r="AJ18" s="11" t="e">
        <f t="shared" si="0"/>
        <v>#DIV/0!</v>
      </c>
      <c r="AK18" s="53">
        <f t="shared" si="1"/>
        <v>9.5419847328244281</v>
      </c>
      <c r="AW18" s="26" t="str">
        <f>'8'!AW18</f>
        <v>منشأة دمــــــــــلو</v>
      </c>
      <c r="AX18" s="12">
        <f>'8'!AX18</f>
        <v>2</v>
      </c>
      <c r="AY18" s="12">
        <f>'8'!AY18</f>
        <v>896</v>
      </c>
      <c r="AZ18" s="12"/>
      <c r="BA18" s="12"/>
      <c r="BB18" s="12">
        <f>BA18+'8'!BB18</f>
        <v>748</v>
      </c>
      <c r="BC18" s="30">
        <f t="shared" si="2"/>
        <v>0.8348214285714286</v>
      </c>
      <c r="BD18" s="12">
        <f>'8'!BD18</f>
        <v>8</v>
      </c>
      <c r="BE18" s="12">
        <f>'8'!BE18</f>
        <v>340</v>
      </c>
      <c r="BF18" s="12"/>
      <c r="BG18" s="12"/>
      <c r="BH18" s="12">
        <f>BG18+'8'!BH18</f>
        <v>328</v>
      </c>
      <c r="BI18" s="30">
        <f t="shared" si="3"/>
        <v>0.96470588235294119</v>
      </c>
    </row>
    <row r="19" spans="1:61" ht="41.5" customHeight="1" x14ac:dyDescent="0.35">
      <c r="A19" s="5">
        <v>9</v>
      </c>
      <c r="B19" s="26" t="str">
        <f>'8'!B19</f>
        <v>شـــــــــــــرانيس</v>
      </c>
      <c r="C19" s="26">
        <f>'8'!C19</f>
        <v>1414</v>
      </c>
      <c r="D19" s="26"/>
      <c r="E19" s="12"/>
      <c r="F19" s="2">
        <f>E19+'8'!F19</f>
        <v>11</v>
      </c>
      <c r="G19" s="2"/>
      <c r="H19" s="2">
        <f>G19+'8'!H19</f>
        <v>359</v>
      </c>
      <c r="I19" s="2"/>
      <c r="J19" s="2">
        <f>I19+'8'!J19</f>
        <v>618</v>
      </c>
      <c r="K19" s="2"/>
      <c r="L19" s="2">
        <f>K19+'8'!L19</f>
        <v>0</v>
      </c>
      <c r="M19" s="2"/>
      <c r="N19" s="2">
        <f>M19+'8'!N19</f>
        <v>0</v>
      </c>
      <c r="O19" s="2"/>
      <c r="P19" s="2">
        <f>O19+'8'!P19</f>
        <v>0</v>
      </c>
      <c r="Q19" s="4">
        <f t="shared" si="4"/>
        <v>0</v>
      </c>
      <c r="R19" s="4">
        <f>Q19+'8'!R19</f>
        <v>988</v>
      </c>
      <c r="S19" s="27">
        <f t="shared" si="5"/>
        <v>0.69872701555869876</v>
      </c>
      <c r="T19" s="12"/>
      <c r="U19" s="12">
        <f>T19+'8'!U19</f>
        <v>143</v>
      </c>
      <c r="V19" s="12"/>
      <c r="W19" s="12">
        <f>V19+'8'!W19</f>
        <v>0</v>
      </c>
      <c r="X19" s="12"/>
      <c r="Y19" s="12">
        <f>X19+'8'!Y19</f>
        <v>0</v>
      </c>
      <c r="AB19" s="5">
        <v>9</v>
      </c>
      <c r="AC19" s="26" t="str">
        <f>'8'!AC19</f>
        <v>شـــــــــــــرانيس</v>
      </c>
      <c r="AD19" s="28">
        <f>'8'!AI19</f>
        <v>22</v>
      </c>
      <c r="AE19" s="3"/>
      <c r="AF19" s="28">
        <f>AE19+'8'!AF19</f>
        <v>125</v>
      </c>
      <c r="AG19" s="4"/>
      <c r="AH19" s="28">
        <f>AG19+'8'!AH19</f>
        <v>103</v>
      </c>
      <c r="AI19" s="4">
        <f t="shared" si="6"/>
        <v>22</v>
      </c>
      <c r="AJ19" s="11" t="e">
        <f t="shared" si="0"/>
        <v>#DIV/0!</v>
      </c>
      <c r="AK19" s="53">
        <f t="shared" si="1"/>
        <v>9.5922330097087372</v>
      </c>
      <c r="AW19" s="26" t="str">
        <f>'8'!AW19</f>
        <v>شـــــــــــــرانيس</v>
      </c>
      <c r="AX19" s="12">
        <f>'8'!AX19</f>
        <v>2</v>
      </c>
      <c r="AY19" s="12">
        <f>'8'!AY19</f>
        <v>675</v>
      </c>
      <c r="AZ19" s="12"/>
      <c r="BA19" s="12"/>
      <c r="BB19" s="12">
        <f>BA19+'8'!BB19</f>
        <v>569</v>
      </c>
      <c r="BC19" s="30">
        <f t="shared" si="2"/>
        <v>0.84296296296296291</v>
      </c>
      <c r="BD19" s="12">
        <f>'8'!BD19</f>
        <v>2</v>
      </c>
      <c r="BE19" s="12">
        <f>'8'!BE19</f>
        <v>397</v>
      </c>
      <c r="BF19" s="12"/>
      <c r="BG19" s="12"/>
      <c r="BH19" s="12">
        <f>BG19+'8'!BH19</f>
        <v>349</v>
      </c>
      <c r="BI19" s="30">
        <f t="shared" si="3"/>
        <v>0.87909319899244331</v>
      </c>
    </row>
    <row r="20" spans="1:61" ht="41.5" customHeight="1" x14ac:dyDescent="0.35">
      <c r="A20" s="5">
        <v>10</v>
      </c>
      <c r="B20" s="26" t="str">
        <f>'8'!B20</f>
        <v>قويســـــــــنا البلد</v>
      </c>
      <c r="C20" s="26">
        <f>'8'!C20</f>
        <v>4115</v>
      </c>
      <c r="D20" s="26"/>
      <c r="E20" s="12"/>
      <c r="F20" s="2">
        <f>E20+'8'!F20</f>
        <v>27</v>
      </c>
      <c r="G20" s="2"/>
      <c r="H20" s="2">
        <f>G20+'8'!H20</f>
        <v>406</v>
      </c>
      <c r="I20" s="2"/>
      <c r="J20" s="2">
        <f>I20+'8'!J20</f>
        <v>1286</v>
      </c>
      <c r="K20" s="2"/>
      <c r="L20" s="2">
        <f>K20+'8'!L20</f>
        <v>0</v>
      </c>
      <c r="M20" s="2"/>
      <c r="N20" s="2">
        <f>M20+'8'!N20</f>
        <v>0</v>
      </c>
      <c r="O20" s="2"/>
      <c r="P20" s="2">
        <f>O20+'8'!P20</f>
        <v>0</v>
      </c>
      <c r="Q20" s="4">
        <f t="shared" si="4"/>
        <v>0</v>
      </c>
      <c r="R20" s="4">
        <f>Q20+'8'!R20</f>
        <v>1719</v>
      </c>
      <c r="S20" s="27">
        <f t="shared" si="5"/>
        <v>0.41773997569866345</v>
      </c>
      <c r="T20" s="12"/>
      <c r="U20" s="12">
        <f>T20+'8'!U20</f>
        <v>405</v>
      </c>
      <c r="V20" s="12"/>
      <c r="W20" s="12">
        <f>V20+'8'!W20</f>
        <v>144</v>
      </c>
      <c r="X20" s="12"/>
      <c r="Y20" s="12">
        <f>X20+'8'!Y20</f>
        <v>0</v>
      </c>
      <c r="AB20" s="5">
        <v>10</v>
      </c>
      <c r="AC20" s="26" t="str">
        <f>'8'!AC20</f>
        <v>قويســـــــــنا البلد</v>
      </c>
      <c r="AD20" s="28">
        <f>'8'!AI20</f>
        <v>185</v>
      </c>
      <c r="AE20" s="3"/>
      <c r="AF20" s="28">
        <f>AE20+'8'!AF20</f>
        <v>360</v>
      </c>
      <c r="AG20" s="4"/>
      <c r="AH20" s="28">
        <f>AG20+'8'!AH20</f>
        <v>175</v>
      </c>
      <c r="AI20" s="4">
        <f t="shared" si="6"/>
        <v>185</v>
      </c>
      <c r="AJ20" s="11" t="e">
        <f t="shared" si="0"/>
        <v>#DIV/0!</v>
      </c>
      <c r="AK20" s="53">
        <f t="shared" si="1"/>
        <v>9.8228571428571421</v>
      </c>
      <c r="AW20" s="26" t="str">
        <f>'8'!AW20</f>
        <v>قويســـــــــنا البلد</v>
      </c>
      <c r="AX20" s="12">
        <f>'8'!AX20</f>
        <v>2</v>
      </c>
      <c r="AY20" s="12">
        <f>'8'!AY20</f>
        <v>1539</v>
      </c>
      <c r="AZ20" s="12"/>
      <c r="BA20" s="12"/>
      <c r="BB20" s="12">
        <f>BA20+'8'!BB20</f>
        <v>1355</v>
      </c>
      <c r="BC20" s="30">
        <f t="shared" si="2"/>
        <v>0.88044184535412606</v>
      </c>
      <c r="BD20" s="12">
        <f>'8'!BD20</f>
        <v>7</v>
      </c>
      <c r="BE20" s="12">
        <f>'8'!BE20</f>
        <v>580</v>
      </c>
      <c r="BF20" s="12"/>
      <c r="BG20" s="12"/>
      <c r="BH20" s="12">
        <f>BG20+'8'!BH20</f>
        <v>204</v>
      </c>
      <c r="BI20" s="30">
        <f t="shared" si="3"/>
        <v>0.35172413793103446</v>
      </c>
    </row>
    <row r="21" spans="1:61" ht="41.5" customHeight="1" x14ac:dyDescent="0.35">
      <c r="A21" s="5">
        <v>11</v>
      </c>
      <c r="B21" s="26" t="str">
        <f>'8'!B21</f>
        <v>بجيرم</v>
      </c>
      <c r="C21" s="26">
        <f>'8'!C21</f>
        <v>1782</v>
      </c>
      <c r="D21" s="26"/>
      <c r="E21" s="12"/>
      <c r="F21" s="2">
        <f>E21+'8'!F21</f>
        <v>8</v>
      </c>
      <c r="G21" s="2"/>
      <c r="H21" s="2">
        <f>G21+'8'!H21</f>
        <v>406</v>
      </c>
      <c r="I21" s="2"/>
      <c r="J21" s="2">
        <f>I21+'8'!J21</f>
        <v>755</v>
      </c>
      <c r="K21" s="2"/>
      <c r="L21" s="2">
        <f>K21+'8'!L21</f>
        <v>0</v>
      </c>
      <c r="M21" s="2"/>
      <c r="N21" s="2">
        <f>M21+'8'!N21</f>
        <v>0</v>
      </c>
      <c r="O21" s="2"/>
      <c r="P21" s="2">
        <f>O21+'8'!P21</f>
        <v>0</v>
      </c>
      <c r="Q21" s="4">
        <f t="shared" si="4"/>
        <v>0</v>
      </c>
      <c r="R21" s="4">
        <f>Q21+'8'!R21</f>
        <v>1169</v>
      </c>
      <c r="S21" s="27">
        <f t="shared" si="5"/>
        <v>0.65600448933782263</v>
      </c>
      <c r="T21" s="12"/>
      <c r="U21" s="12">
        <f>T21+'8'!U21</f>
        <v>126</v>
      </c>
      <c r="V21" s="12"/>
      <c r="W21" s="12">
        <f>V21+'8'!W21</f>
        <v>44</v>
      </c>
      <c r="X21" s="12"/>
      <c r="Y21" s="12">
        <f>X21+'8'!Y21</f>
        <v>0</v>
      </c>
      <c r="AB21" s="5">
        <v>11</v>
      </c>
      <c r="AC21" s="26" t="str">
        <f>'8'!AC21</f>
        <v>بجيرم</v>
      </c>
      <c r="AD21" s="28">
        <f>'8'!AI21</f>
        <v>37</v>
      </c>
      <c r="AE21" s="3"/>
      <c r="AF21" s="28">
        <f>AE21+'8'!AF21</f>
        <v>157</v>
      </c>
      <c r="AG21" s="4"/>
      <c r="AH21" s="28">
        <f>AG21+'8'!AH21</f>
        <v>120</v>
      </c>
      <c r="AI21" s="4">
        <f t="shared" si="6"/>
        <v>37</v>
      </c>
      <c r="AJ21" s="11" t="e">
        <f t="shared" si="0"/>
        <v>#DIV/0!</v>
      </c>
      <c r="AK21" s="53">
        <f t="shared" si="1"/>
        <v>9.7416666666666671</v>
      </c>
      <c r="AW21" s="26" t="str">
        <f>'8'!AW21</f>
        <v>بجيرم</v>
      </c>
      <c r="AX21" s="12">
        <f>'8'!AX21</f>
        <v>4</v>
      </c>
      <c r="AY21" s="12">
        <f>'8'!AY21</f>
        <v>946</v>
      </c>
      <c r="AZ21" s="12"/>
      <c r="BA21" s="12"/>
      <c r="BB21" s="12">
        <f>BA21+'8'!BB21</f>
        <v>823</v>
      </c>
      <c r="BC21" s="30">
        <f t="shared" si="2"/>
        <v>0.86997885835095135</v>
      </c>
      <c r="BD21" s="12">
        <f>'8'!BD21</f>
        <v>4</v>
      </c>
      <c r="BE21" s="12">
        <f>'8'!BE21</f>
        <v>99</v>
      </c>
      <c r="BF21" s="12"/>
      <c r="BG21" s="12"/>
      <c r="BH21" s="12">
        <f>BG21+'8'!BH21</f>
        <v>99</v>
      </c>
      <c r="BI21" s="30">
        <f t="shared" si="3"/>
        <v>1</v>
      </c>
    </row>
    <row r="22" spans="1:61" ht="30" customHeight="1" x14ac:dyDescent="0.35">
      <c r="A22" s="5">
        <v>12</v>
      </c>
      <c r="B22" s="26" t="str">
        <f>'8'!B22</f>
        <v>كفر بنى غريـــان</v>
      </c>
      <c r="C22" s="26">
        <f>'8'!C22</f>
        <v>2184</v>
      </c>
      <c r="D22" s="26"/>
      <c r="E22" s="12"/>
      <c r="F22" s="2">
        <f>E22+'8'!F22</f>
        <v>12</v>
      </c>
      <c r="G22" s="2"/>
      <c r="H22" s="2">
        <f>G22+'8'!H22</f>
        <v>471</v>
      </c>
      <c r="I22" s="2"/>
      <c r="J22" s="2">
        <f>I22+'8'!J22</f>
        <v>971</v>
      </c>
      <c r="K22" s="2"/>
      <c r="L22" s="2">
        <f>K22+'8'!L22</f>
        <v>0</v>
      </c>
      <c r="M22" s="2"/>
      <c r="N22" s="2">
        <f>M22+'8'!N22</f>
        <v>0</v>
      </c>
      <c r="O22" s="2"/>
      <c r="P22" s="2">
        <f>O22+'8'!P22</f>
        <v>0</v>
      </c>
      <c r="Q22" s="4">
        <f t="shared" si="4"/>
        <v>0</v>
      </c>
      <c r="R22" s="4">
        <f>Q22+'8'!R22</f>
        <v>1454</v>
      </c>
      <c r="S22" s="27">
        <f t="shared" si="5"/>
        <v>0.66575091575091572</v>
      </c>
      <c r="T22" s="12"/>
      <c r="U22" s="12">
        <f>T22+'8'!U22</f>
        <v>174</v>
      </c>
      <c r="V22" s="12"/>
      <c r="W22" s="12">
        <f>V22+'8'!W22</f>
        <v>7</v>
      </c>
      <c r="X22" s="12"/>
      <c r="Y22" s="12">
        <f>X22+'8'!Y22</f>
        <v>0</v>
      </c>
      <c r="AB22" s="5">
        <v>12</v>
      </c>
      <c r="AC22" s="26" t="str">
        <f>'8'!AC22</f>
        <v>كفر بنى غريـــان</v>
      </c>
      <c r="AD22" s="28">
        <f>'8'!AI22</f>
        <v>42</v>
      </c>
      <c r="AE22" s="3"/>
      <c r="AF22" s="28">
        <f>AE22+'8'!AF22</f>
        <v>192</v>
      </c>
      <c r="AG22" s="4"/>
      <c r="AH22" s="28">
        <f>AG22+'8'!AH22</f>
        <v>150</v>
      </c>
      <c r="AI22" s="4">
        <f t="shared" si="6"/>
        <v>42</v>
      </c>
      <c r="AJ22" s="11" t="e">
        <f t="shared" si="0"/>
        <v>#DIV/0!</v>
      </c>
      <c r="AK22" s="53">
        <f t="shared" si="1"/>
        <v>9.6933333333333334</v>
      </c>
      <c r="AW22" s="26" t="str">
        <f>'8'!AW22</f>
        <v>كفر بنى غريـــان</v>
      </c>
      <c r="AX22" s="12">
        <f>'8'!AX22</f>
        <v>3</v>
      </c>
      <c r="AY22" s="12">
        <f>'8'!AY22</f>
        <v>1327</v>
      </c>
      <c r="AZ22" s="12"/>
      <c r="BA22" s="12"/>
      <c r="BB22" s="12">
        <f>BA22+'8'!BB22</f>
        <v>994</v>
      </c>
      <c r="BC22" s="30">
        <f t="shared" si="2"/>
        <v>0.74905802562170309</v>
      </c>
      <c r="BD22" s="12">
        <f>'8'!BD22</f>
        <v>9</v>
      </c>
      <c r="BE22" s="12">
        <f>'8'!BE22</f>
        <v>381</v>
      </c>
      <c r="BF22" s="12"/>
      <c r="BG22" s="12"/>
      <c r="BH22" s="12">
        <f>BG22+'8'!BH22</f>
        <v>387</v>
      </c>
      <c r="BI22" s="30">
        <f t="shared" si="3"/>
        <v>1.015748031496063</v>
      </c>
    </row>
    <row r="23" spans="1:61" ht="30" customHeight="1" x14ac:dyDescent="0.35">
      <c r="A23" s="5">
        <v>13</v>
      </c>
      <c r="B23" s="26" t="str">
        <f>'8'!B23</f>
        <v>بــقســـــــــــــــــا</v>
      </c>
      <c r="C23" s="26">
        <f>'8'!C23</f>
        <v>862</v>
      </c>
      <c r="D23" s="26"/>
      <c r="E23" s="12"/>
      <c r="F23" s="2">
        <f>E23+'8'!F23</f>
        <v>8</v>
      </c>
      <c r="G23" s="2"/>
      <c r="H23" s="2">
        <f>G23+'8'!H23</f>
        <v>160</v>
      </c>
      <c r="I23" s="2"/>
      <c r="J23" s="2">
        <f>I23+'8'!J23</f>
        <v>359</v>
      </c>
      <c r="K23" s="2"/>
      <c r="L23" s="2">
        <f>K23+'8'!L23</f>
        <v>0</v>
      </c>
      <c r="M23" s="2"/>
      <c r="N23" s="2">
        <f>M23+'8'!N23</f>
        <v>0</v>
      </c>
      <c r="O23" s="2"/>
      <c r="P23" s="2">
        <f>O23+'8'!P23</f>
        <v>0</v>
      </c>
      <c r="Q23" s="4">
        <f t="shared" si="4"/>
        <v>0</v>
      </c>
      <c r="R23" s="4">
        <f>Q23+'8'!R23</f>
        <v>527</v>
      </c>
      <c r="S23" s="27">
        <f t="shared" si="5"/>
        <v>0.61136890951276102</v>
      </c>
      <c r="T23" s="12"/>
      <c r="U23" s="12">
        <f>T23+'8'!U23</f>
        <v>36</v>
      </c>
      <c r="V23" s="12"/>
      <c r="W23" s="12">
        <f>V23+'8'!W23</f>
        <v>14</v>
      </c>
      <c r="X23" s="12"/>
      <c r="Y23" s="12">
        <f>X23+'8'!Y23</f>
        <v>0</v>
      </c>
      <c r="AB23" s="5">
        <v>13</v>
      </c>
      <c r="AC23" s="26" t="str">
        <f>'8'!AC23</f>
        <v>بــقســـــــــــــــــا</v>
      </c>
      <c r="AD23" s="28">
        <f>'8'!AI23</f>
        <v>22</v>
      </c>
      <c r="AE23" s="3"/>
      <c r="AF23" s="28">
        <f>AE23+'8'!AF23</f>
        <v>75</v>
      </c>
      <c r="AG23" s="4"/>
      <c r="AH23" s="28">
        <f>AG23+'8'!AH23</f>
        <v>53</v>
      </c>
      <c r="AI23" s="4">
        <f t="shared" si="6"/>
        <v>22</v>
      </c>
      <c r="AJ23" s="11" t="e">
        <f t="shared" si="0"/>
        <v>#DIV/0!</v>
      </c>
      <c r="AK23" s="53">
        <f t="shared" si="1"/>
        <v>9.9433962264150946</v>
      </c>
      <c r="AW23" s="26" t="str">
        <f>'8'!AW23</f>
        <v>بــقســـــــــــــــــا</v>
      </c>
      <c r="AX23" s="12">
        <f>'8'!AX23</f>
        <v>1</v>
      </c>
      <c r="AY23" s="12">
        <f>'8'!AY23</f>
        <v>311</v>
      </c>
      <c r="AZ23" s="12"/>
      <c r="BA23" s="12"/>
      <c r="BB23" s="12">
        <f>BA23+'8'!BB23</f>
        <v>297</v>
      </c>
      <c r="BC23" s="30">
        <f t="shared" si="2"/>
        <v>0.954983922829582</v>
      </c>
      <c r="BD23" s="12">
        <f>'8'!BD23</f>
        <v>1</v>
      </c>
      <c r="BE23" s="12">
        <f>'8'!BE23</f>
        <v>40</v>
      </c>
      <c r="BF23" s="12"/>
      <c r="BG23" s="12"/>
      <c r="BH23" s="12">
        <f>BG23+'8'!BH23</f>
        <v>30</v>
      </c>
      <c r="BI23" s="30">
        <f t="shared" si="3"/>
        <v>0.75</v>
      </c>
    </row>
    <row r="24" spans="1:61" ht="37.15" customHeight="1" x14ac:dyDescent="0.35">
      <c r="A24" s="5">
        <v>14</v>
      </c>
      <c r="B24" s="26" t="str">
        <f>'8'!B24</f>
        <v>كفــــــــر الأكرم</v>
      </c>
      <c r="C24" s="26">
        <f>'8'!C24</f>
        <v>918</v>
      </c>
      <c r="D24" s="26"/>
      <c r="E24" s="12"/>
      <c r="F24" s="2">
        <f>E24+'8'!F24</f>
        <v>3</v>
      </c>
      <c r="G24" s="2"/>
      <c r="H24" s="2">
        <f>G24+'8'!H24</f>
        <v>233</v>
      </c>
      <c r="I24" s="2"/>
      <c r="J24" s="2">
        <f>I24+'8'!J24</f>
        <v>392</v>
      </c>
      <c r="K24" s="2"/>
      <c r="L24" s="2">
        <f>K24+'8'!L24</f>
        <v>0</v>
      </c>
      <c r="M24" s="2"/>
      <c r="N24" s="2">
        <f>M24+'8'!N24</f>
        <v>0</v>
      </c>
      <c r="O24" s="2"/>
      <c r="P24" s="2">
        <f>O24+'8'!P24</f>
        <v>0</v>
      </c>
      <c r="Q24" s="4">
        <f t="shared" si="4"/>
        <v>0</v>
      </c>
      <c r="R24" s="4">
        <f>Q24+'8'!R24</f>
        <v>628</v>
      </c>
      <c r="S24" s="27">
        <f t="shared" si="5"/>
        <v>0.68409586056644878</v>
      </c>
      <c r="T24" s="12"/>
      <c r="U24" s="12">
        <f>T24+'8'!U24</f>
        <v>87</v>
      </c>
      <c r="V24" s="12"/>
      <c r="W24" s="12">
        <f>V24+'8'!W24</f>
        <v>9</v>
      </c>
      <c r="X24" s="12"/>
      <c r="Y24" s="12">
        <f>X24+'8'!Y24</f>
        <v>0</v>
      </c>
      <c r="AB24" s="5">
        <v>14</v>
      </c>
      <c r="AC24" s="26" t="str">
        <f>'8'!AC24</f>
        <v>كفــــــــر الأكرم</v>
      </c>
      <c r="AD24" s="28">
        <f>'8'!AI24</f>
        <v>15</v>
      </c>
      <c r="AE24" s="3"/>
      <c r="AF24" s="28">
        <f>AE24+'8'!AF24</f>
        <v>80</v>
      </c>
      <c r="AG24" s="4"/>
      <c r="AH24" s="28">
        <f>AG24+'8'!AH24</f>
        <v>65</v>
      </c>
      <c r="AI24" s="4">
        <f t="shared" si="6"/>
        <v>15</v>
      </c>
      <c r="AJ24" s="11" t="e">
        <f t="shared" si="0"/>
        <v>#DIV/0!</v>
      </c>
      <c r="AK24" s="53">
        <f t="shared" si="1"/>
        <v>9.661538461538461</v>
      </c>
      <c r="AW24" s="26" t="str">
        <f>'8'!AW24</f>
        <v>كفــــــــر الأكرم</v>
      </c>
      <c r="AX24" s="12">
        <f>'8'!AX24</f>
        <v>2</v>
      </c>
      <c r="AY24" s="12">
        <f>'8'!AY24</f>
        <v>540</v>
      </c>
      <c r="AZ24" s="12"/>
      <c r="BA24" s="12"/>
      <c r="BB24" s="12">
        <f>BA24+'8'!BB24</f>
        <v>380</v>
      </c>
      <c r="BC24" s="30">
        <f t="shared" si="2"/>
        <v>0.70370370370370372</v>
      </c>
      <c r="BD24" s="12">
        <f>'8'!BD24</f>
        <v>2</v>
      </c>
      <c r="BE24" s="12">
        <f>'8'!BE24</f>
        <v>115</v>
      </c>
      <c r="BF24" s="12"/>
      <c r="BG24" s="12"/>
      <c r="BH24" s="12">
        <f>BG24+'8'!BH24</f>
        <v>160</v>
      </c>
      <c r="BI24" s="30">
        <f t="shared" si="3"/>
        <v>1.3913043478260869</v>
      </c>
    </row>
    <row r="25" spans="1:61" ht="28.9" customHeight="1" x14ac:dyDescent="0.35">
      <c r="A25" s="5">
        <v>15</v>
      </c>
      <c r="B25" s="26" t="str">
        <f>'8'!B25</f>
        <v>كفـــــــــر إبنهس</v>
      </c>
      <c r="C25" s="26">
        <f>'8'!C25</f>
        <v>2072</v>
      </c>
      <c r="D25" s="26"/>
      <c r="E25" s="12"/>
      <c r="F25" s="2">
        <f>E25+'8'!F25</f>
        <v>6</v>
      </c>
      <c r="G25" s="2"/>
      <c r="H25" s="2">
        <f>G25+'8'!H25</f>
        <v>345</v>
      </c>
      <c r="I25" s="2"/>
      <c r="J25" s="2">
        <f>I25+'8'!J25</f>
        <v>974</v>
      </c>
      <c r="K25" s="2"/>
      <c r="L25" s="2">
        <f>K25+'8'!L25</f>
        <v>0</v>
      </c>
      <c r="M25" s="2"/>
      <c r="N25" s="2">
        <f>M25+'8'!N25</f>
        <v>0</v>
      </c>
      <c r="O25" s="2"/>
      <c r="P25" s="2">
        <f>O25+'8'!P25</f>
        <v>0</v>
      </c>
      <c r="Q25" s="4">
        <f t="shared" si="4"/>
        <v>0</v>
      </c>
      <c r="R25" s="4">
        <f>Q25+'8'!R25</f>
        <v>1325</v>
      </c>
      <c r="S25" s="27">
        <f t="shared" si="5"/>
        <v>0.63947876447876451</v>
      </c>
      <c r="T25" s="12"/>
      <c r="U25" s="12">
        <f>T25+'8'!U25</f>
        <v>173</v>
      </c>
      <c r="V25" s="12"/>
      <c r="W25" s="12">
        <f>V25+'8'!W25</f>
        <v>50</v>
      </c>
      <c r="X25" s="12"/>
      <c r="Y25" s="12">
        <f>X25+'8'!Y25</f>
        <v>0</v>
      </c>
      <c r="AB25" s="5">
        <v>15</v>
      </c>
      <c r="AC25" s="26" t="str">
        <f>'8'!AC25</f>
        <v>كفـــــــــر إبنهس</v>
      </c>
      <c r="AD25" s="28">
        <f>'8'!AI25</f>
        <v>31</v>
      </c>
      <c r="AE25" s="3"/>
      <c r="AF25" s="28">
        <f>AE25+'8'!AF25</f>
        <v>180</v>
      </c>
      <c r="AG25" s="4"/>
      <c r="AH25" s="28">
        <f>AG25+'8'!AH25</f>
        <v>149</v>
      </c>
      <c r="AI25" s="4">
        <f t="shared" si="6"/>
        <v>31</v>
      </c>
      <c r="AJ25" s="11" t="e">
        <f t="shared" si="0"/>
        <v>#DIV/0!</v>
      </c>
      <c r="AK25" s="53">
        <f t="shared" si="1"/>
        <v>8.8926174496644297</v>
      </c>
      <c r="AW25" s="26" t="str">
        <f>'8'!AW25</f>
        <v>كفـــــــــر إبنهس</v>
      </c>
      <c r="AX25" s="12">
        <f>'8'!AX25</f>
        <v>3</v>
      </c>
      <c r="AY25" s="12">
        <f>'8'!AY25</f>
        <v>1013</v>
      </c>
      <c r="AZ25" s="12"/>
      <c r="BA25" s="12"/>
      <c r="BB25" s="12">
        <f>BA25+'8'!BB25</f>
        <v>838</v>
      </c>
      <c r="BC25" s="30">
        <f t="shared" si="2"/>
        <v>0.82724580454096741</v>
      </c>
      <c r="BD25" s="12">
        <f>'8'!BD25</f>
        <v>4</v>
      </c>
      <c r="BE25" s="12">
        <f>'8'!BE25</f>
        <v>620</v>
      </c>
      <c r="BF25" s="12"/>
      <c r="BG25" s="12"/>
      <c r="BH25" s="12">
        <f>BG25+'8'!BH25</f>
        <v>507</v>
      </c>
      <c r="BI25" s="30">
        <f t="shared" si="3"/>
        <v>0.81774193548387097</v>
      </c>
    </row>
    <row r="26" spans="1:61" ht="28.9" customHeight="1" x14ac:dyDescent="0.35">
      <c r="A26" s="5">
        <v>16</v>
      </c>
      <c r="B26" s="26" t="str">
        <f>'8'!B26</f>
        <v>الرمــــــــــــــالى</v>
      </c>
      <c r="C26" s="26">
        <f>'8'!C26</f>
        <v>2699</v>
      </c>
      <c r="D26" s="26"/>
      <c r="E26" s="12"/>
      <c r="F26" s="2">
        <f>E26+'8'!F26</f>
        <v>27</v>
      </c>
      <c r="G26" s="2"/>
      <c r="H26" s="2">
        <f>G26+'8'!H26</f>
        <v>312</v>
      </c>
      <c r="I26" s="2"/>
      <c r="J26" s="2">
        <f>I26+'8'!J26</f>
        <v>993</v>
      </c>
      <c r="K26" s="2"/>
      <c r="L26" s="2">
        <f>K26+'8'!L26</f>
        <v>0</v>
      </c>
      <c r="M26" s="2"/>
      <c r="N26" s="2">
        <f>M26+'8'!N26</f>
        <v>0</v>
      </c>
      <c r="O26" s="2"/>
      <c r="P26" s="2">
        <f>O26+'8'!P26</f>
        <v>0</v>
      </c>
      <c r="Q26" s="4">
        <f t="shared" si="4"/>
        <v>0</v>
      </c>
      <c r="R26" s="4">
        <f>Q26+'8'!R26</f>
        <v>1332</v>
      </c>
      <c r="S26" s="27">
        <f t="shared" si="5"/>
        <v>0.49351611708040016</v>
      </c>
      <c r="T26" s="12"/>
      <c r="U26" s="12">
        <f>T26+'8'!U26</f>
        <v>114</v>
      </c>
      <c r="V26" s="12"/>
      <c r="W26" s="12">
        <f>V26+'8'!W26</f>
        <v>108</v>
      </c>
      <c r="X26" s="12"/>
      <c r="Y26" s="12">
        <f>X26+'8'!Y26</f>
        <v>1</v>
      </c>
      <c r="Z26" s="38"/>
      <c r="AB26" s="5">
        <v>16</v>
      </c>
      <c r="AC26" s="26" t="str">
        <f>'8'!AC26</f>
        <v>الرمــــــــــــــالى</v>
      </c>
      <c r="AD26" s="28">
        <f>'8'!AI26</f>
        <v>96</v>
      </c>
      <c r="AE26" s="3"/>
      <c r="AF26" s="28">
        <f>AE26+'8'!AF26</f>
        <v>235</v>
      </c>
      <c r="AG26" s="4"/>
      <c r="AH26" s="28">
        <f>AG26+'8'!AH26</f>
        <v>139</v>
      </c>
      <c r="AI26" s="4">
        <f t="shared" si="6"/>
        <v>96</v>
      </c>
      <c r="AJ26" s="11" t="e">
        <f t="shared" si="0"/>
        <v>#DIV/0!</v>
      </c>
      <c r="AK26" s="53">
        <f t="shared" si="1"/>
        <v>9.5827338129496411</v>
      </c>
      <c r="AV26" s="38"/>
      <c r="AW26" s="26" t="str">
        <f>'8'!AW26</f>
        <v>الرمــــــــــــــالى</v>
      </c>
      <c r="AX26" s="12">
        <f>'8'!AX26</f>
        <v>3</v>
      </c>
      <c r="AY26" s="12">
        <f>'8'!AY26</f>
        <v>1486</v>
      </c>
      <c r="AZ26" s="12"/>
      <c r="BA26" s="12"/>
      <c r="BB26" s="12">
        <f>BA26+'8'!BB26</f>
        <v>1149</v>
      </c>
      <c r="BC26" s="30">
        <f t="shared" si="2"/>
        <v>0.77321668909825036</v>
      </c>
      <c r="BD26" s="12">
        <f>'8'!BD26</f>
        <v>3</v>
      </c>
      <c r="BE26" s="12">
        <f>'8'!BE26</f>
        <v>98</v>
      </c>
      <c r="BF26" s="12"/>
      <c r="BG26" s="12"/>
      <c r="BH26" s="12">
        <f>BG26+'8'!BH26</f>
        <v>0</v>
      </c>
      <c r="BI26" s="30">
        <f t="shared" si="3"/>
        <v>0</v>
      </c>
    </row>
    <row r="27" spans="1:61" ht="28.9" customHeight="1" x14ac:dyDescent="0.35">
      <c r="A27" s="5">
        <v>17</v>
      </c>
      <c r="B27" s="26" t="str">
        <f>'8'!B27</f>
        <v>مصطــــــــــــاى</v>
      </c>
      <c r="C27" s="26">
        <f>'8'!C27</f>
        <v>2666</v>
      </c>
      <c r="D27" s="26"/>
      <c r="E27" s="12"/>
      <c r="F27" s="2">
        <f>E27+'8'!F27</f>
        <v>54</v>
      </c>
      <c r="G27" s="2"/>
      <c r="H27" s="2">
        <f>G27+'8'!H27</f>
        <v>364</v>
      </c>
      <c r="I27" s="2"/>
      <c r="J27" s="2">
        <f>I27+'8'!J27</f>
        <v>1154</v>
      </c>
      <c r="K27" s="2"/>
      <c r="L27" s="2">
        <f>K27+'8'!L27</f>
        <v>0</v>
      </c>
      <c r="M27" s="2"/>
      <c r="N27" s="2">
        <f>M27+'8'!N27</f>
        <v>0</v>
      </c>
      <c r="O27" s="2"/>
      <c r="P27" s="2">
        <f>O27+'8'!P27</f>
        <v>0</v>
      </c>
      <c r="Q27" s="4">
        <f t="shared" si="4"/>
        <v>0</v>
      </c>
      <c r="R27" s="4">
        <f>Q27+'8'!R27</f>
        <v>1572</v>
      </c>
      <c r="S27" s="27">
        <f t="shared" si="5"/>
        <v>0.58964741185296321</v>
      </c>
      <c r="T27" s="12"/>
      <c r="U27" s="12">
        <f>T27+'8'!U27</f>
        <v>45</v>
      </c>
      <c r="V27" s="12"/>
      <c r="W27" s="12">
        <f>V27+'8'!W27</f>
        <v>15</v>
      </c>
      <c r="X27" s="12"/>
      <c r="Y27" s="12">
        <f>X27+'8'!Y27</f>
        <v>0</v>
      </c>
      <c r="AB27" s="5">
        <v>17</v>
      </c>
      <c r="AC27" s="26" t="str">
        <f>'8'!AC27</f>
        <v>مصطــــــــــــاى</v>
      </c>
      <c r="AD27" s="28">
        <f>'8'!AI27</f>
        <v>74</v>
      </c>
      <c r="AE27" s="3"/>
      <c r="AF27" s="28">
        <f>AE27+'8'!AF27</f>
        <v>234</v>
      </c>
      <c r="AG27" s="4"/>
      <c r="AH27" s="28">
        <f>AG27+'8'!AH27</f>
        <v>160</v>
      </c>
      <c r="AI27" s="4">
        <f t="shared" si="6"/>
        <v>74</v>
      </c>
      <c r="AJ27" s="11" t="e">
        <f t="shared" si="0"/>
        <v>#DIV/0!</v>
      </c>
      <c r="AK27" s="53">
        <f t="shared" si="1"/>
        <v>9.8249999999999993</v>
      </c>
      <c r="AW27" s="26" t="str">
        <f>'8'!AW27</f>
        <v>مصطــــــــــــاى</v>
      </c>
      <c r="AX27" s="12">
        <f>'8'!AX27</f>
        <v>3</v>
      </c>
      <c r="AY27" s="12">
        <f>'8'!AY27</f>
        <v>1709</v>
      </c>
      <c r="AZ27" s="12"/>
      <c r="BA27" s="12"/>
      <c r="BB27" s="12">
        <f>BA27+'8'!BB27</f>
        <v>1252</v>
      </c>
      <c r="BC27" s="30">
        <f t="shared" si="2"/>
        <v>0.73259215915740195</v>
      </c>
      <c r="BD27" s="12">
        <f>'8'!BD27</f>
        <v>6</v>
      </c>
      <c r="BE27" s="12">
        <f>'8'!BE27</f>
        <v>696</v>
      </c>
      <c r="BF27" s="12"/>
      <c r="BG27" s="12"/>
      <c r="BH27" s="12">
        <f>BG27+'8'!BH27</f>
        <v>120</v>
      </c>
      <c r="BI27" s="30">
        <f t="shared" si="3"/>
        <v>0.17241379310344829</v>
      </c>
    </row>
    <row r="28" spans="1:61" ht="28.9" customHeight="1" x14ac:dyDescent="0.35">
      <c r="A28" s="5">
        <v>18</v>
      </c>
      <c r="B28" s="26" t="str">
        <f>'8'!B28</f>
        <v>كفر طـــــــه شبرا</v>
      </c>
      <c r="C28" s="26">
        <f>'8'!C28</f>
        <v>1795</v>
      </c>
      <c r="D28" s="26"/>
      <c r="E28" s="12"/>
      <c r="F28" s="2">
        <f>E28+'8'!F28</f>
        <v>8</v>
      </c>
      <c r="G28" s="2"/>
      <c r="H28" s="2">
        <f>G28+'8'!H28</f>
        <v>294</v>
      </c>
      <c r="I28" s="2"/>
      <c r="J28" s="2">
        <f>I28+'8'!J28</f>
        <v>940</v>
      </c>
      <c r="K28" s="2"/>
      <c r="L28" s="2">
        <f>K28+'8'!L28</f>
        <v>0</v>
      </c>
      <c r="M28" s="2"/>
      <c r="N28" s="2">
        <f>M28+'8'!N28</f>
        <v>0</v>
      </c>
      <c r="O28" s="2"/>
      <c r="P28" s="2">
        <f>O28+'8'!P28</f>
        <v>0</v>
      </c>
      <c r="Q28" s="4">
        <f t="shared" si="4"/>
        <v>0</v>
      </c>
      <c r="R28" s="4">
        <f>Q28+'8'!R28</f>
        <v>1242</v>
      </c>
      <c r="S28" s="27">
        <f t="shared" si="5"/>
        <v>0.69192200557103067</v>
      </c>
      <c r="T28" s="12"/>
      <c r="U28" s="12">
        <f>T28+'8'!U28</f>
        <v>136</v>
      </c>
      <c r="V28" s="12"/>
      <c r="W28" s="12">
        <f>V28+'8'!W28</f>
        <v>33</v>
      </c>
      <c r="X28" s="12"/>
      <c r="Y28" s="12">
        <f>X28+'8'!Y28</f>
        <v>0</v>
      </c>
      <c r="AB28" s="5">
        <v>18</v>
      </c>
      <c r="AC28" s="26" t="str">
        <f>'8'!AC28</f>
        <v>كفر طـــــــه شبرا</v>
      </c>
      <c r="AD28" s="28">
        <f>'8'!AI28</f>
        <v>28</v>
      </c>
      <c r="AE28" s="3"/>
      <c r="AF28" s="28">
        <f>AE28+'8'!AF28</f>
        <v>158</v>
      </c>
      <c r="AG28" s="4"/>
      <c r="AH28" s="28">
        <f>AG28+'8'!AH28</f>
        <v>130</v>
      </c>
      <c r="AI28" s="4">
        <f t="shared" si="6"/>
        <v>28</v>
      </c>
      <c r="AJ28" s="11" t="e">
        <f t="shared" si="0"/>
        <v>#DIV/0!</v>
      </c>
      <c r="AK28" s="53">
        <f t="shared" si="1"/>
        <v>9.5538461538461537</v>
      </c>
      <c r="AW28" s="26" t="str">
        <f>'8'!AW28</f>
        <v>كفر طـــــــه شبرا</v>
      </c>
      <c r="AX28" s="12">
        <f>'8'!AX28</f>
        <v>4</v>
      </c>
      <c r="AY28" s="12">
        <f>'8'!AY28</f>
        <v>948</v>
      </c>
      <c r="AZ28" s="12"/>
      <c r="BA28" s="12"/>
      <c r="BB28" s="12">
        <f>BA28+'8'!BB28</f>
        <v>827</v>
      </c>
      <c r="BC28" s="30">
        <f t="shared" si="2"/>
        <v>0.87236286919831219</v>
      </c>
      <c r="BD28" s="12">
        <f>'8'!BD28</f>
        <v>7</v>
      </c>
      <c r="BE28" s="12">
        <f>'8'!BE28</f>
        <v>300</v>
      </c>
      <c r="BF28" s="12"/>
      <c r="BG28" s="12"/>
      <c r="BH28" s="12">
        <f>BG28+'8'!BH28</f>
        <v>403</v>
      </c>
      <c r="BI28" s="30">
        <f t="shared" si="3"/>
        <v>1.3433333333333333</v>
      </c>
    </row>
    <row r="29" spans="1:61" ht="28.9" customHeight="1" x14ac:dyDescent="0.35">
      <c r="A29" s="5">
        <v>19</v>
      </c>
      <c r="B29" s="26" t="str">
        <f>'8'!B29</f>
        <v>كفر أبـــو الحسن</v>
      </c>
      <c r="C29" s="26">
        <f>'8'!C29</f>
        <v>1397</v>
      </c>
      <c r="D29" s="26"/>
      <c r="E29" s="12"/>
      <c r="F29" s="2">
        <f>E29+'8'!F29</f>
        <v>4</v>
      </c>
      <c r="G29" s="2"/>
      <c r="H29" s="2">
        <f>G29+'8'!H29</f>
        <v>238</v>
      </c>
      <c r="I29" s="2"/>
      <c r="J29" s="2">
        <f>I29+'8'!J29</f>
        <v>841</v>
      </c>
      <c r="K29" s="2"/>
      <c r="L29" s="2">
        <f>K29+'8'!L29</f>
        <v>0</v>
      </c>
      <c r="M29" s="2"/>
      <c r="N29" s="2">
        <f>M29+'8'!N29</f>
        <v>0</v>
      </c>
      <c r="O29" s="2"/>
      <c r="P29" s="2">
        <f>O29+'8'!P29</f>
        <v>0</v>
      </c>
      <c r="Q29" s="4">
        <f t="shared" si="4"/>
        <v>0</v>
      </c>
      <c r="R29" s="4">
        <f>Q29+'8'!R29</f>
        <v>1083</v>
      </c>
      <c r="S29" s="27">
        <f t="shared" si="5"/>
        <v>0.77523264137437364</v>
      </c>
      <c r="T29" s="12"/>
      <c r="U29" s="12">
        <f>T29+'8'!U29</f>
        <v>205</v>
      </c>
      <c r="V29" s="12"/>
      <c r="W29" s="12">
        <f>V29+'8'!W29</f>
        <v>18</v>
      </c>
      <c r="X29" s="12"/>
      <c r="Y29" s="12">
        <f>X29+'8'!Y29</f>
        <v>0</v>
      </c>
      <c r="AB29" s="5">
        <v>19</v>
      </c>
      <c r="AC29" s="26" t="str">
        <f>'8'!AC29</f>
        <v>كفر أبـــو الحسن</v>
      </c>
      <c r="AD29" s="28">
        <f>'8'!AI29</f>
        <v>22</v>
      </c>
      <c r="AE29" s="3"/>
      <c r="AF29" s="28">
        <f>AE29+'8'!AF29</f>
        <v>133</v>
      </c>
      <c r="AG29" s="4"/>
      <c r="AH29" s="28">
        <f>AG29+'8'!AH29</f>
        <v>111</v>
      </c>
      <c r="AI29" s="4">
        <f t="shared" si="6"/>
        <v>22</v>
      </c>
      <c r="AJ29" s="11" t="e">
        <f t="shared" si="0"/>
        <v>#DIV/0!</v>
      </c>
      <c r="AK29" s="53">
        <f t="shared" si="1"/>
        <v>9.7567567567567561</v>
      </c>
      <c r="AW29" s="26" t="str">
        <f>'8'!AW29</f>
        <v>كفر أبـــو الحسن</v>
      </c>
      <c r="AX29" s="12">
        <f>'8'!AX29</f>
        <v>3</v>
      </c>
      <c r="AY29" s="12">
        <f>'8'!AY29</f>
        <v>912</v>
      </c>
      <c r="AZ29" s="12"/>
      <c r="BA29" s="12"/>
      <c r="BB29" s="12">
        <f>BA29+'8'!BB29</f>
        <v>760</v>
      </c>
      <c r="BC29" s="30">
        <f t="shared" si="2"/>
        <v>0.83333333333333337</v>
      </c>
      <c r="BD29" s="12">
        <f>'8'!BD29</f>
        <v>9</v>
      </c>
      <c r="BE29" s="12">
        <f>'8'!BE29</f>
        <v>258</v>
      </c>
      <c r="BF29" s="12"/>
      <c r="BG29" s="12"/>
      <c r="BH29" s="12">
        <f>BG29+'8'!BH29</f>
        <v>351</v>
      </c>
      <c r="BI29" s="30">
        <f t="shared" si="3"/>
        <v>1.3604651162790697</v>
      </c>
    </row>
    <row r="30" spans="1:61" ht="28.9" customHeight="1" x14ac:dyDescent="0.35">
      <c r="A30" s="5">
        <v>20</v>
      </c>
      <c r="B30" s="26" t="str">
        <f>'8'!B30</f>
        <v>ميت أبـــــوشيخه</v>
      </c>
      <c r="C30" s="26">
        <f>'8'!C30</f>
        <v>1134</v>
      </c>
      <c r="D30" s="26"/>
      <c r="E30" s="12"/>
      <c r="F30" s="2">
        <f>E30+'8'!F30</f>
        <v>10</v>
      </c>
      <c r="G30" s="2"/>
      <c r="H30" s="2">
        <f>G30+'8'!H30</f>
        <v>144</v>
      </c>
      <c r="I30" s="2"/>
      <c r="J30" s="2">
        <f>I30+'8'!J30</f>
        <v>435</v>
      </c>
      <c r="K30" s="2"/>
      <c r="L30" s="2">
        <f>K30+'8'!L30</f>
        <v>0</v>
      </c>
      <c r="M30" s="2"/>
      <c r="N30" s="2">
        <f>M30+'8'!N30</f>
        <v>0</v>
      </c>
      <c r="O30" s="2"/>
      <c r="P30" s="2">
        <f>O30+'8'!P30</f>
        <v>0</v>
      </c>
      <c r="Q30" s="4">
        <f t="shared" si="4"/>
        <v>0</v>
      </c>
      <c r="R30" s="4">
        <f>Q30+'8'!R30</f>
        <v>589</v>
      </c>
      <c r="S30" s="27">
        <f t="shared" si="5"/>
        <v>0.51940035273368612</v>
      </c>
      <c r="T30" s="12"/>
      <c r="U30" s="12">
        <f>T30+'8'!U30</f>
        <v>68</v>
      </c>
      <c r="V30" s="12"/>
      <c r="W30" s="12">
        <f>V30+'8'!W30</f>
        <v>10</v>
      </c>
      <c r="X30" s="12"/>
      <c r="Y30" s="12">
        <f>X30+'8'!Y30</f>
        <v>0</v>
      </c>
      <c r="AB30" s="5">
        <v>20</v>
      </c>
      <c r="AC30" s="26" t="str">
        <f>'8'!AC30</f>
        <v>ميت أبـــــوشيخه</v>
      </c>
      <c r="AD30" s="28">
        <f>'8'!AI30</f>
        <v>40</v>
      </c>
      <c r="AE30" s="3"/>
      <c r="AF30" s="28">
        <f>AE30+'8'!AF30</f>
        <v>100</v>
      </c>
      <c r="AG30" s="4"/>
      <c r="AH30" s="28">
        <f>AG30+'8'!AH30</f>
        <v>60</v>
      </c>
      <c r="AI30" s="4">
        <f t="shared" si="6"/>
        <v>40</v>
      </c>
      <c r="AJ30" s="11" t="e">
        <f t="shared" si="0"/>
        <v>#DIV/0!</v>
      </c>
      <c r="AK30" s="53">
        <f t="shared" si="1"/>
        <v>9.8166666666666664</v>
      </c>
      <c r="AW30" s="26" t="str">
        <f>'8'!AW30</f>
        <v>ميت أبـــــوشيخه</v>
      </c>
      <c r="AX30" s="12">
        <f>'8'!AX30</f>
        <v>2</v>
      </c>
      <c r="AY30" s="12">
        <f>'8'!AY30</f>
        <v>560</v>
      </c>
      <c r="AZ30" s="12"/>
      <c r="BA30" s="12"/>
      <c r="BB30" s="12">
        <f>BA30+'8'!BB30</f>
        <v>459</v>
      </c>
      <c r="BC30" s="30">
        <f t="shared" si="2"/>
        <v>0.81964285714285712</v>
      </c>
      <c r="BD30" s="12">
        <f>'8'!BD30</f>
        <v>2</v>
      </c>
      <c r="BE30" s="12">
        <f>'8'!BE30</f>
        <v>107</v>
      </c>
      <c r="BF30" s="12"/>
      <c r="BG30" s="12"/>
      <c r="BH30" s="12">
        <f>BG30+'8'!BH30</f>
        <v>85</v>
      </c>
      <c r="BI30" s="30">
        <f t="shared" si="3"/>
        <v>0.79439252336448596</v>
      </c>
    </row>
    <row r="31" spans="1:61" ht="28.9" customHeight="1" x14ac:dyDescent="0.35">
      <c r="A31" s="5">
        <v>21</v>
      </c>
      <c r="B31" s="26" t="str">
        <f>'8'!B31</f>
        <v>طــــــــــــه شبرا</v>
      </c>
      <c r="C31" s="26">
        <f>'8'!C31</f>
        <v>5149</v>
      </c>
      <c r="D31" s="26"/>
      <c r="E31" s="12"/>
      <c r="F31" s="2">
        <f>E31+'8'!F31</f>
        <v>22</v>
      </c>
      <c r="G31" s="2"/>
      <c r="H31" s="2">
        <f>G31+'8'!H31</f>
        <v>967</v>
      </c>
      <c r="I31" s="2"/>
      <c r="J31" s="2">
        <f>I31+'8'!J31</f>
        <v>1288</v>
      </c>
      <c r="K31" s="2"/>
      <c r="L31" s="2">
        <f>K31+'8'!L31</f>
        <v>0</v>
      </c>
      <c r="M31" s="2"/>
      <c r="N31" s="2">
        <f>M31+'8'!N31</f>
        <v>0</v>
      </c>
      <c r="O31" s="2"/>
      <c r="P31" s="2">
        <f>O31+'8'!P31</f>
        <v>0</v>
      </c>
      <c r="Q31" s="4">
        <f t="shared" si="4"/>
        <v>0</v>
      </c>
      <c r="R31" s="4">
        <f>Q31+'8'!R31</f>
        <v>2277</v>
      </c>
      <c r="S31" s="27">
        <f t="shared" si="5"/>
        <v>0.442221790638959</v>
      </c>
      <c r="T31" s="12"/>
      <c r="U31" s="12">
        <f>T31+'8'!U31</f>
        <v>277</v>
      </c>
      <c r="V31" s="12"/>
      <c r="W31" s="12">
        <f>V31+'8'!W31</f>
        <v>3</v>
      </c>
      <c r="X31" s="12"/>
      <c r="Y31" s="12">
        <f>X31+'8'!Y31</f>
        <v>0</v>
      </c>
      <c r="AB31" s="5">
        <v>21</v>
      </c>
      <c r="AC31" s="26" t="str">
        <f>'8'!AC31</f>
        <v>طــــــــــــه شبرا</v>
      </c>
      <c r="AD31" s="28">
        <f>'8'!AI31</f>
        <v>216</v>
      </c>
      <c r="AE31" s="3"/>
      <c r="AF31" s="28">
        <f>AE31+'8'!AF31</f>
        <v>452</v>
      </c>
      <c r="AG31" s="4"/>
      <c r="AH31" s="28">
        <f>AG31+'8'!AH31</f>
        <v>236</v>
      </c>
      <c r="AI31" s="4">
        <f t="shared" si="6"/>
        <v>216</v>
      </c>
      <c r="AJ31" s="11" t="e">
        <f t="shared" si="0"/>
        <v>#DIV/0!</v>
      </c>
      <c r="AK31" s="53">
        <f t="shared" si="1"/>
        <v>9.648305084745763</v>
      </c>
      <c r="AW31" s="26" t="str">
        <f>'8'!AW31</f>
        <v>طــــــــــــه شبرا</v>
      </c>
      <c r="AX31" s="12">
        <f>'8'!AX31</f>
        <v>6</v>
      </c>
      <c r="AY31" s="12">
        <f>'8'!AY31</f>
        <v>2219</v>
      </c>
      <c r="AZ31" s="12"/>
      <c r="BA31" s="12"/>
      <c r="BB31" s="12">
        <f>BA31+'8'!BB31</f>
        <v>1367</v>
      </c>
      <c r="BC31" s="30">
        <f t="shared" si="2"/>
        <v>0.61604326273095988</v>
      </c>
      <c r="BD31" s="12">
        <f>'8'!BD31</f>
        <v>8</v>
      </c>
      <c r="BE31" s="12">
        <f>'8'!BE31</f>
        <v>748</v>
      </c>
      <c r="BF31" s="12"/>
      <c r="BG31" s="12"/>
      <c r="BH31" s="12">
        <f>BG31+'8'!BH31</f>
        <v>690</v>
      </c>
      <c r="BI31" s="30">
        <f t="shared" si="3"/>
        <v>0.92245989304812837</v>
      </c>
    </row>
    <row r="32" spans="1:61" ht="28.9" customHeight="1" x14ac:dyDescent="0.35">
      <c r="A32" s="5">
        <v>22</v>
      </c>
      <c r="B32" s="26" t="str">
        <f>'8'!B32</f>
        <v>أشـــــــــــــــــليم</v>
      </c>
      <c r="C32" s="26">
        <f>'8'!C32</f>
        <v>2638</v>
      </c>
      <c r="D32" s="26"/>
      <c r="E32" s="12"/>
      <c r="F32" s="2">
        <f>E32+'8'!F32</f>
        <v>19</v>
      </c>
      <c r="G32" s="2"/>
      <c r="H32" s="2">
        <f>G32+'8'!H32</f>
        <v>606</v>
      </c>
      <c r="I32" s="2"/>
      <c r="J32" s="2">
        <f>I32+'8'!J32</f>
        <v>1522</v>
      </c>
      <c r="K32" s="2"/>
      <c r="L32" s="2">
        <f>K32+'8'!L32</f>
        <v>0</v>
      </c>
      <c r="M32" s="2"/>
      <c r="N32" s="2">
        <f>M32+'8'!N32</f>
        <v>0</v>
      </c>
      <c r="O32" s="2"/>
      <c r="P32" s="2">
        <f>O32+'8'!P32</f>
        <v>0</v>
      </c>
      <c r="Q32" s="4">
        <f t="shared" si="4"/>
        <v>0</v>
      </c>
      <c r="R32" s="4">
        <f>Q32+'8'!R32</f>
        <v>2147</v>
      </c>
      <c r="S32" s="27">
        <f t="shared" si="5"/>
        <v>0.81387414708112205</v>
      </c>
      <c r="T32" s="12"/>
      <c r="U32" s="12">
        <f>T32+'8'!U32</f>
        <v>149</v>
      </c>
      <c r="V32" s="12"/>
      <c r="W32" s="12">
        <f>V32+'8'!W32</f>
        <v>119</v>
      </c>
      <c r="X32" s="12"/>
      <c r="Y32" s="12">
        <f>X32+'8'!Y32</f>
        <v>0</v>
      </c>
      <c r="AB32" s="5">
        <v>22</v>
      </c>
      <c r="AC32" s="26" t="str">
        <f>'8'!AC32</f>
        <v>أشـــــــــــــــــليم</v>
      </c>
      <c r="AD32" s="28">
        <f>'8'!AI32</f>
        <v>31</v>
      </c>
      <c r="AE32" s="3"/>
      <c r="AF32" s="28">
        <f>AE32+'8'!AF32</f>
        <v>252</v>
      </c>
      <c r="AG32" s="4"/>
      <c r="AH32" s="28">
        <f>AG32+'8'!AH32</f>
        <v>221</v>
      </c>
      <c r="AI32" s="4">
        <f t="shared" si="6"/>
        <v>31</v>
      </c>
      <c r="AJ32" s="11" t="e">
        <f t="shared" si="0"/>
        <v>#DIV/0!</v>
      </c>
      <c r="AK32" s="53">
        <f t="shared" si="1"/>
        <v>9.7149321266968318</v>
      </c>
      <c r="AW32" s="26" t="str">
        <f>'8'!AW32</f>
        <v>أشـــــــــــــــــليم</v>
      </c>
      <c r="AX32" s="12">
        <f>'8'!AX32</f>
        <v>8</v>
      </c>
      <c r="AY32" s="12">
        <f>'8'!AY32</f>
        <v>1819</v>
      </c>
      <c r="AZ32" s="12"/>
      <c r="BA32" s="12"/>
      <c r="BB32" s="12">
        <f>BA32+'8'!BB32</f>
        <v>1506</v>
      </c>
      <c r="BC32" s="30">
        <f t="shared" si="2"/>
        <v>0.82792743265530511</v>
      </c>
      <c r="BD32" s="12">
        <f>'8'!BD32</f>
        <v>7</v>
      </c>
      <c r="BE32" s="12">
        <f>'8'!BE32</f>
        <v>176</v>
      </c>
      <c r="BF32" s="12"/>
      <c r="BG32" s="12"/>
      <c r="BH32" s="12">
        <f>BG32+'8'!BH32</f>
        <v>531</v>
      </c>
      <c r="BI32" s="30">
        <f t="shared" si="3"/>
        <v>3.0170454545454546</v>
      </c>
    </row>
    <row r="33" spans="1:61" ht="28.9" customHeight="1" x14ac:dyDescent="0.35">
      <c r="A33" s="5">
        <v>23</v>
      </c>
      <c r="B33" s="26" t="str">
        <f>'8'!B33</f>
        <v>شبرا قبالــــــــــه</v>
      </c>
      <c r="C33" s="26">
        <f>'8'!C33</f>
        <v>2050</v>
      </c>
      <c r="D33" s="26"/>
      <c r="E33" s="12"/>
      <c r="F33" s="2">
        <f>E33+'8'!F33</f>
        <v>23</v>
      </c>
      <c r="G33" s="2"/>
      <c r="H33" s="2">
        <f>G33+'8'!H33</f>
        <v>644</v>
      </c>
      <c r="I33" s="2"/>
      <c r="J33" s="2">
        <f>I33+'8'!J33</f>
        <v>773</v>
      </c>
      <c r="K33" s="2"/>
      <c r="L33" s="2">
        <f>K33+'8'!L33</f>
        <v>0</v>
      </c>
      <c r="M33" s="2"/>
      <c r="N33" s="2">
        <f>M33+'8'!N33</f>
        <v>0</v>
      </c>
      <c r="O33" s="2"/>
      <c r="P33" s="2">
        <f>O33+'8'!P33</f>
        <v>0</v>
      </c>
      <c r="Q33" s="4">
        <f t="shared" si="4"/>
        <v>0</v>
      </c>
      <c r="R33" s="4">
        <f>Q33+'8'!R33</f>
        <v>1440</v>
      </c>
      <c r="S33" s="27">
        <f t="shared" si="5"/>
        <v>0.70243902439024386</v>
      </c>
      <c r="T33" s="12"/>
      <c r="U33" s="12">
        <f>T33+'8'!U33</f>
        <v>96</v>
      </c>
      <c r="V33" s="12"/>
      <c r="W33" s="12">
        <f>V33+'8'!W33</f>
        <v>64</v>
      </c>
      <c r="X33" s="12"/>
      <c r="Y33" s="12">
        <f>X33+'8'!Y33</f>
        <v>0</v>
      </c>
      <c r="AB33" s="5">
        <v>23</v>
      </c>
      <c r="AC33" s="26" t="str">
        <f>'8'!AC33</f>
        <v>شبرا قبالــــــــــه</v>
      </c>
      <c r="AD33" s="28">
        <f>'8'!AI33</f>
        <v>36</v>
      </c>
      <c r="AE33" s="3"/>
      <c r="AF33" s="28">
        <f>AE33+'8'!AF33</f>
        <v>180</v>
      </c>
      <c r="AG33" s="4"/>
      <c r="AH33" s="28">
        <f>AG33+'8'!AH33</f>
        <v>144</v>
      </c>
      <c r="AI33" s="4">
        <f t="shared" si="6"/>
        <v>36</v>
      </c>
      <c r="AJ33" s="11" t="e">
        <f t="shared" si="0"/>
        <v>#DIV/0!</v>
      </c>
      <c r="AK33" s="53">
        <f t="shared" si="1"/>
        <v>10</v>
      </c>
      <c r="AW33" s="26" t="str">
        <f>'8'!AW33</f>
        <v>شبرا قبالــــــــــه</v>
      </c>
      <c r="AX33" s="12">
        <f>'8'!AX33</f>
        <v>1</v>
      </c>
      <c r="AY33" s="12">
        <f>'8'!AY33</f>
        <v>918</v>
      </c>
      <c r="AZ33" s="12"/>
      <c r="BA33" s="12"/>
      <c r="BB33" s="12">
        <f>BA33+'8'!BB33</f>
        <v>780</v>
      </c>
      <c r="BC33" s="30">
        <f t="shared" si="2"/>
        <v>0.84967320261437906</v>
      </c>
      <c r="BD33" s="12">
        <f>'8'!BD33</f>
        <v>5</v>
      </c>
      <c r="BE33" s="12">
        <f>'8'!BE33</f>
        <v>375</v>
      </c>
      <c r="BF33" s="12"/>
      <c r="BG33" s="12"/>
      <c r="BH33" s="12">
        <f>BG33+'8'!BH33</f>
        <v>430</v>
      </c>
      <c r="BI33" s="30">
        <f t="shared" si="3"/>
        <v>1.1466666666666667</v>
      </c>
    </row>
    <row r="34" spans="1:61" ht="28.9" customHeight="1" x14ac:dyDescent="0.35">
      <c r="A34" s="5">
        <v>24</v>
      </c>
      <c r="B34" s="26" t="str">
        <f>'8'!B34</f>
        <v>عرب الرمـــــــل</v>
      </c>
      <c r="C34" s="26">
        <f>'8'!C34</f>
        <v>5755</v>
      </c>
      <c r="D34" s="26"/>
      <c r="E34" s="12"/>
      <c r="F34" s="2">
        <f>E34+'8'!F34</f>
        <v>22</v>
      </c>
      <c r="G34" s="2"/>
      <c r="H34" s="2">
        <f>G34+'8'!H34</f>
        <v>1011</v>
      </c>
      <c r="I34" s="2"/>
      <c r="J34" s="2">
        <f>I34+'8'!J34</f>
        <v>1364</v>
      </c>
      <c r="K34" s="2"/>
      <c r="L34" s="2">
        <f>K34+'8'!L34</f>
        <v>0</v>
      </c>
      <c r="M34" s="2"/>
      <c r="N34" s="2">
        <f>M34+'8'!N34</f>
        <v>0</v>
      </c>
      <c r="O34" s="2"/>
      <c r="P34" s="2">
        <f>O34+'8'!P34</f>
        <v>0</v>
      </c>
      <c r="Q34" s="4">
        <f t="shared" si="4"/>
        <v>0</v>
      </c>
      <c r="R34" s="4">
        <f>Q34+'8'!R34</f>
        <v>2397</v>
      </c>
      <c r="S34" s="27">
        <f t="shared" si="5"/>
        <v>0.41650738488271066</v>
      </c>
      <c r="T34" s="12"/>
      <c r="U34" s="12">
        <f>T34+'8'!U34</f>
        <v>562</v>
      </c>
      <c r="V34" s="12"/>
      <c r="W34" s="12">
        <f>V34+'8'!W34</f>
        <v>41</v>
      </c>
      <c r="X34" s="12"/>
      <c r="Y34" s="12">
        <f>X34+'8'!Y34</f>
        <v>0</v>
      </c>
      <c r="AB34" s="5">
        <v>24</v>
      </c>
      <c r="AC34" s="26" t="str">
        <f>'8'!AC34</f>
        <v>عرب الرمـــــــل</v>
      </c>
      <c r="AD34" s="28">
        <f>'8'!AI34</f>
        <v>263</v>
      </c>
      <c r="AE34" s="3"/>
      <c r="AF34" s="28">
        <f>AE34+'8'!AF34</f>
        <v>505</v>
      </c>
      <c r="AG34" s="4"/>
      <c r="AH34" s="28">
        <f>AG34+'8'!AH34</f>
        <v>242</v>
      </c>
      <c r="AI34" s="4">
        <f t="shared" si="6"/>
        <v>263</v>
      </c>
      <c r="AJ34" s="11" t="e">
        <f t="shared" si="0"/>
        <v>#DIV/0!</v>
      </c>
      <c r="AK34" s="53">
        <f t="shared" si="1"/>
        <v>9.9049586776859506</v>
      </c>
      <c r="AW34" s="26" t="str">
        <f>'8'!AW34</f>
        <v>عرب الرمـــــــل</v>
      </c>
      <c r="AX34" s="12">
        <f>'8'!AX34</f>
        <v>6</v>
      </c>
      <c r="AY34" s="12">
        <f>'8'!AY34</f>
        <v>2210</v>
      </c>
      <c r="AZ34" s="12"/>
      <c r="BA34" s="12"/>
      <c r="BB34" s="12">
        <f>BA34+'8'!BB34</f>
        <v>1456</v>
      </c>
      <c r="BC34" s="30">
        <f t="shared" si="2"/>
        <v>0.6588235294117647</v>
      </c>
      <c r="BD34" s="12">
        <f>'8'!BD34</f>
        <v>9</v>
      </c>
      <c r="BE34" s="12">
        <f>'8'!BE34</f>
        <v>932</v>
      </c>
      <c r="BF34" s="12"/>
      <c r="BG34" s="12"/>
      <c r="BH34" s="12">
        <f>BG34+'8'!BH34</f>
        <v>941</v>
      </c>
      <c r="BI34" s="30">
        <f t="shared" si="3"/>
        <v>1.0096566523605151</v>
      </c>
    </row>
    <row r="35" spans="1:61" ht="28.9" customHeight="1" x14ac:dyDescent="0.35">
      <c r="A35" s="5">
        <v>25</v>
      </c>
      <c r="B35" s="26" t="str">
        <f>'8'!B35</f>
        <v>كفر ميت سراج</v>
      </c>
      <c r="C35" s="26">
        <f>'8'!C35</f>
        <v>1840</v>
      </c>
      <c r="D35" s="26"/>
      <c r="E35" s="12"/>
      <c r="F35" s="2">
        <f>E35+'8'!F35</f>
        <v>8</v>
      </c>
      <c r="G35" s="2"/>
      <c r="H35" s="2">
        <f>G35+'8'!H35</f>
        <v>386</v>
      </c>
      <c r="I35" s="2"/>
      <c r="J35" s="2">
        <f>I35+'8'!J35</f>
        <v>773</v>
      </c>
      <c r="K35" s="2"/>
      <c r="L35" s="2">
        <f>K35+'8'!L35</f>
        <v>0</v>
      </c>
      <c r="M35" s="2"/>
      <c r="N35" s="2">
        <f>M35+'8'!N35</f>
        <v>0</v>
      </c>
      <c r="O35" s="2"/>
      <c r="P35" s="2">
        <f>O35+'8'!P35</f>
        <v>0</v>
      </c>
      <c r="Q35" s="4">
        <f t="shared" si="4"/>
        <v>0</v>
      </c>
      <c r="R35" s="4">
        <f>Q35+'8'!R35</f>
        <v>1167</v>
      </c>
      <c r="S35" s="27">
        <f t="shared" si="5"/>
        <v>0.63423913043478264</v>
      </c>
      <c r="T35" s="12"/>
      <c r="U35" s="12">
        <f>T35+'8'!U35</f>
        <v>174</v>
      </c>
      <c r="V35" s="12"/>
      <c r="W35" s="12">
        <f>V35+'8'!W35</f>
        <v>11</v>
      </c>
      <c r="X35" s="12"/>
      <c r="Y35" s="12">
        <f>X35+'8'!Y35</f>
        <v>0</v>
      </c>
      <c r="AB35" s="5">
        <v>25</v>
      </c>
      <c r="AC35" s="26" t="str">
        <f>'8'!AC35</f>
        <v>كفر ميت سراج</v>
      </c>
      <c r="AD35" s="28">
        <f>'8'!AI35</f>
        <v>41</v>
      </c>
      <c r="AE35" s="3"/>
      <c r="AF35" s="28">
        <f>AE35+'8'!AF35</f>
        <v>162</v>
      </c>
      <c r="AG35" s="4"/>
      <c r="AH35" s="28">
        <f>AG35+'8'!AH35</f>
        <v>121</v>
      </c>
      <c r="AI35" s="4">
        <f t="shared" si="6"/>
        <v>41</v>
      </c>
      <c r="AJ35" s="11" t="e">
        <f t="shared" si="0"/>
        <v>#DIV/0!</v>
      </c>
      <c r="AK35" s="53">
        <f t="shared" si="1"/>
        <v>9.6446280991735538</v>
      </c>
      <c r="AW35" s="26" t="str">
        <f>'8'!AW35</f>
        <v>كفر ميت سراج</v>
      </c>
      <c r="AX35" s="12">
        <f>'8'!AX35</f>
        <v>3</v>
      </c>
      <c r="AY35" s="12">
        <f>'8'!AY35</f>
        <v>1011</v>
      </c>
      <c r="AZ35" s="12"/>
      <c r="BA35" s="12"/>
      <c r="BB35" s="12">
        <f>BA35+'8'!BB35</f>
        <v>773</v>
      </c>
      <c r="BC35" s="30">
        <f t="shared" si="2"/>
        <v>0.76458951533135511</v>
      </c>
      <c r="BD35" s="12">
        <f>'8'!BD35</f>
        <v>4</v>
      </c>
      <c r="BE35" s="12">
        <f>'8'!BE35</f>
        <v>413</v>
      </c>
      <c r="BF35" s="12"/>
      <c r="BG35" s="12"/>
      <c r="BH35" s="12">
        <f>BG35+'8'!BH35</f>
        <v>232</v>
      </c>
      <c r="BI35" s="30">
        <f t="shared" si="3"/>
        <v>0.56174334140435833</v>
      </c>
    </row>
    <row r="36" spans="1:61" ht="28.9" customHeight="1" x14ac:dyDescent="0.35">
      <c r="A36" s="5">
        <v>26</v>
      </c>
      <c r="B36" s="26" t="str">
        <f>'8'!B36</f>
        <v>كفر أبشيش</v>
      </c>
      <c r="C36" s="26">
        <f>'8'!C36</f>
        <v>1345</v>
      </c>
      <c r="D36" s="26"/>
      <c r="E36" s="12"/>
      <c r="F36" s="2">
        <f>E36+'8'!F36</f>
        <v>14</v>
      </c>
      <c r="G36" s="2"/>
      <c r="H36" s="2">
        <f>G36+'8'!H36</f>
        <v>207</v>
      </c>
      <c r="I36" s="2"/>
      <c r="J36" s="2">
        <f>I36+'8'!J36</f>
        <v>725</v>
      </c>
      <c r="K36" s="2"/>
      <c r="L36" s="2">
        <f>K36+'8'!L36</f>
        <v>0</v>
      </c>
      <c r="M36" s="2"/>
      <c r="N36" s="2">
        <f>M36+'8'!N36</f>
        <v>0</v>
      </c>
      <c r="O36" s="2"/>
      <c r="P36" s="2">
        <f>O36+'8'!P36</f>
        <v>0</v>
      </c>
      <c r="Q36" s="4">
        <f t="shared" si="4"/>
        <v>0</v>
      </c>
      <c r="R36" s="4">
        <f>Q36+'8'!R36</f>
        <v>946</v>
      </c>
      <c r="S36" s="27">
        <f t="shared" si="5"/>
        <v>0.70334572490706315</v>
      </c>
      <c r="T36" s="12"/>
      <c r="U36" s="12">
        <f>T36+'8'!U36</f>
        <v>113</v>
      </c>
      <c r="V36" s="12"/>
      <c r="W36" s="12">
        <f>V36+'8'!W36</f>
        <v>4</v>
      </c>
      <c r="X36" s="12"/>
      <c r="Y36" s="12">
        <f>X36+'8'!Y36</f>
        <v>0</v>
      </c>
      <c r="AB36" s="5">
        <v>26</v>
      </c>
      <c r="AC36" s="26" t="str">
        <f>'8'!AC36</f>
        <v>كفر أبشيش</v>
      </c>
      <c r="AD36" s="28">
        <f>'8'!AI36</f>
        <v>24</v>
      </c>
      <c r="AE36" s="3"/>
      <c r="AF36" s="28">
        <f>AE36+'8'!AF36</f>
        <v>119</v>
      </c>
      <c r="AG36" s="4"/>
      <c r="AH36" s="28">
        <f>AG36+'8'!AH36</f>
        <v>95</v>
      </c>
      <c r="AI36" s="4">
        <f t="shared" si="6"/>
        <v>24</v>
      </c>
      <c r="AJ36" s="11" t="e">
        <f t="shared" si="0"/>
        <v>#DIV/0!</v>
      </c>
      <c r="AK36" s="53">
        <f t="shared" si="1"/>
        <v>9.9578947368421051</v>
      </c>
      <c r="AW36" s="26" t="str">
        <f>'8'!AW36</f>
        <v>كفر أبشيش</v>
      </c>
      <c r="AX36" s="12">
        <f>'8'!AX36</f>
        <v>1</v>
      </c>
      <c r="AY36" s="12">
        <f>'8'!AY36</f>
        <v>860</v>
      </c>
      <c r="AZ36" s="12"/>
      <c r="BA36" s="12"/>
      <c r="BB36" s="12">
        <f>BA36+'8'!BB36</f>
        <v>730</v>
      </c>
      <c r="BC36" s="30">
        <f t="shared" si="2"/>
        <v>0.84883720930232553</v>
      </c>
      <c r="BD36" s="12">
        <f>'8'!BD36</f>
        <v>4</v>
      </c>
      <c r="BE36" s="12">
        <f>'8'!BE36</f>
        <v>194</v>
      </c>
      <c r="BF36" s="12"/>
      <c r="BG36" s="12"/>
      <c r="BH36" s="12">
        <f>BG36+'8'!BH36</f>
        <v>0</v>
      </c>
      <c r="BI36" s="30">
        <f t="shared" si="3"/>
        <v>0</v>
      </c>
    </row>
    <row r="37" spans="1:61" ht="28.9" customHeight="1" x14ac:dyDescent="0.35">
      <c r="A37" s="5">
        <v>27</v>
      </c>
      <c r="B37" s="26" t="str">
        <f>'8'!B37</f>
        <v>كفر ميت العبسى</v>
      </c>
      <c r="C37" s="26">
        <f>'8'!C37</f>
        <v>1180</v>
      </c>
      <c r="D37" s="26"/>
      <c r="E37" s="12"/>
      <c r="F37" s="2">
        <f>E37+'8'!F37</f>
        <v>12</v>
      </c>
      <c r="G37" s="2"/>
      <c r="H37" s="2">
        <f>G37+'8'!H37</f>
        <v>248</v>
      </c>
      <c r="I37" s="2"/>
      <c r="J37" s="2">
        <f>I37+'8'!J37</f>
        <v>443</v>
      </c>
      <c r="K37" s="2"/>
      <c r="L37" s="2">
        <f>K37+'8'!L37</f>
        <v>0</v>
      </c>
      <c r="M37" s="2"/>
      <c r="N37" s="2">
        <f>M37+'8'!N37</f>
        <v>0</v>
      </c>
      <c r="O37" s="2"/>
      <c r="P37" s="2">
        <f>O37+'8'!P37</f>
        <v>0</v>
      </c>
      <c r="Q37" s="4">
        <f t="shared" si="4"/>
        <v>0</v>
      </c>
      <c r="R37" s="4">
        <f>Q37+'8'!R37</f>
        <v>703</v>
      </c>
      <c r="S37" s="27">
        <f t="shared" si="5"/>
        <v>0.59576271186440677</v>
      </c>
      <c r="T37" s="12"/>
      <c r="U37" s="12">
        <f>T37+'8'!U37</f>
        <v>53</v>
      </c>
      <c r="V37" s="12"/>
      <c r="W37" s="12">
        <f>V37+'8'!W37</f>
        <v>11</v>
      </c>
      <c r="X37" s="12"/>
      <c r="Y37" s="12">
        <f>X37+'8'!Y37</f>
        <v>0</v>
      </c>
      <c r="AB37" s="5">
        <v>27</v>
      </c>
      <c r="AC37" s="26" t="str">
        <f>'8'!AC37</f>
        <v>كفر ميت العبسى</v>
      </c>
      <c r="AD37" s="28">
        <f>'8'!AI37</f>
        <v>33</v>
      </c>
      <c r="AE37" s="3"/>
      <c r="AF37" s="28">
        <f>AE37+'8'!AF37</f>
        <v>104</v>
      </c>
      <c r="AG37" s="4"/>
      <c r="AH37" s="28">
        <f>AG37+'8'!AH37</f>
        <v>71</v>
      </c>
      <c r="AI37" s="4">
        <f t="shared" si="6"/>
        <v>33</v>
      </c>
      <c r="AJ37" s="11" t="e">
        <f t="shared" si="0"/>
        <v>#DIV/0!</v>
      </c>
      <c r="AK37" s="53">
        <f t="shared" si="1"/>
        <v>9.9014084507042259</v>
      </c>
      <c r="AW37" s="26" t="str">
        <f>'8'!AW37</f>
        <v>كفر ميت العبسى</v>
      </c>
      <c r="AX37" s="12">
        <f>'8'!AX37</f>
        <v>2</v>
      </c>
      <c r="AY37" s="12">
        <f>'8'!AY37</f>
        <v>494</v>
      </c>
      <c r="AZ37" s="12"/>
      <c r="BA37" s="12"/>
      <c r="BB37" s="12">
        <f>BA37+'8'!BB37</f>
        <v>418</v>
      </c>
      <c r="BC37" s="30">
        <f t="shared" si="2"/>
        <v>0.84615384615384615</v>
      </c>
      <c r="BD37" s="12">
        <f>'8'!BD37</f>
        <v>4</v>
      </c>
      <c r="BE37" s="12">
        <f>'8'!BE37</f>
        <v>114</v>
      </c>
      <c r="BF37" s="12"/>
      <c r="BG37" s="12"/>
      <c r="BH37" s="12">
        <f>BG37+'8'!BH37</f>
        <v>73</v>
      </c>
      <c r="BI37" s="30">
        <f t="shared" si="3"/>
        <v>0.64035087719298245</v>
      </c>
    </row>
    <row r="38" spans="1:61" ht="28.9" customHeight="1" x14ac:dyDescent="0.35">
      <c r="A38" s="5">
        <v>28</v>
      </c>
      <c r="B38" s="26" t="str">
        <f>'8'!B38</f>
        <v>كفر وهــــــــــب</v>
      </c>
      <c r="C38" s="26">
        <f>'8'!C38</f>
        <v>1854.9999999999998</v>
      </c>
      <c r="D38" s="26"/>
      <c r="E38" s="12"/>
      <c r="F38" s="2">
        <f>E38+'8'!F38</f>
        <v>7</v>
      </c>
      <c r="G38" s="2"/>
      <c r="H38" s="2">
        <f>G38+'8'!H38</f>
        <v>265</v>
      </c>
      <c r="I38" s="2"/>
      <c r="J38" s="2">
        <f>I38+'8'!J38</f>
        <v>618</v>
      </c>
      <c r="K38" s="2"/>
      <c r="L38" s="2">
        <f>K38+'8'!L38</f>
        <v>0</v>
      </c>
      <c r="M38" s="2"/>
      <c r="N38" s="2">
        <f>M38+'8'!N38</f>
        <v>0</v>
      </c>
      <c r="O38" s="2"/>
      <c r="P38" s="2">
        <f>O38+'8'!P38</f>
        <v>0</v>
      </c>
      <c r="Q38" s="4">
        <f t="shared" si="4"/>
        <v>0</v>
      </c>
      <c r="R38" s="4">
        <f>Q38+'8'!R38</f>
        <v>890</v>
      </c>
      <c r="S38" s="27">
        <f t="shared" si="5"/>
        <v>0.47978436657681944</v>
      </c>
      <c r="T38" s="12"/>
      <c r="U38" s="12">
        <f>T38+'8'!U38</f>
        <v>123</v>
      </c>
      <c r="V38" s="12"/>
      <c r="W38" s="12">
        <f>V38+'8'!W38</f>
        <v>7</v>
      </c>
      <c r="X38" s="12"/>
      <c r="Y38" s="12">
        <f>X38+'8'!Y38</f>
        <v>0</v>
      </c>
      <c r="AB38" s="5">
        <v>28</v>
      </c>
      <c r="AC38" s="26" t="str">
        <f>'8'!AC38</f>
        <v>كفر وهــــــــــب</v>
      </c>
      <c r="AD38" s="28">
        <f>'8'!AI38</f>
        <v>72</v>
      </c>
      <c r="AE38" s="3"/>
      <c r="AF38" s="28">
        <f>AE38+'8'!AF38</f>
        <v>163</v>
      </c>
      <c r="AG38" s="4"/>
      <c r="AH38" s="28">
        <f>AG38+'8'!AH38</f>
        <v>91</v>
      </c>
      <c r="AI38" s="4">
        <f t="shared" si="6"/>
        <v>72</v>
      </c>
      <c r="AJ38" s="11" t="e">
        <f t="shared" si="0"/>
        <v>#DIV/0!</v>
      </c>
      <c r="AK38" s="53">
        <f t="shared" si="1"/>
        <v>9.780219780219781</v>
      </c>
      <c r="AW38" s="26" t="str">
        <f>'8'!AW38</f>
        <v>كفر وهــــــــــب</v>
      </c>
      <c r="AX38" s="12">
        <f>'8'!AX38</f>
        <v>2</v>
      </c>
      <c r="AY38" s="12">
        <f>'8'!AY38</f>
        <v>793</v>
      </c>
      <c r="AZ38" s="12"/>
      <c r="BA38" s="12"/>
      <c r="BB38" s="12">
        <f>BA38+'8'!BB38</f>
        <v>623</v>
      </c>
      <c r="BC38" s="30">
        <f t="shared" si="2"/>
        <v>0.78562421185372</v>
      </c>
      <c r="BD38" s="12">
        <f>'8'!BD38</f>
        <v>3</v>
      </c>
      <c r="BE38" s="12">
        <f>'8'!BE38</f>
        <v>180</v>
      </c>
      <c r="BF38" s="12"/>
      <c r="BG38" s="12"/>
      <c r="BH38" s="12">
        <f>BG38+'8'!BH38</f>
        <v>160</v>
      </c>
      <c r="BI38" s="30">
        <f t="shared" si="3"/>
        <v>0.88888888888888884</v>
      </c>
    </row>
    <row r="39" spans="1:61" ht="28.9" customHeight="1" x14ac:dyDescent="0.35">
      <c r="A39" s="5">
        <v>29</v>
      </c>
      <c r="B39" s="26" t="str">
        <f>'8'!B39</f>
        <v>دمــــــــــــــهوج</v>
      </c>
      <c r="C39" s="26">
        <f>'8'!C39</f>
        <v>2738</v>
      </c>
      <c r="D39" s="26"/>
      <c r="E39" s="12"/>
      <c r="F39" s="2">
        <f>E39+'8'!F39</f>
        <v>11</v>
      </c>
      <c r="G39" s="2"/>
      <c r="H39" s="2">
        <f>G39+'8'!H39</f>
        <v>437</v>
      </c>
      <c r="I39" s="2"/>
      <c r="J39" s="2">
        <f>I39+'8'!J39</f>
        <v>832</v>
      </c>
      <c r="K39" s="2"/>
      <c r="L39" s="2">
        <f>K39+'8'!L39</f>
        <v>0</v>
      </c>
      <c r="M39" s="2"/>
      <c r="N39" s="2">
        <f>M39+'8'!N39</f>
        <v>0</v>
      </c>
      <c r="O39" s="2"/>
      <c r="P39" s="2">
        <f>O39+'8'!P39</f>
        <v>0</v>
      </c>
      <c r="Q39" s="4">
        <f t="shared" si="4"/>
        <v>0</v>
      </c>
      <c r="R39" s="4">
        <f>Q39+'8'!R39</f>
        <v>1280</v>
      </c>
      <c r="S39" s="27">
        <f t="shared" si="5"/>
        <v>0.46749452154857563</v>
      </c>
      <c r="T39" s="12"/>
      <c r="U39" s="12">
        <f>T39+'8'!U39</f>
        <v>158</v>
      </c>
      <c r="V39" s="12"/>
      <c r="W39" s="12">
        <f>V39+'8'!W39</f>
        <v>7</v>
      </c>
      <c r="X39" s="12"/>
      <c r="Y39" s="12">
        <f>X39+'8'!Y39</f>
        <v>0</v>
      </c>
      <c r="AB39" s="5">
        <v>29</v>
      </c>
      <c r="AC39" s="26" t="str">
        <f>'8'!AC39</f>
        <v>دمــــــــــــــهوج</v>
      </c>
      <c r="AD39" s="28">
        <f>'8'!AI39</f>
        <v>109</v>
      </c>
      <c r="AE39" s="3"/>
      <c r="AF39" s="28">
        <f>AE39+'8'!AF39</f>
        <v>240</v>
      </c>
      <c r="AG39" s="4"/>
      <c r="AH39" s="28">
        <f>AG39+'8'!AH39</f>
        <v>131</v>
      </c>
      <c r="AI39" s="4">
        <f t="shared" si="6"/>
        <v>109</v>
      </c>
      <c r="AJ39" s="11" t="e">
        <f t="shared" si="0"/>
        <v>#DIV/0!</v>
      </c>
      <c r="AK39" s="53">
        <f t="shared" si="1"/>
        <v>9.770992366412214</v>
      </c>
      <c r="AW39" s="26" t="str">
        <f>'8'!AW39</f>
        <v>دمــــــــــــــهوج</v>
      </c>
      <c r="AX39" s="12">
        <f>'8'!AX39</f>
        <v>2</v>
      </c>
      <c r="AY39" s="12">
        <f>'8'!AY39</f>
        <v>1086</v>
      </c>
      <c r="AZ39" s="12"/>
      <c r="BA39" s="12"/>
      <c r="BB39" s="12">
        <f>BA39+'8'!BB39</f>
        <v>834</v>
      </c>
      <c r="BC39" s="30">
        <f t="shared" si="2"/>
        <v>0.76795580110497241</v>
      </c>
      <c r="BD39" s="12">
        <f>'8'!BD39</f>
        <v>10</v>
      </c>
      <c r="BE39" s="12">
        <f>'8'!BE39</f>
        <v>455</v>
      </c>
      <c r="BF39" s="12"/>
      <c r="BG39" s="12"/>
      <c r="BH39" s="12">
        <f>BG39+'8'!BH39</f>
        <v>439</v>
      </c>
      <c r="BI39" s="30">
        <f t="shared" si="3"/>
        <v>0.96483516483516485</v>
      </c>
    </row>
    <row r="40" spans="1:61" ht="28.9" customHeight="1" x14ac:dyDescent="0.35">
      <c r="A40" s="5">
        <v>30</v>
      </c>
      <c r="B40" s="26" t="str">
        <f>'8'!B40</f>
        <v>كفر زين الدين</v>
      </c>
      <c r="C40" s="26">
        <f>'8'!C40</f>
        <v>819</v>
      </c>
      <c r="D40" s="26"/>
      <c r="E40" s="12"/>
      <c r="F40" s="2">
        <f>E40+'8'!F40</f>
        <v>9</v>
      </c>
      <c r="G40" s="2"/>
      <c r="H40" s="2">
        <f>G40+'8'!H40</f>
        <v>266</v>
      </c>
      <c r="I40" s="2"/>
      <c r="J40" s="2">
        <f>I40+'8'!J40</f>
        <v>430</v>
      </c>
      <c r="K40" s="2"/>
      <c r="L40" s="2">
        <f>K40+'8'!L40</f>
        <v>0</v>
      </c>
      <c r="M40" s="2"/>
      <c r="N40" s="2">
        <f>M40+'8'!N40</f>
        <v>0</v>
      </c>
      <c r="O40" s="2"/>
      <c r="P40" s="2">
        <f>O40+'8'!P40</f>
        <v>0</v>
      </c>
      <c r="Q40" s="4">
        <f t="shared" si="4"/>
        <v>0</v>
      </c>
      <c r="R40" s="4">
        <f>Q40+'8'!R40</f>
        <v>705</v>
      </c>
      <c r="S40" s="27">
        <f t="shared" si="5"/>
        <v>0.86080586080586086</v>
      </c>
      <c r="T40" s="12"/>
      <c r="U40" s="12">
        <f>T40+'8'!U40</f>
        <v>76</v>
      </c>
      <c r="V40" s="12"/>
      <c r="W40" s="12">
        <f>V40+'8'!W40</f>
        <v>26</v>
      </c>
      <c r="X40" s="12"/>
      <c r="Y40" s="12">
        <f>X40+'8'!Y40</f>
        <v>0</v>
      </c>
      <c r="AB40" s="5">
        <v>30</v>
      </c>
      <c r="AC40" s="26" t="str">
        <f>'8'!AC40</f>
        <v>كفر زين الدين</v>
      </c>
      <c r="AD40" s="28">
        <f>'8'!AI40</f>
        <v>9</v>
      </c>
      <c r="AE40" s="3"/>
      <c r="AF40" s="28">
        <f>AE40+'8'!AF40</f>
        <v>80</v>
      </c>
      <c r="AG40" s="4"/>
      <c r="AH40" s="28">
        <f>AG40+'8'!AH40</f>
        <v>71</v>
      </c>
      <c r="AI40" s="4">
        <f t="shared" si="6"/>
        <v>9</v>
      </c>
      <c r="AJ40" s="11" t="e">
        <f t="shared" si="0"/>
        <v>#DIV/0!</v>
      </c>
      <c r="AK40" s="53">
        <f t="shared" si="1"/>
        <v>9.929577464788732</v>
      </c>
      <c r="AW40" s="26" t="str">
        <f>'8'!AW40</f>
        <v>كفر زين الدين</v>
      </c>
      <c r="AX40" s="12">
        <f>'8'!AX40</f>
        <v>1</v>
      </c>
      <c r="AY40" s="12">
        <f>'8'!AY40</f>
        <v>563</v>
      </c>
      <c r="AZ40" s="12"/>
      <c r="BA40" s="12"/>
      <c r="BB40" s="12">
        <f>BA40+'8'!BB40</f>
        <v>364</v>
      </c>
      <c r="BC40" s="30">
        <f t="shared" si="2"/>
        <v>0.64653641207815271</v>
      </c>
      <c r="BD40" s="12">
        <f>'8'!BD40</f>
        <v>2</v>
      </c>
      <c r="BE40" s="12">
        <f>'8'!BE40</f>
        <v>87</v>
      </c>
      <c r="BF40" s="12"/>
      <c r="BG40" s="12"/>
      <c r="BH40" s="12">
        <f>BG40+'8'!BH40</f>
        <v>166</v>
      </c>
      <c r="BI40" s="30">
        <f t="shared" si="3"/>
        <v>1.9080459770114941</v>
      </c>
    </row>
    <row r="41" spans="1:61" ht="28.9" customHeight="1" x14ac:dyDescent="0.35">
      <c r="A41" s="5">
        <v>31</v>
      </c>
      <c r="B41" s="26" t="str">
        <f>'8'!B41</f>
        <v>عزبــة أبوالنصر</v>
      </c>
      <c r="C41" s="26">
        <f>'8'!C41</f>
        <v>410</v>
      </c>
      <c r="D41" s="26"/>
      <c r="E41" s="12"/>
      <c r="F41" s="2">
        <f>E41+'8'!F41</f>
        <v>10</v>
      </c>
      <c r="G41" s="2"/>
      <c r="H41" s="2">
        <f>G41+'8'!H41</f>
        <v>229</v>
      </c>
      <c r="I41" s="2"/>
      <c r="J41" s="2">
        <f>I41+'8'!J41</f>
        <v>120</v>
      </c>
      <c r="K41" s="2"/>
      <c r="L41" s="2">
        <f>K41+'8'!L41</f>
        <v>0</v>
      </c>
      <c r="M41" s="2"/>
      <c r="N41" s="2">
        <f>M41+'8'!N41</f>
        <v>0</v>
      </c>
      <c r="O41" s="2"/>
      <c r="P41" s="2">
        <f>O41+'8'!P41</f>
        <v>0</v>
      </c>
      <c r="Q41" s="4">
        <f t="shared" si="4"/>
        <v>0</v>
      </c>
      <c r="R41" s="4">
        <f>Q41+'8'!R41</f>
        <v>359</v>
      </c>
      <c r="S41" s="27">
        <f t="shared" si="5"/>
        <v>0.87560975609756098</v>
      </c>
      <c r="T41" s="12"/>
      <c r="U41" s="12">
        <f>T41+'8'!U41</f>
        <v>0</v>
      </c>
      <c r="V41" s="12"/>
      <c r="W41" s="12">
        <f>V41+'8'!W41</f>
        <v>0</v>
      </c>
      <c r="X41" s="12"/>
      <c r="Y41" s="12">
        <f>X41+'8'!Y41</f>
        <v>0</v>
      </c>
      <c r="AB41" s="5">
        <v>31</v>
      </c>
      <c r="AC41" s="26" t="str">
        <f>'8'!AC41</f>
        <v>عزبــة أبوالنصر</v>
      </c>
      <c r="AD41" s="28">
        <f>'8'!AI41</f>
        <v>4</v>
      </c>
      <c r="AE41" s="3"/>
      <c r="AF41" s="28">
        <f>AE41+'8'!AF41</f>
        <v>41</v>
      </c>
      <c r="AG41" s="4"/>
      <c r="AH41" s="28">
        <f>AG41+'8'!AH41</f>
        <v>37</v>
      </c>
      <c r="AI41" s="4">
        <f t="shared" si="6"/>
        <v>4</v>
      </c>
      <c r="AJ41" s="11" t="e">
        <f t="shared" si="0"/>
        <v>#DIV/0!</v>
      </c>
      <c r="AK41" s="53">
        <f t="shared" si="1"/>
        <v>9.7027027027027035</v>
      </c>
      <c r="AW41" s="26" t="str">
        <f>'8'!AW41</f>
        <v>عزبــة أبوالنصر</v>
      </c>
      <c r="AX41" s="12">
        <f>'8'!AX41</f>
        <v>2</v>
      </c>
      <c r="AY41" s="12">
        <f>'8'!AY41</f>
        <v>70</v>
      </c>
      <c r="AZ41" s="12"/>
      <c r="BA41" s="12"/>
      <c r="BB41" s="12">
        <f>BA41+'8'!BB41</f>
        <v>65</v>
      </c>
      <c r="BC41" s="30">
        <f t="shared" si="2"/>
        <v>0.9285714285714286</v>
      </c>
      <c r="BD41" s="12">
        <f>'8'!BD41</f>
        <v>3</v>
      </c>
      <c r="BE41" s="12">
        <f>'8'!BE41</f>
        <v>75</v>
      </c>
      <c r="BF41" s="12"/>
      <c r="BG41" s="12"/>
      <c r="BH41" s="12">
        <f>BG41+'8'!BH41</f>
        <v>36</v>
      </c>
      <c r="BI41" s="30">
        <f t="shared" si="3"/>
        <v>0.48</v>
      </c>
    </row>
    <row r="42" spans="1:61" ht="28.9" customHeight="1" x14ac:dyDescent="0.35">
      <c r="A42" s="5">
        <v>32</v>
      </c>
      <c r="B42" s="26" t="str">
        <f>'8'!B42</f>
        <v>شمنديــــــــــــــل</v>
      </c>
      <c r="C42" s="26">
        <f>'8'!C42</f>
        <v>880</v>
      </c>
      <c r="D42" s="26"/>
      <c r="E42" s="12"/>
      <c r="F42" s="2">
        <f>E42+'8'!F42</f>
        <v>7</v>
      </c>
      <c r="G42" s="2"/>
      <c r="H42" s="2">
        <f>G42+'8'!H42</f>
        <v>219</v>
      </c>
      <c r="I42" s="2"/>
      <c r="J42" s="2">
        <f>I42+'8'!J42</f>
        <v>421</v>
      </c>
      <c r="K42" s="2"/>
      <c r="L42" s="2">
        <f>K42+'8'!L42</f>
        <v>0</v>
      </c>
      <c r="M42" s="2"/>
      <c r="N42" s="2">
        <f>M42+'8'!N42</f>
        <v>0</v>
      </c>
      <c r="O42" s="2"/>
      <c r="P42" s="2">
        <f>O42+'8'!P42</f>
        <v>0</v>
      </c>
      <c r="Q42" s="4">
        <f t="shared" si="4"/>
        <v>0</v>
      </c>
      <c r="R42" s="4">
        <f>Q42+'8'!R42</f>
        <v>647</v>
      </c>
      <c r="S42" s="27">
        <f t="shared" si="5"/>
        <v>0.73522727272727273</v>
      </c>
      <c r="T42" s="12"/>
      <c r="U42" s="12">
        <f>T42+'8'!U42</f>
        <v>69</v>
      </c>
      <c r="V42" s="12"/>
      <c r="W42" s="12">
        <f>V42+'8'!W42</f>
        <v>11</v>
      </c>
      <c r="X42" s="12"/>
      <c r="Y42" s="12">
        <f>X42+'8'!Y42</f>
        <v>0</v>
      </c>
      <c r="AB42" s="5">
        <v>32</v>
      </c>
      <c r="AC42" s="26" t="str">
        <f>'8'!AC42</f>
        <v>شمنديــــــــــــــل</v>
      </c>
      <c r="AD42" s="28">
        <f>'8'!AI42</f>
        <v>9</v>
      </c>
      <c r="AE42" s="3"/>
      <c r="AF42" s="28">
        <f>AE42+'8'!AF42</f>
        <v>78</v>
      </c>
      <c r="AG42" s="4"/>
      <c r="AH42" s="28">
        <f>AG42+'8'!AH42</f>
        <v>69</v>
      </c>
      <c r="AI42" s="4">
        <f t="shared" si="6"/>
        <v>9</v>
      </c>
      <c r="AJ42" s="11" t="e">
        <f t="shared" si="0"/>
        <v>#DIV/0!</v>
      </c>
      <c r="AK42" s="53">
        <f t="shared" si="1"/>
        <v>9.3768115942028984</v>
      </c>
      <c r="AW42" s="26" t="str">
        <f>'8'!AW42</f>
        <v>شمنديــــــــــــــل</v>
      </c>
      <c r="AX42" s="12">
        <f>'8'!AX42</f>
        <v>2</v>
      </c>
      <c r="AY42" s="12">
        <f>'8'!AY42</f>
        <v>569</v>
      </c>
      <c r="AZ42" s="12"/>
      <c r="BA42" s="12"/>
      <c r="BB42" s="12">
        <f>BA42+'8'!BB42</f>
        <v>453</v>
      </c>
      <c r="BC42" s="30">
        <f t="shared" si="2"/>
        <v>0.79613356766256593</v>
      </c>
      <c r="BD42" s="12">
        <f>'8'!BD42</f>
        <v>1</v>
      </c>
      <c r="BE42" s="12">
        <f>'8'!BE42</f>
        <v>39</v>
      </c>
      <c r="BF42" s="12"/>
      <c r="BG42" s="12"/>
      <c r="BH42" s="12">
        <f>BG42+'8'!BH42</f>
        <v>82</v>
      </c>
      <c r="BI42" s="30">
        <f t="shared" si="3"/>
        <v>2.1025641025641026</v>
      </c>
    </row>
    <row r="43" spans="1:61" ht="28.9" customHeight="1" x14ac:dyDescent="0.35">
      <c r="A43" s="5">
        <v>33</v>
      </c>
      <c r="B43" s="26" t="str">
        <f>'8'!B43</f>
        <v>كفور الرمل</v>
      </c>
      <c r="C43" s="26">
        <f>'8'!C43</f>
        <v>1721</v>
      </c>
      <c r="D43" s="26"/>
      <c r="E43" s="12"/>
      <c r="F43" s="2">
        <f>E43+'8'!F43</f>
        <v>17</v>
      </c>
      <c r="G43" s="2"/>
      <c r="H43" s="2">
        <f>G43+'8'!H43</f>
        <v>505</v>
      </c>
      <c r="I43" s="2"/>
      <c r="J43" s="2">
        <f>I43+'8'!J43</f>
        <v>718</v>
      </c>
      <c r="K43" s="2"/>
      <c r="L43" s="2">
        <f>K43+'8'!L43</f>
        <v>0</v>
      </c>
      <c r="M43" s="2"/>
      <c r="N43" s="2">
        <f>M43+'8'!N43</f>
        <v>0</v>
      </c>
      <c r="O43" s="2"/>
      <c r="P43" s="2">
        <f>O43+'8'!P43</f>
        <v>0</v>
      </c>
      <c r="Q43" s="4">
        <f t="shared" si="4"/>
        <v>0</v>
      </c>
      <c r="R43" s="4">
        <f>Q43+'8'!R43</f>
        <v>1240</v>
      </c>
      <c r="S43" s="27">
        <f t="shared" si="5"/>
        <v>0.72051133062173156</v>
      </c>
      <c r="T43" s="12"/>
      <c r="U43" s="12">
        <f>T43+'8'!U43</f>
        <v>192</v>
      </c>
      <c r="V43" s="12"/>
      <c r="W43" s="12">
        <f>V43+'8'!W43</f>
        <v>100</v>
      </c>
      <c r="X43" s="12"/>
      <c r="Y43" s="12">
        <f>X43+'8'!Y43</f>
        <v>0</v>
      </c>
      <c r="AB43" s="5">
        <v>33</v>
      </c>
      <c r="AC43" s="26" t="str">
        <f>'8'!AC43</f>
        <v>كفور الرمل</v>
      </c>
      <c r="AD43" s="28">
        <f>'8'!AI43</f>
        <v>15</v>
      </c>
      <c r="AE43" s="3"/>
      <c r="AF43" s="28">
        <f>AE43+'8'!AF43</f>
        <v>150</v>
      </c>
      <c r="AG43" s="4"/>
      <c r="AH43" s="28">
        <f>AG43+'8'!AH43</f>
        <v>135</v>
      </c>
      <c r="AI43" s="4">
        <f t="shared" si="6"/>
        <v>15</v>
      </c>
      <c r="AJ43" s="11" t="e">
        <f t="shared" si="0"/>
        <v>#DIV/0!</v>
      </c>
      <c r="AK43" s="53">
        <f t="shared" si="1"/>
        <v>9.1851851851851851</v>
      </c>
      <c r="AW43" s="26" t="str">
        <f>'8'!AW43</f>
        <v>كفور الرمل</v>
      </c>
      <c r="AX43" s="12">
        <f>'8'!AX43</f>
        <v>4</v>
      </c>
      <c r="AY43" s="12">
        <f>'8'!AY43</f>
        <v>1335</v>
      </c>
      <c r="AZ43" s="12"/>
      <c r="BA43" s="12"/>
      <c r="BB43" s="12">
        <f>BA43+'8'!BB43</f>
        <v>918</v>
      </c>
      <c r="BC43" s="30">
        <f t="shared" si="2"/>
        <v>0.68764044943820224</v>
      </c>
      <c r="BD43" s="12">
        <f>'8'!BD43</f>
        <v>7</v>
      </c>
      <c r="BE43" s="12">
        <f>'8'!BE43</f>
        <v>753</v>
      </c>
      <c r="BF43" s="12"/>
      <c r="BG43" s="12"/>
      <c r="BH43" s="12">
        <f>BG43+'8'!BH43</f>
        <v>414</v>
      </c>
      <c r="BI43" s="30">
        <f t="shared" si="3"/>
        <v>0.54980079681274896</v>
      </c>
    </row>
    <row r="44" spans="1:61" ht="28.9" customHeight="1" x14ac:dyDescent="0.35">
      <c r="A44" s="5">
        <v>34</v>
      </c>
      <c r="B44" s="26" t="str">
        <f>'8'!B44</f>
        <v>منشأة أم خنان</v>
      </c>
      <c r="C44" s="26">
        <f>'8'!C44</f>
        <v>510</v>
      </c>
      <c r="D44" s="26"/>
      <c r="E44" s="12"/>
      <c r="F44" s="2">
        <f>E44+'8'!F44</f>
        <v>12</v>
      </c>
      <c r="G44" s="2"/>
      <c r="H44" s="2">
        <f>G44+'8'!H44</f>
        <v>194</v>
      </c>
      <c r="I44" s="2"/>
      <c r="J44" s="2">
        <f>I44+'8'!J44</f>
        <v>291</v>
      </c>
      <c r="K44" s="2"/>
      <c r="L44" s="2">
        <f>K44+'8'!L44</f>
        <v>0</v>
      </c>
      <c r="M44" s="2"/>
      <c r="N44" s="2">
        <f>M44+'8'!N44</f>
        <v>0</v>
      </c>
      <c r="O44" s="2"/>
      <c r="P44" s="2">
        <f>O44+'8'!P44</f>
        <v>0</v>
      </c>
      <c r="Q44" s="4">
        <f t="shared" si="4"/>
        <v>0</v>
      </c>
      <c r="R44" s="4">
        <f>Q44+'8'!R44</f>
        <v>497</v>
      </c>
      <c r="S44" s="27">
        <f t="shared" si="5"/>
        <v>0.97450980392156861</v>
      </c>
      <c r="T44" s="12"/>
      <c r="U44" s="12">
        <f>T44+'8'!U44</f>
        <v>11</v>
      </c>
      <c r="V44" s="12"/>
      <c r="W44" s="12">
        <f>V44+'8'!W44</f>
        <v>7</v>
      </c>
      <c r="X44" s="12"/>
      <c r="Y44" s="12">
        <f>X44+'8'!Y44</f>
        <v>0</v>
      </c>
      <c r="AB44" s="5">
        <v>34</v>
      </c>
      <c r="AC44" s="26" t="str">
        <f>'8'!AC44</f>
        <v>منشأة أم خنان</v>
      </c>
      <c r="AD44" s="28">
        <f>'8'!AI44</f>
        <v>4</v>
      </c>
      <c r="AE44" s="3"/>
      <c r="AF44" s="28">
        <f>AE44+'8'!AF44</f>
        <v>55</v>
      </c>
      <c r="AG44" s="4"/>
      <c r="AH44" s="28">
        <f>AG44+'8'!AH44</f>
        <v>51</v>
      </c>
      <c r="AI44" s="4">
        <f t="shared" si="6"/>
        <v>4</v>
      </c>
      <c r="AJ44" s="11" t="e">
        <f t="shared" si="0"/>
        <v>#DIV/0!</v>
      </c>
      <c r="AK44" s="53">
        <f t="shared" si="1"/>
        <v>9.7450980392156854</v>
      </c>
      <c r="AW44" s="26" t="str">
        <f>'8'!AW44</f>
        <v>منشأة أم خنان</v>
      </c>
      <c r="AX44" s="12">
        <f>'8'!AX44</f>
        <v>1</v>
      </c>
      <c r="AY44" s="12">
        <f>'8'!AY44</f>
        <v>277</v>
      </c>
      <c r="AZ44" s="12"/>
      <c r="BA44" s="12"/>
      <c r="BB44" s="12">
        <f>BA44+'8'!BB44</f>
        <v>269</v>
      </c>
      <c r="BC44" s="30">
        <f t="shared" si="2"/>
        <v>0.97111913357400725</v>
      </c>
      <c r="BD44" s="12">
        <f>'8'!BD44</f>
        <v>3</v>
      </c>
      <c r="BE44" s="12">
        <f>'8'!BE44</f>
        <v>170</v>
      </c>
      <c r="BF44" s="12"/>
      <c r="BG44" s="12"/>
      <c r="BH44" s="12">
        <f>BG44+'8'!BH44</f>
        <v>115</v>
      </c>
      <c r="BI44" s="30">
        <f t="shared" si="3"/>
        <v>0.67647058823529416</v>
      </c>
    </row>
    <row r="45" spans="1:61" ht="28.9" customHeight="1" x14ac:dyDescent="0.35">
      <c r="A45" s="5">
        <v>35</v>
      </c>
      <c r="B45" s="26">
        <f>'8'!B45</f>
        <v>0</v>
      </c>
      <c r="C45" s="26">
        <f>'8'!C45</f>
        <v>0</v>
      </c>
      <c r="D45" s="26"/>
      <c r="E45" s="12"/>
      <c r="F45" s="2">
        <f>E45+'8'!F45</f>
        <v>0</v>
      </c>
      <c r="G45" s="2"/>
      <c r="H45" s="2">
        <f>G45+'8'!H45</f>
        <v>0</v>
      </c>
      <c r="I45" s="2"/>
      <c r="J45" s="2">
        <f>I45+'8'!J45</f>
        <v>0</v>
      </c>
      <c r="K45" s="2"/>
      <c r="L45" s="2">
        <f>K45+'8'!L45</f>
        <v>0</v>
      </c>
      <c r="M45" s="2"/>
      <c r="N45" s="2">
        <f>M45+'8'!N45</f>
        <v>0</v>
      </c>
      <c r="O45" s="2"/>
      <c r="P45" s="2">
        <f>O45+'8'!P45</f>
        <v>0</v>
      </c>
      <c r="Q45" s="4">
        <f t="shared" si="4"/>
        <v>0</v>
      </c>
      <c r="R45" s="4">
        <f>Q45+'8'!R45</f>
        <v>0</v>
      </c>
      <c r="S45" s="27" t="e">
        <f t="shared" si="5"/>
        <v>#DIV/0!</v>
      </c>
      <c r="T45" s="12"/>
      <c r="U45" s="12">
        <f>T45+'8'!U45</f>
        <v>0</v>
      </c>
      <c r="V45" s="12"/>
      <c r="W45" s="12">
        <f>V45+'8'!W45</f>
        <v>0</v>
      </c>
      <c r="X45" s="12"/>
      <c r="Y45" s="12">
        <f>X45+'8'!Y45</f>
        <v>0</v>
      </c>
      <c r="AB45" s="5">
        <v>35</v>
      </c>
      <c r="AC45" s="26">
        <f>'8'!AC45</f>
        <v>0</v>
      </c>
      <c r="AD45" s="28">
        <f>'8'!AI45</f>
        <v>0</v>
      </c>
      <c r="AE45" s="3"/>
      <c r="AF45" s="28">
        <f>AE45+'8'!AF45</f>
        <v>0</v>
      </c>
      <c r="AG45" s="4"/>
      <c r="AH45" s="28">
        <f>AG45+'8'!AH45</f>
        <v>0</v>
      </c>
      <c r="AI45" s="4">
        <f t="shared" si="6"/>
        <v>0</v>
      </c>
      <c r="AJ45" s="11" t="e">
        <f t="shared" si="0"/>
        <v>#DIV/0!</v>
      </c>
      <c r="AK45" s="53" t="e">
        <f t="shared" si="1"/>
        <v>#DIV/0!</v>
      </c>
      <c r="AW45" s="26">
        <f>'8'!AW45</f>
        <v>0</v>
      </c>
      <c r="AX45" s="12">
        <f>'8'!AX45</f>
        <v>0</v>
      </c>
      <c r="AY45" s="12">
        <f>'8'!AY45</f>
        <v>0</v>
      </c>
      <c r="AZ45" s="12"/>
      <c r="BA45" s="12"/>
      <c r="BB45" s="12">
        <f>BA45+'8'!BB45</f>
        <v>0</v>
      </c>
      <c r="BC45" s="30" t="e">
        <f t="shared" si="2"/>
        <v>#DIV/0!</v>
      </c>
      <c r="BD45" s="12">
        <f>'8'!BD45</f>
        <v>0</v>
      </c>
      <c r="BE45" s="12">
        <f>'8'!BE45</f>
        <v>0</v>
      </c>
      <c r="BF45" s="12"/>
      <c r="BG45" s="12"/>
      <c r="BH45" s="12">
        <f>BG45+'8'!BH45</f>
        <v>0</v>
      </c>
      <c r="BI45" s="30" t="e">
        <f t="shared" si="3"/>
        <v>#DIV/0!</v>
      </c>
    </row>
    <row r="46" spans="1:61" ht="28.9" customHeight="1" x14ac:dyDescent="0.35">
      <c r="A46" s="5">
        <v>36</v>
      </c>
      <c r="B46" s="26">
        <f>'8'!B46</f>
        <v>0</v>
      </c>
      <c r="C46" s="26">
        <f>'8'!C46</f>
        <v>0</v>
      </c>
      <c r="D46" s="26"/>
      <c r="E46" s="12"/>
      <c r="F46" s="2">
        <f>E46+'8'!F46</f>
        <v>0</v>
      </c>
      <c r="G46" s="2"/>
      <c r="H46" s="2">
        <f>G46+'8'!H46</f>
        <v>0</v>
      </c>
      <c r="I46" s="2"/>
      <c r="J46" s="2">
        <f>I46+'8'!J46</f>
        <v>0</v>
      </c>
      <c r="K46" s="2"/>
      <c r="L46" s="2">
        <f>K46+'8'!L46</f>
        <v>0</v>
      </c>
      <c r="M46" s="2"/>
      <c r="N46" s="2">
        <f>M46+'8'!N46</f>
        <v>0</v>
      </c>
      <c r="O46" s="2"/>
      <c r="P46" s="2">
        <f>O46+'8'!P46</f>
        <v>0</v>
      </c>
      <c r="Q46" s="4">
        <f t="shared" si="4"/>
        <v>0</v>
      </c>
      <c r="R46" s="4">
        <f>Q46+'8'!R46</f>
        <v>0</v>
      </c>
      <c r="S46" s="27" t="e">
        <f t="shared" si="5"/>
        <v>#DIV/0!</v>
      </c>
      <c r="T46" s="12"/>
      <c r="U46" s="12">
        <f>T46+'8'!U46</f>
        <v>0</v>
      </c>
      <c r="V46" s="12"/>
      <c r="W46" s="12">
        <f>V46+'8'!W46</f>
        <v>0</v>
      </c>
      <c r="X46" s="12"/>
      <c r="Y46" s="12">
        <f>X46+'8'!Y46</f>
        <v>0</v>
      </c>
      <c r="AB46" s="5">
        <v>36</v>
      </c>
      <c r="AC46" s="26">
        <f>'8'!AC46</f>
        <v>0</v>
      </c>
      <c r="AD46" s="28">
        <f>'8'!AI46</f>
        <v>0</v>
      </c>
      <c r="AE46" s="3"/>
      <c r="AF46" s="28">
        <f>AE46+'8'!AF46</f>
        <v>0</v>
      </c>
      <c r="AG46" s="4"/>
      <c r="AH46" s="28">
        <f>AG46+'8'!AH46</f>
        <v>0</v>
      </c>
      <c r="AI46" s="4">
        <f t="shared" si="6"/>
        <v>0</v>
      </c>
      <c r="AJ46" s="11" t="e">
        <f t="shared" si="0"/>
        <v>#DIV/0!</v>
      </c>
      <c r="AK46" s="53" t="e">
        <f t="shared" si="1"/>
        <v>#DIV/0!</v>
      </c>
      <c r="AW46" s="26">
        <f>'8'!AW46</f>
        <v>0</v>
      </c>
      <c r="AX46" s="12">
        <f>'8'!AX46</f>
        <v>0</v>
      </c>
      <c r="AY46" s="12">
        <f>'8'!AY46</f>
        <v>0</v>
      </c>
      <c r="AZ46" s="12"/>
      <c r="BA46" s="12"/>
      <c r="BB46" s="12">
        <f>BA46+'8'!BB46</f>
        <v>0</v>
      </c>
      <c r="BC46" s="30" t="e">
        <f t="shared" si="2"/>
        <v>#DIV/0!</v>
      </c>
      <c r="BD46" s="12">
        <f>'8'!BD46</f>
        <v>0</v>
      </c>
      <c r="BE46" s="12">
        <f>'8'!BE46</f>
        <v>0</v>
      </c>
      <c r="BF46" s="12"/>
      <c r="BG46" s="12"/>
      <c r="BH46" s="12">
        <f>BG46+'8'!BH46</f>
        <v>0</v>
      </c>
      <c r="BI46" s="30" t="e">
        <f t="shared" si="3"/>
        <v>#DIV/0!</v>
      </c>
    </row>
    <row r="47" spans="1:61" ht="28.9" customHeight="1" x14ac:dyDescent="0.35">
      <c r="A47" s="5">
        <v>37</v>
      </c>
      <c r="B47" s="26">
        <f>'8'!B47</f>
        <v>0</v>
      </c>
      <c r="C47" s="26">
        <f>'8'!C47</f>
        <v>0</v>
      </c>
      <c r="D47" s="26"/>
      <c r="E47" s="12"/>
      <c r="F47" s="2">
        <f>E47+'8'!F47</f>
        <v>0</v>
      </c>
      <c r="G47" s="2"/>
      <c r="H47" s="2">
        <f>G47+'8'!H47</f>
        <v>0</v>
      </c>
      <c r="I47" s="2"/>
      <c r="J47" s="2">
        <f>I47+'8'!J47</f>
        <v>0</v>
      </c>
      <c r="K47" s="2"/>
      <c r="L47" s="2">
        <f>K47+'8'!L47</f>
        <v>0</v>
      </c>
      <c r="M47" s="2"/>
      <c r="N47" s="2">
        <f>M47+'8'!N47</f>
        <v>0</v>
      </c>
      <c r="O47" s="2"/>
      <c r="P47" s="2">
        <f>O47+'8'!P47</f>
        <v>0</v>
      </c>
      <c r="Q47" s="4">
        <f t="shared" si="4"/>
        <v>0</v>
      </c>
      <c r="R47" s="4">
        <f>Q47+'8'!R47</f>
        <v>0</v>
      </c>
      <c r="S47" s="27" t="e">
        <f t="shared" si="5"/>
        <v>#DIV/0!</v>
      </c>
      <c r="T47" s="12"/>
      <c r="U47" s="12">
        <f>T47+'8'!U47</f>
        <v>0</v>
      </c>
      <c r="V47" s="12"/>
      <c r="W47" s="12">
        <f>V47+'8'!W47</f>
        <v>0</v>
      </c>
      <c r="X47" s="12"/>
      <c r="Y47" s="12">
        <f>X47+'8'!Y47</f>
        <v>0</v>
      </c>
      <c r="AB47" s="5">
        <v>37</v>
      </c>
      <c r="AC47" s="26">
        <f>'8'!AC47</f>
        <v>0</v>
      </c>
      <c r="AD47" s="28">
        <f>'8'!AI47</f>
        <v>0</v>
      </c>
      <c r="AE47" s="3"/>
      <c r="AF47" s="28">
        <f>AE47+'8'!AF47</f>
        <v>0</v>
      </c>
      <c r="AG47" s="4"/>
      <c r="AH47" s="28">
        <f>AG47+'8'!AH47</f>
        <v>0</v>
      </c>
      <c r="AI47" s="4">
        <f t="shared" si="6"/>
        <v>0</v>
      </c>
      <c r="AJ47" s="11" t="e">
        <f t="shared" si="0"/>
        <v>#DIV/0!</v>
      </c>
      <c r="AK47" s="53" t="e">
        <f t="shared" si="1"/>
        <v>#DIV/0!</v>
      </c>
      <c r="AW47" s="26">
        <f>'8'!AW47</f>
        <v>0</v>
      </c>
      <c r="AX47" s="12">
        <f>'8'!AX47</f>
        <v>0</v>
      </c>
      <c r="AY47" s="12">
        <f>'8'!AY47</f>
        <v>0</v>
      </c>
      <c r="AZ47" s="12"/>
      <c r="BA47" s="12"/>
      <c r="BB47" s="12">
        <f>BA47+'8'!BB47</f>
        <v>0</v>
      </c>
      <c r="BC47" s="30" t="e">
        <f t="shared" si="2"/>
        <v>#DIV/0!</v>
      </c>
      <c r="BD47" s="12">
        <f>'8'!BD47</f>
        <v>0</v>
      </c>
      <c r="BE47" s="12">
        <f>'8'!BE47</f>
        <v>0</v>
      </c>
      <c r="BF47" s="12"/>
      <c r="BG47" s="12"/>
      <c r="BH47" s="12">
        <f>BG47+'8'!BH47</f>
        <v>0</v>
      </c>
      <c r="BI47" s="30" t="e">
        <f t="shared" si="3"/>
        <v>#DIV/0!</v>
      </c>
    </row>
    <row r="48" spans="1:61" ht="28.9" customHeight="1" x14ac:dyDescent="0.35">
      <c r="A48" s="5">
        <v>38</v>
      </c>
      <c r="B48" s="26">
        <f>'8'!B48</f>
        <v>0</v>
      </c>
      <c r="C48" s="26">
        <f>'8'!C48</f>
        <v>0</v>
      </c>
      <c r="D48" s="26"/>
      <c r="E48" s="12"/>
      <c r="F48" s="2">
        <f>E48+'8'!F48</f>
        <v>0</v>
      </c>
      <c r="G48" s="2"/>
      <c r="H48" s="2">
        <f>G48+'8'!H48</f>
        <v>0</v>
      </c>
      <c r="I48" s="2"/>
      <c r="J48" s="2">
        <f>I48+'8'!J48</f>
        <v>0</v>
      </c>
      <c r="K48" s="2"/>
      <c r="L48" s="2">
        <f>K48+'8'!L48</f>
        <v>0</v>
      </c>
      <c r="M48" s="2"/>
      <c r="N48" s="2">
        <f>M48+'8'!N48</f>
        <v>0</v>
      </c>
      <c r="O48" s="2"/>
      <c r="P48" s="2">
        <f>O48+'8'!P48</f>
        <v>0</v>
      </c>
      <c r="Q48" s="4">
        <f t="shared" si="4"/>
        <v>0</v>
      </c>
      <c r="R48" s="4">
        <f>Q48+'8'!R48</f>
        <v>0</v>
      </c>
      <c r="S48" s="27" t="e">
        <f t="shared" si="5"/>
        <v>#DIV/0!</v>
      </c>
      <c r="T48" s="12"/>
      <c r="U48" s="12">
        <f>T48+'8'!U48</f>
        <v>0</v>
      </c>
      <c r="V48" s="12"/>
      <c r="W48" s="12">
        <f>V48+'8'!W48</f>
        <v>0</v>
      </c>
      <c r="X48" s="12"/>
      <c r="Y48" s="12">
        <f>X48+'8'!Y48</f>
        <v>0</v>
      </c>
      <c r="AB48" s="5">
        <v>38</v>
      </c>
      <c r="AC48" s="26">
        <f>'8'!AC48</f>
        <v>0</v>
      </c>
      <c r="AD48" s="28">
        <f>'8'!AI48</f>
        <v>0</v>
      </c>
      <c r="AE48" s="3"/>
      <c r="AF48" s="28">
        <f>AE48+'8'!AF48</f>
        <v>0</v>
      </c>
      <c r="AG48" s="4"/>
      <c r="AH48" s="28">
        <f>AG48+'8'!AH48</f>
        <v>0</v>
      </c>
      <c r="AI48" s="4">
        <f t="shared" si="6"/>
        <v>0</v>
      </c>
      <c r="AJ48" s="11" t="e">
        <f t="shared" si="0"/>
        <v>#DIV/0!</v>
      </c>
      <c r="AK48" s="53" t="e">
        <f t="shared" si="1"/>
        <v>#DIV/0!</v>
      </c>
      <c r="AW48" s="26">
        <f>'8'!AW48</f>
        <v>0</v>
      </c>
      <c r="AX48" s="12">
        <f>'8'!AX48</f>
        <v>0</v>
      </c>
      <c r="AY48" s="12">
        <f>'8'!AY48</f>
        <v>0</v>
      </c>
      <c r="AZ48" s="12"/>
      <c r="BA48" s="12"/>
      <c r="BB48" s="12">
        <f>BA48+'8'!BB48</f>
        <v>0</v>
      </c>
      <c r="BC48" s="30" t="e">
        <f t="shared" si="2"/>
        <v>#DIV/0!</v>
      </c>
      <c r="BD48" s="12">
        <f>'8'!BD48</f>
        <v>0</v>
      </c>
      <c r="BE48" s="12">
        <f>'8'!BE48</f>
        <v>0</v>
      </c>
      <c r="BF48" s="12"/>
      <c r="BG48" s="12"/>
      <c r="BH48" s="12">
        <f>BG48+'8'!BH48</f>
        <v>0</v>
      </c>
      <c r="BI48" s="30" t="e">
        <f t="shared" si="3"/>
        <v>#DIV/0!</v>
      </c>
    </row>
    <row r="49" spans="1:61" ht="28.9" customHeight="1" x14ac:dyDescent="0.35">
      <c r="A49" s="5">
        <v>39</v>
      </c>
      <c r="B49" s="26">
        <f>'8'!B49</f>
        <v>0</v>
      </c>
      <c r="C49" s="26">
        <f>'8'!C49</f>
        <v>0</v>
      </c>
      <c r="D49" s="26"/>
      <c r="E49" s="12"/>
      <c r="F49" s="2">
        <f>E49+'8'!F49</f>
        <v>0</v>
      </c>
      <c r="G49" s="2"/>
      <c r="H49" s="2">
        <f>G49+'8'!H49</f>
        <v>0</v>
      </c>
      <c r="I49" s="2"/>
      <c r="J49" s="2">
        <f>I49+'8'!J49</f>
        <v>0</v>
      </c>
      <c r="K49" s="2"/>
      <c r="L49" s="2">
        <f>K49+'8'!L49</f>
        <v>0</v>
      </c>
      <c r="M49" s="2"/>
      <c r="N49" s="2">
        <f>M49+'8'!N49</f>
        <v>0</v>
      </c>
      <c r="O49" s="2"/>
      <c r="P49" s="2">
        <f>O49+'8'!P49</f>
        <v>0</v>
      </c>
      <c r="Q49" s="4">
        <f t="shared" si="4"/>
        <v>0</v>
      </c>
      <c r="R49" s="4">
        <f>Q49+'8'!R49</f>
        <v>0</v>
      </c>
      <c r="S49" s="27" t="e">
        <f t="shared" si="5"/>
        <v>#DIV/0!</v>
      </c>
      <c r="T49" s="12"/>
      <c r="U49" s="12">
        <f>T49+'8'!U49</f>
        <v>0</v>
      </c>
      <c r="V49" s="12"/>
      <c r="W49" s="12">
        <f>V49+'8'!W49</f>
        <v>0</v>
      </c>
      <c r="X49" s="12"/>
      <c r="Y49" s="12">
        <f>X49+'8'!Y49</f>
        <v>0</v>
      </c>
      <c r="AB49" s="5">
        <v>39</v>
      </c>
      <c r="AC49" s="26">
        <f>'8'!AC49</f>
        <v>0</v>
      </c>
      <c r="AD49" s="28">
        <f>'8'!AI49</f>
        <v>0</v>
      </c>
      <c r="AE49" s="3"/>
      <c r="AF49" s="28">
        <f>AE49+'8'!AF49</f>
        <v>0</v>
      </c>
      <c r="AG49" s="4"/>
      <c r="AH49" s="28">
        <f>AG49+'8'!AH49</f>
        <v>0</v>
      </c>
      <c r="AI49" s="4">
        <f t="shared" si="6"/>
        <v>0</v>
      </c>
      <c r="AJ49" s="11" t="e">
        <f t="shared" si="0"/>
        <v>#DIV/0!</v>
      </c>
      <c r="AK49" s="53" t="e">
        <f t="shared" si="1"/>
        <v>#DIV/0!</v>
      </c>
      <c r="AW49" s="26">
        <f>'8'!AW49</f>
        <v>0</v>
      </c>
      <c r="AX49" s="12">
        <f>'8'!AX49</f>
        <v>0</v>
      </c>
      <c r="AY49" s="12">
        <f>'8'!AY49</f>
        <v>0</v>
      </c>
      <c r="AZ49" s="12"/>
      <c r="BA49" s="12"/>
      <c r="BB49" s="12">
        <f>BA49+'8'!BB49</f>
        <v>0</v>
      </c>
      <c r="BC49" s="30" t="e">
        <f t="shared" si="2"/>
        <v>#DIV/0!</v>
      </c>
      <c r="BD49" s="12">
        <f>'8'!BD49</f>
        <v>0</v>
      </c>
      <c r="BE49" s="12">
        <f>'8'!BE49</f>
        <v>0</v>
      </c>
      <c r="BF49" s="12"/>
      <c r="BG49" s="12"/>
      <c r="BH49" s="12">
        <f>BG49+'8'!BH49</f>
        <v>0</v>
      </c>
      <c r="BI49" s="30" t="e">
        <f t="shared" si="3"/>
        <v>#DIV/0!</v>
      </c>
    </row>
    <row r="50" spans="1:61" ht="28.9" customHeight="1" x14ac:dyDescent="0.35">
      <c r="A50" s="5">
        <v>40</v>
      </c>
      <c r="B50" s="26">
        <f>'8'!B50</f>
        <v>0</v>
      </c>
      <c r="C50" s="26">
        <f>'8'!C50</f>
        <v>0</v>
      </c>
      <c r="D50" s="26"/>
      <c r="E50" s="12"/>
      <c r="F50" s="2">
        <f>E50+'8'!F50</f>
        <v>0</v>
      </c>
      <c r="G50" s="2"/>
      <c r="H50" s="2">
        <f>G50+'8'!H50</f>
        <v>0</v>
      </c>
      <c r="I50" s="2"/>
      <c r="J50" s="2">
        <f>I50+'8'!J50</f>
        <v>0</v>
      </c>
      <c r="K50" s="2"/>
      <c r="L50" s="2">
        <f>K50+'8'!L50</f>
        <v>0</v>
      </c>
      <c r="M50" s="2"/>
      <c r="N50" s="2">
        <f>M50+'8'!N50</f>
        <v>0</v>
      </c>
      <c r="O50" s="2"/>
      <c r="P50" s="2">
        <f>O50+'8'!P50</f>
        <v>0</v>
      </c>
      <c r="Q50" s="4">
        <f t="shared" si="4"/>
        <v>0</v>
      </c>
      <c r="R50" s="4">
        <f>Q50+'8'!R50</f>
        <v>0</v>
      </c>
      <c r="S50" s="27" t="e">
        <f t="shared" si="5"/>
        <v>#DIV/0!</v>
      </c>
      <c r="T50" s="12"/>
      <c r="U50" s="12">
        <f>T50+'8'!U50</f>
        <v>0</v>
      </c>
      <c r="V50" s="12"/>
      <c r="W50" s="12">
        <f>V50+'8'!W50</f>
        <v>0</v>
      </c>
      <c r="X50" s="12"/>
      <c r="Y50" s="12">
        <f>X50+'8'!Y50</f>
        <v>0</v>
      </c>
      <c r="AB50" s="5">
        <v>40</v>
      </c>
      <c r="AC50" s="26">
        <f>'8'!AC50</f>
        <v>0</v>
      </c>
      <c r="AD50" s="28">
        <f>'8'!AI50</f>
        <v>0</v>
      </c>
      <c r="AE50" s="3"/>
      <c r="AF50" s="28">
        <f>AE50+'8'!AF50</f>
        <v>0</v>
      </c>
      <c r="AG50" s="4"/>
      <c r="AH50" s="28">
        <f>AG50+'8'!AH50</f>
        <v>0</v>
      </c>
      <c r="AI50" s="4">
        <f t="shared" si="6"/>
        <v>0</v>
      </c>
      <c r="AJ50" s="11" t="e">
        <f t="shared" si="0"/>
        <v>#DIV/0!</v>
      </c>
      <c r="AK50" s="53" t="e">
        <f t="shared" si="1"/>
        <v>#DIV/0!</v>
      </c>
      <c r="AW50" s="26">
        <f>'8'!AW50</f>
        <v>0</v>
      </c>
      <c r="AX50" s="12">
        <f>'8'!AX50</f>
        <v>0</v>
      </c>
      <c r="AY50" s="12">
        <f>'8'!AY50</f>
        <v>0</v>
      </c>
      <c r="AZ50" s="12"/>
      <c r="BA50" s="12"/>
      <c r="BB50" s="12">
        <f>BA50+'8'!BB50</f>
        <v>0</v>
      </c>
      <c r="BC50" s="30" t="e">
        <f t="shared" si="2"/>
        <v>#DIV/0!</v>
      </c>
      <c r="BD50" s="12">
        <f>'8'!BD50</f>
        <v>0</v>
      </c>
      <c r="BE50" s="12">
        <f>'8'!BE50</f>
        <v>0</v>
      </c>
      <c r="BF50" s="12"/>
      <c r="BG50" s="12"/>
      <c r="BH50" s="12">
        <f>BG50+'8'!BH50</f>
        <v>0</v>
      </c>
      <c r="BI50" s="30" t="e">
        <f t="shared" si="3"/>
        <v>#DIV/0!</v>
      </c>
    </row>
    <row r="51" spans="1:61" ht="25.5" thickBot="1" x14ac:dyDescent="0.4">
      <c r="A51" s="321" t="s">
        <v>26</v>
      </c>
      <c r="B51" s="321"/>
      <c r="C51" s="35">
        <f>SUM(C11:C50)</f>
        <v>97446</v>
      </c>
      <c r="D51" s="35">
        <f>SUM(D11:D50)</f>
        <v>0</v>
      </c>
      <c r="E51" s="6">
        <f>SUM(E11:E50)</f>
        <v>0</v>
      </c>
      <c r="F51" s="6">
        <f>SUM(F11:F50)</f>
        <v>533</v>
      </c>
      <c r="G51" s="6">
        <f t="shared" ref="G51:R51" si="8">SUM(G11:G50)</f>
        <v>0</v>
      </c>
      <c r="H51" s="6">
        <f t="shared" si="8"/>
        <v>14954</v>
      </c>
      <c r="I51" s="6">
        <f t="shared" si="8"/>
        <v>0</v>
      </c>
      <c r="J51" s="6">
        <f t="shared" si="8"/>
        <v>37926</v>
      </c>
      <c r="K51" s="6">
        <f t="shared" si="8"/>
        <v>0</v>
      </c>
      <c r="L51" s="6">
        <f t="shared" si="8"/>
        <v>0</v>
      </c>
      <c r="M51" s="6">
        <f t="shared" si="8"/>
        <v>0</v>
      </c>
      <c r="N51" s="6">
        <f t="shared" si="8"/>
        <v>0</v>
      </c>
      <c r="O51" s="6">
        <f t="shared" si="8"/>
        <v>0</v>
      </c>
      <c r="P51" s="6">
        <f t="shared" si="8"/>
        <v>0</v>
      </c>
      <c r="Q51" s="6">
        <f t="shared" si="8"/>
        <v>0</v>
      </c>
      <c r="R51" s="6">
        <f t="shared" si="8"/>
        <v>53413</v>
      </c>
      <c r="S51" s="10">
        <f>R51/C51</f>
        <v>0.54812922028610722</v>
      </c>
      <c r="T51" s="23">
        <f t="shared" ref="T51:Y51" si="9">SUM(T11:T50)</f>
        <v>0</v>
      </c>
      <c r="U51" s="23">
        <f t="shared" si="9"/>
        <v>7532</v>
      </c>
      <c r="V51" s="23">
        <f t="shared" si="9"/>
        <v>0</v>
      </c>
      <c r="W51" s="23">
        <f t="shared" si="9"/>
        <v>1107</v>
      </c>
      <c r="X51" s="23">
        <f t="shared" si="9"/>
        <v>0</v>
      </c>
      <c r="Y51" s="23">
        <f t="shared" si="9"/>
        <v>2</v>
      </c>
      <c r="AB51" s="37" t="s">
        <v>29</v>
      </c>
      <c r="AC51" s="37"/>
      <c r="AD51" s="34">
        <f t="shared" ref="AD51:AI51" si="10">SUM(AD11:AD50)</f>
        <v>3133</v>
      </c>
      <c r="AE51" s="23">
        <f t="shared" si="10"/>
        <v>0</v>
      </c>
      <c r="AF51" s="14">
        <f t="shared" si="10"/>
        <v>8632</v>
      </c>
      <c r="AG51" s="14">
        <f t="shared" si="10"/>
        <v>0</v>
      </c>
      <c r="AH51" s="14">
        <f t="shared" si="10"/>
        <v>5499</v>
      </c>
      <c r="AI51" s="14">
        <f t="shared" si="10"/>
        <v>3133</v>
      </c>
      <c r="AJ51" s="11" t="e">
        <f t="shared" si="0"/>
        <v>#DIV/0!</v>
      </c>
      <c r="AK51" s="53">
        <f t="shared" si="1"/>
        <v>9.713220585561011</v>
      </c>
      <c r="AW51" s="33" t="s">
        <v>26</v>
      </c>
      <c r="AX51" s="13">
        <f>SUM(AX11:AX50)</f>
        <v>121</v>
      </c>
      <c r="AY51" s="13">
        <f>SUM(AY11:AY50)</f>
        <v>50910</v>
      </c>
      <c r="AZ51" s="13">
        <f>SUM(AZ11:AZ50)</f>
        <v>0</v>
      </c>
      <c r="BA51" s="13">
        <f>SUM(BA11:BA50)</f>
        <v>0</v>
      </c>
      <c r="BB51" s="13">
        <f>SUM(BB11:BB50)</f>
        <v>39924</v>
      </c>
      <c r="BC51" s="31">
        <f t="shared" si="2"/>
        <v>0.78420742486741313</v>
      </c>
      <c r="BD51" s="32">
        <f>SUM(BD11:BD50)</f>
        <v>241</v>
      </c>
      <c r="BE51" s="32">
        <f>SUM(BE11:BE50)</f>
        <v>14990</v>
      </c>
      <c r="BF51" s="32">
        <f>SUM(BF11:BF50)</f>
        <v>0</v>
      </c>
      <c r="BG51" s="32">
        <f>SUM(BG11:BG50)</f>
        <v>0</v>
      </c>
      <c r="BH51" s="32">
        <f>SUM(BH11:BH50)</f>
        <v>9274</v>
      </c>
      <c r="BI51" s="31">
        <f t="shared" si="3"/>
        <v>0.61867911941294196</v>
      </c>
    </row>
    <row r="52" spans="1:61" ht="17.5" x14ac:dyDescent="0.35">
      <c r="AB52" s="36"/>
      <c r="AC52" s="36"/>
      <c r="AD52" s="36"/>
      <c r="AE52" s="36"/>
      <c r="AF52" s="40"/>
      <c r="AG52" s="40"/>
      <c r="AH52" s="40"/>
      <c r="AI52" s="41"/>
      <c r="AJ52" s="15"/>
      <c r="AK52" s="15"/>
    </row>
    <row r="54" spans="1:61" ht="18.5" x14ac:dyDescent="0.45">
      <c r="G54" s="322" t="s">
        <v>36</v>
      </c>
      <c r="H54" s="322"/>
      <c r="I54" s="322"/>
      <c r="J54" s="322"/>
      <c r="K54" s="322"/>
      <c r="L54" s="322"/>
      <c r="M54" s="322"/>
      <c r="N54" s="322"/>
      <c r="O54" s="322"/>
      <c r="P54" s="322"/>
      <c r="Q54" s="322"/>
      <c r="R54" s="322"/>
      <c r="S54" s="322"/>
      <c r="AB54" s="313" t="s">
        <v>44</v>
      </c>
      <c r="AC54" s="313"/>
      <c r="AD54" s="313"/>
      <c r="AE54" s="313"/>
      <c r="AF54" s="313"/>
      <c r="AG54" s="313"/>
      <c r="AH54" s="313"/>
      <c r="AI54" s="313"/>
      <c r="AJ54" s="313"/>
      <c r="AK54" s="313"/>
      <c r="AL54" s="313"/>
      <c r="AM54" s="313"/>
      <c r="AN54" s="313"/>
    </row>
    <row r="55" spans="1:61" ht="18.5" x14ac:dyDescent="0.45">
      <c r="AX55" s="313" t="s">
        <v>44</v>
      </c>
      <c r="AY55" s="313"/>
      <c r="AZ55" s="313"/>
      <c r="BA55" s="313"/>
      <c r="BB55" s="313"/>
      <c r="BC55" s="313"/>
      <c r="BD55" s="313"/>
      <c r="BE55" s="313"/>
      <c r="BF55" s="313"/>
      <c r="BG55" s="313"/>
      <c r="BH55" s="313"/>
      <c r="BI55" s="313"/>
    </row>
    <row r="56" spans="1:61" ht="15.5" x14ac:dyDescent="0.35">
      <c r="AG56" s="38"/>
      <c r="AH56" s="38"/>
      <c r="AI56" s="38"/>
    </row>
  </sheetData>
  <mergeCells count="56">
    <mergeCell ref="A6:Y6"/>
    <mergeCell ref="AF6:AN6"/>
    <mergeCell ref="AY6:BI6"/>
    <mergeCell ref="A7:Y7"/>
    <mergeCell ref="A8:A10"/>
    <mergeCell ref="B8:B10"/>
    <mergeCell ref="C8:C10"/>
    <mergeCell ref="D8:D10"/>
    <mergeCell ref="E8:J8"/>
    <mergeCell ref="K8:P8"/>
    <mergeCell ref="Q8:R9"/>
    <mergeCell ref="S8:S10"/>
    <mergeCell ref="T8:U9"/>
    <mergeCell ref="V8:W9"/>
    <mergeCell ref="X8:Y9"/>
    <mergeCell ref="AB8:AB10"/>
    <mergeCell ref="AN8:AN9"/>
    <mergeCell ref="AO8:AO9"/>
    <mergeCell ref="AP8:AQ8"/>
    <mergeCell ref="AR8:AS8"/>
    <mergeCell ref="AC8:AC10"/>
    <mergeCell ref="AD8:AD10"/>
    <mergeCell ref="AE8:AF9"/>
    <mergeCell ref="AG8:AH9"/>
    <mergeCell ref="AI8:AI10"/>
    <mergeCell ref="AJ8:AJ10"/>
    <mergeCell ref="AW8:AW10"/>
    <mergeCell ref="AX8:BC8"/>
    <mergeCell ref="BD8:BI8"/>
    <mergeCell ref="E9:F9"/>
    <mergeCell ref="G9:H9"/>
    <mergeCell ref="I9:J9"/>
    <mergeCell ref="K9:L9"/>
    <mergeCell ref="M9:N9"/>
    <mergeCell ref="AK8:AK10"/>
    <mergeCell ref="AM8:AM13"/>
    <mergeCell ref="BF9:BF10"/>
    <mergeCell ref="BG9:BG10"/>
    <mergeCell ref="BH9:BH10"/>
    <mergeCell ref="O9:P9"/>
    <mergeCell ref="AX9:AX10"/>
    <mergeCell ref="AY9:AY10"/>
    <mergeCell ref="AZ9:AZ10"/>
    <mergeCell ref="BA9:BA10"/>
    <mergeCell ref="BB9:BB10"/>
    <mergeCell ref="AT8:AT9"/>
    <mergeCell ref="AX55:BI55"/>
    <mergeCell ref="BI9:BI10"/>
    <mergeCell ref="AM14:AN14"/>
    <mergeCell ref="AO14:AS14"/>
    <mergeCell ref="A51:B51"/>
    <mergeCell ref="G54:S54"/>
    <mergeCell ref="AB54:AN54"/>
    <mergeCell ref="BC9:BC10"/>
    <mergeCell ref="BD9:BD10"/>
    <mergeCell ref="BE9:BE10"/>
  </mergeCells>
  <pageMargins left="0.7" right="0.7" top="0.75" bottom="0.75" header="0.3" footer="0.3"/>
  <pageSetup paperSize="9" scale="17" orientation="landscape" r:id="rId1"/>
  <colBreaks count="2" manualBreakCount="2">
    <brk id="26" max="55" man="1"/>
    <brk id="47" max="5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812C9-3F56-4C61-A77B-02FBFE723411}">
  <dimension ref="A1:BJ56"/>
  <sheetViews>
    <sheetView rightToLeft="1" view="pageBreakPreview" topLeftCell="AA1" zoomScale="55" zoomScaleNormal="29" zoomScalePageLayoutView="40" workbookViewId="0">
      <selection activeCell="AO16" sqref="AO16"/>
    </sheetView>
  </sheetViews>
  <sheetFormatPr defaultRowHeight="14.5" x14ac:dyDescent="0.35"/>
  <cols>
    <col min="1" max="1" width="11.26953125" style="1" customWidth="1"/>
    <col min="2" max="4" width="18.7265625" style="1" customWidth="1"/>
    <col min="5" max="6" width="15.26953125" customWidth="1"/>
    <col min="7" max="7" width="18.453125" customWidth="1"/>
    <col min="8" max="8" width="16.81640625" customWidth="1"/>
    <col min="9" max="9" width="15.26953125" customWidth="1"/>
    <col min="10" max="10" width="15.54296875" customWidth="1"/>
    <col min="11" max="23" width="15.26953125" customWidth="1"/>
    <col min="24" max="25" width="12.54296875" customWidth="1"/>
    <col min="27" max="27" width="19.1796875" customWidth="1"/>
    <col min="28" max="30" width="15.26953125" customWidth="1"/>
    <col min="31" max="32" width="13.7265625" customWidth="1"/>
    <col min="33" max="33" width="14.1796875" customWidth="1"/>
    <col min="34" max="34" width="13" customWidth="1"/>
    <col min="35" max="35" width="18.26953125" customWidth="1"/>
    <col min="36" max="40" width="15" customWidth="1"/>
    <col min="41" max="41" width="16.7265625" customWidth="1"/>
    <col min="42" max="42" width="18" customWidth="1"/>
    <col min="43" max="46" width="15" customWidth="1"/>
    <col min="47" max="47" width="14" style="1" customWidth="1"/>
    <col min="49" max="49" width="15.1796875" customWidth="1"/>
    <col min="50" max="50" width="22.26953125" customWidth="1"/>
    <col min="51" max="51" width="16.26953125" customWidth="1"/>
    <col min="52" max="52" width="13.453125" customWidth="1"/>
    <col min="53" max="53" width="14" customWidth="1"/>
    <col min="54" max="54" width="11.7265625" customWidth="1"/>
    <col min="55" max="55" width="14.26953125" customWidth="1"/>
    <col min="56" max="56" width="17.7265625" customWidth="1"/>
    <col min="57" max="57" width="22.453125" customWidth="1"/>
    <col min="58" max="58" width="17.7265625" customWidth="1"/>
    <col min="59" max="59" width="11.7265625" customWidth="1"/>
    <col min="60" max="60" width="16.81640625" customWidth="1"/>
    <col min="61" max="61" width="12.81640625" customWidth="1"/>
    <col min="62" max="62" width="15.26953125" customWidth="1"/>
  </cols>
  <sheetData>
    <row r="1" spans="1:62" s="21" customFormat="1" ht="23.5" x14ac:dyDescent="0.55000000000000004">
      <c r="A1" s="22" t="s">
        <v>0</v>
      </c>
      <c r="B1" s="22"/>
      <c r="C1" s="22"/>
      <c r="D1" s="18"/>
      <c r="E1" s="18"/>
      <c r="F1" s="18"/>
      <c r="G1" s="18"/>
      <c r="H1" s="18"/>
      <c r="I1" s="18"/>
      <c r="J1" s="18"/>
      <c r="K1" s="18"/>
      <c r="L1" s="18"/>
      <c r="M1" s="18"/>
      <c r="N1" s="19"/>
      <c r="O1" s="19"/>
      <c r="P1" s="18"/>
      <c r="Q1" s="18"/>
      <c r="R1" s="18"/>
      <c r="S1" s="18"/>
      <c r="T1" s="18"/>
      <c r="U1" s="18"/>
      <c r="V1" s="18"/>
      <c r="W1" s="18"/>
      <c r="X1" s="18"/>
      <c r="Y1" s="18"/>
      <c r="AA1" s="29"/>
      <c r="AB1" s="22" t="s">
        <v>0</v>
      </c>
      <c r="AC1" s="22"/>
      <c r="AD1" s="29"/>
      <c r="AE1" s="29"/>
      <c r="AF1" s="29"/>
      <c r="AU1" s="54"/>
      <c r="AW1" s="22" t="s">
        <v>0</v>
      </c>
      <c r="AX1" s="22"/>
      <c r="AY1" s="22"/>
      <c r="AZ1" s="18"/>
      <c r="BA1" s="18"/>
      <c r="BB1" s="18"/>
      <c r="BC1" s="18"/>
      <c r="BD1" s="18"/>
      <c r="BE1" s="20"/>
      <c r="BF1" s="19"/>
      <c r="BI1" s="29"/>
      <c r="BJ1" s="29"/>
    </row>
    <row r="2" spans="1:62" s="21" customFormat="1" ht="23.5" x14ac:dyDescent="0.55000000000000004">
      <c r="A2" s="22" t="s">
        <v>21</v>
      </c>
      <c r="B2" s="22"/>
      <c r="C2" s="22"/>
      <c r="D2" s="18"/>
      <c r="E2" s="18"/>
      <c r="F2" s="18"/>
      <c r="G2" s="18"/>
      <c r="H2" s="18"/>
      <c r="I2" s="18"/>
      <c r="J2" s="18"/>
      <c r="K2" s="18"/>
      <c r="L2" s="18"/>
      <c r="M2" s="18"/>
      <c r="N2" s="19"/>
      <c r="O2" s="19"/>
      <c r="P2" s="18"/>
      <c r="Q2" s="18"/>
      <c r="R2" s="18"/>
      <c r="S2" s="18"/>
      <c r="T2" s="18"/>
      <c r="U2" s="18"/>
      <c r="V2" s="18"/>
      <c r="W2" s="18"/>
      <c r="X2" s="18"/>
      <c r="Y2" s="18"/>
      <c r="AA2" s="29"/>
      <c r="AB2" s="22" t="s">
        <v>21</v>
      </c>
      <c r="AC2" s="22"/>
      <c r="AD2" s="29"/>
      <c r="AE2" s="29"/>
      <c r="AF2" s="29"/>
      <c r="AU2" s="54"/>
      <c r="AW2" s="22" t="s">
        <v>21</v>
      </c>
      <c r="AX2" s="22"/>
      <c r="AY2" s="22"/>
      <c r="AZ2" s="18"/>
      <c r="BA2" s="18"/>
      <c r="BB2" s="18"/>
      <c r="BC2" s="18"/>
      <c r="BD2" s="18"/>
      <c r="BE2" s="20"/>
      <c r="BF2" s="19"/>
      <c r="BI2" s="29"/>
      <c r="BJ2" s="29"/>
    </row>
    <row r="3" spans="1:62" s="21" customFormat="1" ht="23.5" x14ac:dyDescent="0.55000000000000004">
      <c r="A3" s="22" t="s">
        <v>22</v>
      </c>
      <c r="B3" s="22"/>
      <c r="C3" s="22"/>
      <c r="D3" s="18"/>
      <c r="E3" s="18"/>
      <c r="F3" s="18"/>
      <c r="G3" s="18"/>
      <c r="H3" s="18"/>
      <c r="I3" s="18"/>
      <c r="J3" s="18"/>
      <c r="K3" s="18"/>
      <c r="L3" s="18"/>
      <c r="M3" s="18"/>
      <c r="N3" s="19"/>
      <c r="O3" s="19"/>
      <c r="P3" s="18"/>
      <c r="Q3" s="18"/>
      <c r="R3" s="18"/>
      <c r="S3" s="18"/>
      <c r="T3" s="18"/>
      <c r="U3" s="18"/>
      <c r="V3" s="18"/>
      <c r="W3" s="18"/>
      <c r="X3" s="18"/>
      <c r="Y3" s="18"/>
      <c r="AA3" s="29"/>
      <c r="AB3" s="22" t="s">
        <v>22</v>
      </c>
      <c r="AC3" s="22"/>
      <c r="AD3" s="29"/>
      <c r="AE3" s="29"/>
      <c r="AF3" s="29"/>
      <c r="AU3" s="54"/>
      <c r="AW3" s="22" t="s">
        <v>22</v>
      </c>
      <c r="AX3" s="22"/>
      <c r="AY3" s="22"/>
      <c r="AZ3" s="18"/>
      <c r="BA3" s="18"/>
      <c r="BB3" s="18"/>
      <c r="BC3" s="18"/>
      <c r="BD3" s="18"/>
      <c r="BE3" s="20"/>
      <c r="BF3" s="19"/>
      <c r="BI3" s="29"/>
      <c r="BJ3" s="29"/>
    </row>
    <row r="4" spans="1:62" s="21" customFormat="1" ht="23.5" x14ac:dyDescent="0.55000000000000004">
      <c r="A4" s="22" t="s">
        <v>23</v>
      </c>
      <c r="B4" s="22"/>
      <c r="C4" s="22"/>
      <c r="D4" s="19"/>
      <c r="E4" s="20"/>
      <c r="F4" s="20"/>
      <c r="G4" s="20"/>
      <c r="H4" s="20"/>
      <c r="I4" s="18"/>
      <c r="J4" s="18"/>
      <c r="K4" s="18"/>
      <c r="L4" s="18"/>
      <c r="M4" s="18"/>
      <c r="N4" s="19"/>
      <c r="O4" s="19"/>
      <c r="P4" s="18"/>
      <c r="Q4" s="18"/>
      <c r="R4" s="18"/>
      <c r="S4" s="18"/>
      <c r="T4" s="18"/>
      <c r="U4" s="18"/>
      <c r="V4" s="18"/>
      <c r="W4" s="18"/>
      <c r="X4" s="18"/>
      <c r="Y4" s="18"/>
      <c r="AB4" s="22" t="s">
        <v>23</v>
      </c>
      <c r="AC4" s="22"/>
      <c r="AU4" s="54"/>
      <c r="AW4" s="22" t="s">
        <v>23</v>
      </c>
      <c r="AX4" s="22"/>
      <c r="AY4" s="22"/>
      <c r="AZ4" s="19"/>
      <c r="BA4" s="18"/>
      <c r="BB4" s="18"/>
      <c r="BC4" s="18"/>
      <c r="BD4" s="18"/>
      <c r="BE4" s="20"/>
      <c r="BF4" s="19"/>
    </row>
    <row r="5" spans="1:62" s="21" customFormat="1" ht="23.5" x14ac:dyDescent="0.55000000000000004">
      <c r="A5" s="22" t="s">
        <v>1</v>
      </c>
      <c r="B5" s="22"/>
      <c r="C5" s="22"/>
      <c r="D5" s="19"/>
      <c r="E5" s="18"/>
      <c r="F5" s="18"/>
      <c r="G5" s="18"/>
      <c r="H5" s="18"/>
      <c r="I5" s="18"/>
      <c r="J5" s="18"/>
      <c r="K5" s="18"/>
      <c r="L5" s="18"/>
      <c r="M5" s="18"/>
      <c r="N5" s="19"/>
      <c r="O5" s="19"/>
      <c r="P5" s="18"/>
      <c r="Q5" s="18"/>
      <c r="R5" s="18"/>
      <c r="S5" s="18"/>
      <c r="T5" s="18"/>
      <c r="U5" s="18"/>
      <c r="V5" s="18"/>
      <c r="W5" s="18"/>
      <c r="X5" s="18"/>
      <c r="Y5" s="18"/>
      <c r="AB5" s="22" t="s">
        <v>1</v>
      </c>
      <c r="AC5" s="22"/>
      <c r="AU5" s="54"/>
      <c r="AW5" s="22" t="s">
        <v>1</v>
      </c>
      <c r="AX5" s="22"/>
      <c r="AY5" s="22"/>
      <c r="AZ5" s="19"/>
      <c r="BA5" s="18"/>
      <c r="BB5" s="18"/>
      <c r="BC5" s="18"/>
      <c r="BD5" s="18"/>
      <c r="BE5" s="20"/>
      <c r="BF5" s="19"/>
    </row>
    <row r="6" spans="1:62" ht="20" x14ac:dyDescent="0.4">
      <c r="A6" s="362" t="s">
        <v>18</v>
      </c>
      <c r="B6" s="362"/>
      <c r="C6" s="362"/>
      <c r="D6" s="362"/>
      <c r="E6" s="362"/>
      <c r="F6" s="362"/>
      <c r="G6" s="362"/>
      <c r="H6" s="362"/>
      <c r="I6" s="362"/>
      <c r="J6" s="362"/>
      <c r="K6" s="362"/>
      <c r="L6" s="362"/>
      <c r="M6" s="362"/>
      <c r="N6" s="362"/>
      <c r="O6" s="362"/>
      <c r="P6" s="362"/>
      <c r="Q6" s="362"/>
      <c r="R6" s="362"/>
      <c r="S6" s="362"/>
      <c r="T6" s="362"/>
      <c r="U6" s="362"/>
      <c r="V6" s="362"/>
      <c r="W6" s="362"/>
      <c r="X6" s="362"/>
      <c r="Y6" s="362"/>
      <c r="AF6" s="362" t="s">
        <v>16</v>
      </c>
      <c r="AG6" s="362"/>
      <c r="AH6" s="362"/>
      <c r="AI6" s="362"/>
      <c r="AJ6" s="362"/>
      <c r="AK6" s="362"/>
      <c r="AL6" s="362"/>
      <c r="AM6" s="362"/>
      <c r="AN6" s="362"/>
      <c r="AO6" s="24"/>
      <c r="AP6" s="24"/>
      <c r="AQ6" s="24"/>
      <c r="AR6" s="24"/>
      <c r="AS6" s="24"/>
      <c r="AT6" s="24"/>
      <c r="AY6" s="362" t="s">
        <v>30</v>
      </c>
      <c r="AZ6" s="362"/>
      <c r="BA6" s="362"/>
      <c r="BB6" s="362"/>
      <c r="BC6" s="362"/>
      <c r="BD6" s="362"/>
      <c r="BE6" s="362"/>
      <c r="BF6" s="362"/>
      <c r="BG6" s="362"/>
      <c r="BH6" s="362"/>
      <c r="BI6" s="362"/>
    </row>
    <row r="7" spans="1:62" ht="20.5" thickBot="1" x14ac:dyDescent="0.45">
      <c r="A7" s="363" t="s">
        <v>27</v>
      </c>
      <c r="B7" s="364"/>
      <c r="C7" s="364"/>
      <c r="D7" s="364"/>
      <c r="E7" s="363"/>
      <c r="F7" s="363"/>
      <c r="G7" s="363"/>
      <c r="H7" s="363"/>
      <c r="I7" s="363"/>
      <c r="J7" s="363"/>
      <c r="K7" s="363"/>
      <c r="L7" s="363"/>
      <c r="M7" s="363"/>
      <c r="N7" s="363"/>
      <c r="O7" s="363"/>
      <c r="P7" s="363"/>
      <c r="Q7" s="363"/>
      <c r="R7" s="363"/>
      <c r="S7" s="363"/>
      <c r="T7" s="364"/>
      <c r="U7" s="364"/>
      <c r="V7" s="364"/>
      <c r="W7" s="364"/>
      <c r="X7" s="364"/>
      <c r="Y7" s="364"/>
      <c r="AJ7" s="25" t="s">
        <v>31</v>
      </c>
      <c r="AK7" s="25"/>
      <c r="AL7" s="25"/>
      <c r="AN7" s="25"/>
      <c r="AO7" s="25"/>
      <c r="AP7" s="25"/>
      <c r="AQ7" s="25"/>
      <c r="AS7" s="25"/>
      <c r="AT7" s="25"/>
      <c r="BC7" s="25" t="s">
        <v>31</v>
      </c>
      <c r="BD7" s="25"/>
      <c r="BF7" s="25"/>
      <c r="BG7" s="25"/>
      <c r="BH7" s="25"/>
      <c r="BI7" s="25"/>
      <c r="BJ7" s="25"/>
    </row>
    <row r="8" spans="1:62" ht="41.5" customHeight="1" x14ac:dyDescent="0.35">
      <c r="A8" s="326" t="s">
        <v>24</v>
      </c>
      <c r="B8" s="365" t="s">
        <v>25</v>
      </c>
      <c r="C8" s="366" t="s">
        <v>11</v>
      </c>
      <c r="D8" s="366" t="s">
        <v>15</v>
      </c>
      <c r="E8" s="330" t="s">
        <v>5</v>
      </c>
      <c r="F8" s="330"/>
      <c r="G8" s="330"/>
      <c r="H8" s="330"/>
      <c r="I8" s="330"/>
      <c r="J8" s="330"/>
      <c r="K8" s="330" t="s">
        <v>7</v>
      </c>
      <c r="L8" s="330"/>
      <c r="M8" s="330"/>
      <c r="N8" s="330"/>
      <c r="O8" s="330"/>
      <c r="P8" s="330"/>
      <c r="Q8" s="356" t="s">
        <v>2</v>
      </c>
      <c r="R8" s="350"/>
      <c r="S8" s="358" t="s">
        <v>12</v>
      </c>
      <c r="T8" s="323" t="s">
        <v>8</v>
      </c>
      <c r="U8" s="323"/>
      <c r="V8" s="323" t="s">
        <v>9</v>
      </c>
      <c r="W8" s="323"/>
      <c r="X8" s="323" t="s">
        <v>20</v>
      </c>
      <c r="Y8" s="323"/>
      <c r="AB8" s="326" t="s">
        <v>24</v>
      </c>
      <c r="AC8" s="342" t="s">
        <v>28</v>
      </c>
      <c r="AD8" s="342" t="s">
        <v>14</v>
      </c>
      <c r="AE8" s="345" t="s">
        <v>45</v>
      </c>
      <c r="AF8" s="346"/>
      <c r="AG8" s="349" t="s">
        <v>10</v>
      </c>
      <c r="AH8" s="350"/>
      <c r="AI8" s="353" t="s">
        <v>46</v>
      </c>
      <c r="AJ8" s="336" t="s">
        <v>51</v>
      </c>
      <c r="AK8" s="336" t="s">
        <v>47</v>
      </c>
      <c r="AM8" s="339" t="s">
        <v>41</v>
      </c>
      <c r="AN8" s="341" t="s">
        <v>38</v>
      </c>
      <c r="AO8" s="341" t="s">
        <v>14</v>
      </c>
      <c r="AP8" s="341" t="s">
        <v>39</v>
      </c>
      <c r="AQ8" s="341"/>
      <c r="AR8" s="341" t="s">
        <v>50</v>
      </c>
      <c r="AS8" s="341"/>
      <c r="AT8" s="324" t="s">
        <v>40</v>
      </c>
      <c r="AU8" s="55"/>
      <c r="AW8" s="326" t="s">
        <v>28</v>
      </c>
      <c r="AX8" s="329" t="s">
        <v>48</v>
      </c>
      <c r="AY8" s="330"/>
      <c r="AZ8" s="330"/>
      <c r="BA8" s="330"/>
      <c r="BB8" s="330"/>
      <c r="BC8" s="331"/>
      <c r="BD8" s="332" t="s">
        <v>49</v>
      </c>
      <c r="BE8" s="330"/>
      <c r="BF8" s="330"/>
      <c r="BG8" s="330"/>
      <c r="BH8" s="330"/>
      <c r="BI8" s="331"/>
    </row>
    <row r="9" spans="1:62" ht="19.149999999999999" customHeight="1" x14ac:dyDescent="0.35">
      <c r="A9" s="327"/>
      <c r="B9" s="365"/>
      <c r="C9" s="366"/>
      <c r="D9" s="366"/>
      <c r="E9" s="333" t="s">
        <v>6</v>
      </c>
      <c r="F9" s="334"/>
      <c r="G9" s="335" t="s">
        <v>13</v>
      </c>
      <c r="H9" s="334"/>
      <c r="I9" s="323" t="s">
        <v>19</v>
      </c>
      <c r="J9" s="323"/>
      <c r="K9" s="333" t="s">
        <v>6</v>
      </c>
      <c r="L9" s="334"/>
      <c r="M9" s="335" t="s">
        <v>13</v>
      </c>
      <c r="N9" s="334"/>
      <c r="O9" s="323" t="s">
        <v>19</v>
      </c>
      <c r="P9" s="323"/>
      <c r="Q9" s="357"/>
      <c r="R9" s="352"/>
      <c r="S9" s="359"/>
      <c r="T9" s="323"/>
      <c r="U9" s="323"/>
      <c r="V9" s="323"/>
      <c r="W9" s="323"/>
      <c r="X9" s="323"/>
      <c r="Y9" s="323"/>
      <c r="AB9" s="327"/>
      <c r="AC9" s="343"/>
      <c r="AD9" s="343"/>
      <c r="AE9" s="347"/>
      <c r="AF9" s="348"/>
      <c r="AG9" s="351"/>
      <c r="AH9" s="352"/>
      <c r="AI9" s="354"/>
      <c r="AJ9" s="337"/>
      <c r="AK9" s="337"/>
      <c r="AM9" s="340"/>
      <c r="AN9" s="323"/>
      <c r="AO9" s="323"/>
      <c r="AP9" s="8" t="s">
        <v>3</v>
      </c>
      <c r="AQ9" s="8" t="s">
        <v>4</v>
      </c>
      <c r="AR9" s="43" t="s">
        <v>3</v>
      </c>
      <c r="AS9" s="43" t="s">
        <v>4</v>
      </c>
      <c r="AT9" s="325"/>
      <c r="AU9" s="55"/>
      <c r="AW9" s="327"/>
      <c r="AX9" s="314" t="s">
        <v>17</v>
      </c>
      <c r="AY9" s="314" t="s">
        <v>11</v>
      </c>
      <c r="AZ9" s="314" t="s">
        <v>32</v>
      </c>
      <c r="BA9" s="314" t="s">
        <v>37</v>
      </c>
      <c r="BB9" s="314" t="s">
        <v>34</v>
      </c>
      <c r="BC9" s="314" t="s">
        <v>12</v>
      </c>
      <c r="BD9" s="314" t="s">
        <v>33</v>
      </c>
      <c r="BE9" s="314" t="s">
        <v>11</v>
      </c>
      <c r="BF9" s="314" t="s">
        <v>35</v>
      </c>
      <c r="BG9" s="314" t="s">
        <v>37</v>
      </c>
      <c r="BH9" s="314" t="s">
        <v>34</v>
      </c>
      <c r="BI9" s="314" t="s">
        <v>12</v>
      </c>
    </row>
    <row r="10" spans="1:62" ht="53.5" customHeight="1" thickBot="1" x14ac:dyDescent="0.4">
      <c r="A10" s="328"/>
      <c r="B10" s="365"/>
      <c r="C10" s="366"/>
      <c r="D10" s="366"/>
      <c r="E10" s="7" t="s">
        <v>3</v>
      </c>
      <c r="F10" s="8" t="s">
        <v>4</v>
      </c>
      <c r="G10" s="7" t="s">
        <v>3</v>
      </c>
      <c r="H10" s="8" t="s">
        <v>4</v>
      </c>
      <c r="I10" s="8" t="s">
        <v>3</v>
      </c>
      <c r="J10" s="8" t="s">
        <v>4</v>
      </c>
      <c r="K10" s="7" t="s">
        <v>3</v>
      </c>
      <c r="L10" s="8" t="s">
        <v>4</v>
      </c>
      <c r="M10" s="7" t="s">
        <v>3</v>
      </c>
      <c r="N10" s="8" t="s">
        <v>4</v>
      </c>
      <c r="O10" s="8" t="s">
        <v>3</v>
      </c>
      <c r="P10" s="8" t="s">
        <v>4</v>
      </c>
      <c r="Q10" s="9" t="s">
        <v>3</v>
      </c>
      <c r="R10" s="9" t="s">
        <v>4</v>
      </c>
      <c r="S10" s="360"/>
      <c r="T10" s="8" t="s">
        <v>3</v>
      </c>
      <c r="U10" s="8" t="s">
        <v>4</v>
      </c>
      <c r="V10" s="8" t="s">
        <v>3</v>
      </c>
      <c r="W10" s="8" t="s">
        <v>4</v>
      </c>
      <c r="X10" s="8" t="s">
        <v>3</v>
      </c>
      <c r="Y10" s="8" t="s">
        <v>4</v>
      </c>
      <c r="AB10" s="361"/>
      <c r="AC10" s="344"/>
      <c r="AD10" s="344"/>
      <c r="AE10" s="49" t="s">
        <v>3</v>
      </c>
      <c r="AF10" s="50" t="s">
        <v>4</v>
      </c>
      <c r="AG10" s="51" t="s">
        <v>3</v>
      </c>
      <c r="AH10" s="52" t="s">
        <v>4</v>
      </c>
      <c r="AI10" s="355"/>
      <c r="AJ10" s="338"/>
      <c r="AK10" s="338"/>
      <c r="AM10" s="340"/>
      <c r="AN10" s="42" t="str">
        <f>'9'!AN10</f>
        <v>0124W120</v>
      </c>
      <c r="AO10" s="42">
        <f>'9'!AT10</f>
        <v>48</v>
      </c>
      <c r="AP10" s="42"/>
      <c r="AQ10" s="17">
        <f>AP10+'9'!AQ10</f>
        <v>73</v>
      </c>
      <c r="AR10" s="17"/>
      <c r="AS10" s="17">
        <f>AR10+'9'!AS10</f>
        <v>25</v>
      </c>
      <c r="AT10" s="44">
        <f>AO10+AP10-AR10</f>
        <v>48</v>
      </c>
      <c r="AU10" s="56"/>
      <c r="AW10" s="328"/>
      <c r="AX10" s="315"/>
      <c r="AY10" s="315"/>
      <c r="AZ10" s="315"/>
      <c r="BA10" s="315"/>
      <c r="BB10" s="315"/>
      <c r="BC10" s="315"/>
      <c r="BD10" s="315"/>
      <c r="BE10" s="315"/>
      <c r="BF10" s="315"/>
      <c r="BG10" s="315"/>
      <c r="BH10" s="315"/>
      <c r="BI10" s="315"/>
    </row>
    <row r="11" spans="1:62" ht="41.5" customHeight="1" x14ac:dyDescent="0.35">
      <c r="A11" s="5">
        <v>1</v>
      </c>
      <c r="B11" s="26" t="str">
        <f>'9'!B11</f>
        <v>مكتب الصحة</v>
      </c>
      <c r="C11" s="26">
        <f>'9'!C11</f>
        <v>12251</v>
      </c>
      <c r="D11" s="26"/>
      <c r="E11" s="12"/>
      <c r="F11" s="2">
        <f>E11+'9'!F11</f>
        <v>39</v>
      </c>
      <c r="G11" s="2"/>
      <c r="H11" s="2">
        <f>G11+'9'!H11</f>
        <v>1961</v>
      </c>
      <c r="I11" s="2"/>
      <c r="J11" s="2">
        <f>I11+'9'!J11</f>
        <v>5340</v>
      </c>
      <c r="K11" s="2"/>
      <c r="L11" s="2">
        <f>K11+'9'!L11</f>
        <v>0</v>
      </c>
      <c r="M11" s="2"/>
      <c r="N11" s="2">
        <f>M11+'9'!N11</f>
        <v>0</v>
      </c>
      <c r="O11" s="2"/>
      <c r="P11" s="2">
        <f>O11+'9'!P11</f>
        <v>0</v>
      </c>
      <c r="Q11" s="4">
        <f>O11+M11+K11+I11+G11+E11</f>
        <v>0</v>
      </c>
      <c r="R11" s="4">
        <f>Q11+'9'!R11</f>
        <v>7340</v>
      </c>
      <c r="S11" s="27">
        <f>R11/C11</f>
        <v>0.5991347645090197</v>
      </c>
      <c r="T11" s="12"/>
      <c r="U11" s="12">
        <f>T11+'9'!U11</f>
        <v>1397</v>
      </c>
      <c r="V11" s="12"/>
      <c r="W11" s="12">
        <f>V11+'9'!W11</f>
        <v>4</v>
      </c>
      <c r="X11" s="12"/>
      <c r="Y11" s="12">
        <f>X11+'9'!Y11</f>
        <v>1</v>
      </c>
      <c r="AB11" s="48">
        <v>1</v>
      </c>
      <c r="AC11" s="26" t="str">
        <f>'9'!AC11</f>
        <v>مكتب الصحة</v>
      </c>
      <c r="AD11" s="28">
        <f>'9'!AI11</f>
        <v>333</v>
      </c>
      <c r="AE11" s="3"/>
      <c r="AF11" s="28">
        <f>AE11+'9'!AF11</f>
        <v>1082</v>
      </c>
      <c r="AG11" s="4"/>
      <c r="AH11" s="28">
        <f>AG11+'9'!AH11</f>
        <v>749</v>
      </c>
      <c r="AI11" s="4">
        <f>AD11+AE11-AG11</f>
        <v>333</v>
      </c>
      <c r="AJ11" s="11" t="e">
        <f t="shared" ref="AJ11:AJ51" si="0">Q11/AG11</f>
        <v>#DIV/0!</v>
      </c>
      <c r="AK11" s="53">
        <f t="shared" ref="AK11:AK51" si="1">R11/AH11</f>
        <v>9.799732977303071</v>
      </c>
      <c r="AM11" s="340"/>
      <c r="AN11" s="42" t="str">
        <f>'9'!AN11</f>
        <v>420604325A</v>
      </c>
      <c r="AO11" s="42">
        <f>'9'!AT11</f>
        <v>3076</v>
      </c>
      <c r="AP11" s="16"/>
      <c r="AQ11" s="17">
        <f>AP11+'9'!AQ11</f>
        <v>8550</v>
      </c>
      <c r="AR11" s="16"/>
      <c r="AS11" s="17">
        <f>AR11+'9'!AS11</f>
        <v>5474</v>
      </c>
      <c r="AT11" s="44">
        <f>AO11+AP11-AR11</f>
        <v>3076</v>
      </c>
      <c r="AU11" s="56"/>
      <c r="AW11" s="26" t="str">
        <f>'9'!AW11</f>
        <v>مكتب الصحة</v>
      </c>
      <c r="AX11" s="12">
        <f>'9'!AX11</f>
        <v>11</v>
      </c>
      <c r="AY11" s="12">
        <f>'9'!AY11</f>
        <v>8411</v>
      </c>
      <c r="AZ11" s="12"/>
      <c r="BA11" s="12"/>
      <c r="BB11" s="12">
        <f>BA11+'9'!BB11</f>
        <v>5998</v>
      </c>
      <c r="BC11" s="30">
        <f t="shared" ref="BC11:BC51" si="2">BB11/AY11</f>
        <v>0.71311377957436695</v>
      </c>
      <c r="BD11" s="12">
        <f>'9'!BD11</f>
        <v>27</v>
      </c>
      <c r="BE11" s="12">
        <f>'9'!BE11</f>
        <v>1746</v>
      </c>
      <c r="BF11" s="12"/>
      <c r="BG11" s="12"/>
      <c r="BH11" s="12">
        <f>BG11+'9'!BH11</f>
        <v>477</v>
      </c>
      <c r="BI11" s="30">
        <f t="shared" ref="BI11:BI51" si="3">BH11/BE11</f>
        <v>0.27319587628865977</v>
      </c>
    </row>
    <row r="12" spans="1:62" ht="41.5" customHeight="1" x14ac:dyDescent="0.35">
      <c r="A12" s="5">
        <v>2</v>
      </c>
      <c r="B12" s="26" t="str">
        <f>'9'!B12</f>
        <v>شبرابخـــــــــــوم</v>
      </c>
      <c r="C12" s="26">
        <f>'9'!C12</f>
        <v>4445</v>
      </c>
      <c r="D12" s="26"/>
      <c r="E12" s="12"/>
      <c r="F12" s="2">
        <f>E12+'9'!F12</f>
        <v>14</v>
      </c>
      <c r="G12" s="2"/>
      <c r="H12" s="2">
        <f>G12+'9'!H12</f>
        <v>392</v>
      </c>
      <c r="I12" s="2"/>
      <c r="J12" s="2">
        <f>I12+'9'!J12</f>
        <v>1857</v>
      </c>
      <c r="K12" s="2"/>
      <c r="L12" s="2">
        <f>K12+'9'!L12</f>
        <v>0</v>
      </c>
      <c r="M12" s="2"/>
      <c r="N12" s="2">
        <f>M12+'9'!N12</f>
        <v>0</v>
      </c>
      <c r="O12" s="2"/>
      <c r="P12" s="2">
        <f>O12+'9'!P12</f>
        <v>0</v>
      </c>
      <c r="Q12" s="4">
        <f t="shared" ref="Q12:Q50" si="4">O12+M12+K12+I12+G12+E12</f>
        <v>0</v>
      </c>
      <c r="R12" s="4">
        <f>Q12+'9'!R12</f>
        <v>2263</v>
      </c>
      <c r="S12" s="27">
        <f t="shared" ref="S12:S50" si="5">R12/C12</f>
        <v>0.50911136107986499</v>
      </c>
      <c r="T12" s="12"/>
      <c r="U12" s="12">
        <f>T12+'9'!U12</f>
        <v>373</v>
      </c>
      <c r="V12" s="12"/>
      <c r="W12" s="12">
        <f>V12+'9'!W12</f>
        <v>15</v>
      </c>
      <c r="X12" s="12"/>
      <c r="Y12" s="12">
        <f>X12+'9'!Y12</f>
        <v>0</v>
      </c>
      <c r="AB12" s="5">
        <v>2</v>
      </c>
      <c r="AC12" s="26" t="str">
        <f>'9'!AC12</f>
        <v>شبرابخـــــــــــوم</v>
      </c>
      <c r="AD12" s="28">
        <f>'9'!AI12</f>
        <v>158</v>
      </c>
      <c r="AE12" s="3"/>
      <c r="AF12" s="28">
        <f>AE12+'9'!AF12</f>
        <v>390</v>
      </c>
      <c r="AG12" s="4"/>
      <c r="AH12" s="28">
        <f>AG12+'9'!AH12</f>
        <v>232</v>
      </c>
      <c r="AI12" s="4">
        <f>AD12+AE12-AG12</f>
        <v>158</v>
      </c>
      <c r="AJ12" s="11" t="e">
        <f t="shared" si="0"/>
        <v>#DIV/0!</v>
      </c>
      <c r="AK12" s="53">
        <f t="shared" si="1"/>
        <v>9.7543103448275854</v>
      </c>
      <c r="AM12" s="340"/>
      <c r="AN12" s="42" t="str">
        <f>'9'!AN12</f>
        <v>420604225A</v>
      </c>
      <c r="AO12" s="42">
        <f>'9'!AT12</f>
        <v>100</v>
      </c>
      <c r="AP12" s="16"/>
      <c r="AQ12" s="17">
        <f>AP12+'9'!AQ12</f>
        <v>100</v>
      </c>
      <c r="AR12" s="16"/>
      <c r="AS12" s="17">
        <f>AR12+'9'!AS12</f>
        <v>0</v>
      </c>
      <c r="AT12" s="44">
        <f>AO12+AP12-AR12</f>
        <v>100</v>
      </c>
      <c r="AU12" s="56"/>
      <c r="AW12" s="26" t="str">
        <f>'9'!AW12</f>
        <v>شبرابخـــــــــــوم</v>
      </c>
      <c r="AX12" s="12">
        <f>'9'!AX12</f>
        <v>6</v>
      </c>
      <c r="AY12" s="12">
        <f>'9'!AY12</f>
        <v>2215</v>
      </c>
      <c r="AZ12" s="12"/>
      <c r="BA12" s="12"/>
      <c r="BB12" s="12">
        <f>BA12+'9'!BB12</f>
        <v>2306</v>
      </c>
      <c r="BC12" s="30">
        <f t="shared" si="2"/>
        <v>1.0410835214446952</v>
      </c>
      <c r="BD12" s="12">
        <f>'9'!BD12</f>
        <v>16</v>
      </c>
      <c r="BE12" s="12">
        <f>'9'!BE12</f>
        <v>729</v>
      </c>
      <c r="BF12" s="12"/>
      <c r="BG12" s="12"/>
      <c r="BH12" s="12">
        <f>BG12+'9'!BH12</f>
        <v>224</v>
      </c>
      <c r="BI12" s="30">
        <f t="shared" si="3"/>
        <v>0.30727023319615915</v>
      </c>
    </row>
    <row r="13" spans="1:62" ht="41.5" customHeight="1" x14ac:dyDescent="0.35">
      <c r="A13" s="5">
        <v>3</v>
      </c>
      <c r="B13" s="26" t="str">
        <f>'9'!B13</f>
        <v>ميت بره</v>
      </c>
      <c r="C13" s="26">
        <f>'9'!C13</f>
        <v>11614</v>
      </c>
      <c r="D13" s="26"/>
      <c r="E13" s="12"/>
      <c r="F13" s="2">
        <f>E13+'9'!F13</f>
        <v>45</v>
      </c>
      <c r="G13" s="2"/>
      <c r="H13" s="2">
        <f>G13+'9'!H13</f>
        <v>465</v>
      </c>
      <c r="I13" s="2"/>
      <c r="J13" s="2">
        <f>I13+'9'!J13</f>
        <v>3703</v>
      </c>
      <c r="K13" s="2"/>
      <c r="L13" s="2">
        <f>K13+'9'!L13</f>
        <v>0</v>
      </c>
      <c r="M13" s="2"/>
      <c r="N13" s="2">
        <f>M13+'9'!N13</f>
        <v>0</v>
      </c>
      <c r="O13" s="2"/>
      <c r="P13" s="2">
        <f>O13+'9'!P13</f>
        <v>0</v>
      </c>
      <c r="Q13" s="4">
        <f t="shared" si="4"/>
        <v>0</v>
      </c>
      <c r="R13" s="4">
        <f>Q13+'9'!R13</f>
        <v>4213</v>
      </c>
      <c r="S13" s="27">
        <f t="shared" si="5"/>
        <v>0.36275185121405201</v>
      </c>
      <c r="T13" s="12"/>
      <c r="U13" s="12">
        <f>T13+'9'!U13</f>
        <v>641</v>
      </c>
      <c r="V13" s="12"/>
      <c r="W13" s="12">
        <f>V13+'9'!W13</f>
        <v>0</v>
      </c>
      <c r="X13" s="12"/>
      <c r="Y13" s="12">
        <f>X13+'9'!Y13</f>
        <v>0</v>
      </c>
      <c r="AB13" s="5">
        <v>3</v>
      </c>
      <c r="AC13" s="26" t="str">
        <f>'9'!AC13</f>
        <v>ميت بره</v>
      </c>
      <c r="AD13" s="28">
        <f>'9'!AI13</f>
        <v>584</v>
      </c>
      <c r="AE13" s="3"/>
      <c r="AF13" s="28">
        <f>AE13+'9'!AF13</f>
        <v>1020</v>
      </c>
      <c r="AG13" s="4"/>
      <c r="AH13" s="28">
        <f>AG13+'9'!AH13</f>
        <v>436</v>
      </c>
      <c r="AI13" s="4">
        <f t="shared" ref="AI13:AI50" si="6">AD13+AE13-AG13</f>
        <v>584</v>
      </c>
      <c r="AJ13" s="11" t="e">
        <f t="shared" si="0"/>
        <v>#DIV/0!</v>
      </c>
      <c r="AK13" s="53">
        <f t="shared" si="1"/>
        <v>9.6628440366972477</v>
      </c>
      <c r="AM13" s="340"/>
      <c r="AN13" s="46" t="s">
        <v>43</v>
      </c>
      <c r="AO13" s="45">
        <f t="shared" ref="AO13:AT13" si="7">SUM(AO10:AO12)</f>
        <v>3224</v>
      </c>
      <c r="AP13" s="45">
        <f t="shared" si="7"/>
        <v>0</v>
      </c>
      <c r="AQ13" s="45">
        <f t="shared" si="7"/>
        <v>8723</v>
      </c>
      <c r="AR13" s="45">
        <f t="shared" si="7"/>
        <v>0</v>
      </c>
      <c r="AS13" s="45">
        <f t="shared" si="7"/>
        <v>5499</v>
      </c>
      <c r="AT13" s="47">
        <f t="shared" si="7"/>
        <v>3224</v>
      </c>
      <c r="AU13" s="56"/>
      <c r="AW13" s="26" t="str">
        <f>'9'!AW13</f>
        <v>ميت بره</v>
      </c>
      <c r="AX13" s="12">
        <f>'9'!AX13</f>
        <v>8</v>
      </c>
      <c r="AY13" s="12">
        <f>'9'!AY13</f>
        <v>4849</v>
      </c>
      <c r="AZ13" s="12"/>
      <c r="BA13" s="12"/>
      <c r="BB13" s="12">
        <f>BA13+'9'!BB13</f>
        <v>4093</v>
      </c>
      <c r="BC13" s="30">
        <f t="shared" si="2"/>
        <v>0.84409156527118989</v>
      </c>
      <c r="BD13" s="12">
        <f>'9'!BD13</f>
        <v>21</v>
      </c>
      <c r="BE13" s="12">
        <f>'9'!BE13</f>
        <v>1129</v>
      </c>
      <c r="BF13" s="12"/>
      <c r="BG13" s="12"/>
      <c r="BH13" s="12">
        <f>BG13+'9'!BH13</f>
        <v>128</v>
      </c>
      <c r="BI13" s="30">
        <f t="shared" si="3"/>
        <v>0.11337466784765279</v>
      </c>
    </row>
    <row r="14" spans="1:62" ht="41.5" customHeight="1" thickBot="1" x14ac:dyDescent="0.4">
      <c r="A14" s="5">
        <v>4</v>
      </c>
      <c r="B14" s="26" t="str">
        <f>'9'!B14</f>
        <v>أبنــــــــــــــــهس</v>
      </c>
      <c r="C14" s="26">
        <f>'9'!C14</f>
        <v>5029</v>
      </c>
      <c r="D14" s="26"/>
      <c r="E14" s="12"/>
      <c r="F14" s="2">
        <f>E14+'9'!F14</f>
        <v>14</v>
      </c>
      <c r="G14" s="2"/>
      <c r="H14" s="2">
        <f>G14+'9'!H14</f>
        <v>349</v>
      </c>
      <c r="I14" s="2"/>
      <c r="J14" s="2">
        <f>I14+'9'!J14</f>
        <v>2016</v>
      </c>
      <c r="K14" s="2"/>
      <c r="L14" s="2">
        <f>K14+'9'!L14</f>
        <v>0</v>
      </c>
      <c r="M14" s="2"/>
      <c r="N14" s="2">
        <f>M14+'9'!N14</f>
        <v>0</v>
      </c>
      <c r="O14" s="2"/>
      <c r="P14" s="2">
        <f>O14+'9'!P14</f>
        <v>0</v>
      </c>
      <c r="Q14" s="4">
        <f t="shared" si="4"/>
        <v>0</v>
      </c>
      <c r="R14" s="4">
        <f>Q14+'9'!R14</f>
        <v>2379</v>
      </c>
      <c r="S14" s="27">
        <f t="shared" si="5"/>
        <v>0.47305627361304436</v>
      </c>
      <c r="T14" s="12"/>
      <c r="U14" s="12">
        <f>T14+'9'!U14</f>
        <v>341</v>
      </c>
      <c r="V14" s="12"/>
      <c r="W14" s="12">
        <f>V14+'9'!W14</f>
        <v>29</v>
      </c>
      <c r="X14" s="12"/>
      <c r="Y14" s="12">
        <f>X14+'9'!Y14</f>
        <v>0</v>
      </c>
      <c r="AB14" s="5">
        <v>4</v>
      </c>
      <c r="AC14" s="26" t="str">
        <f>'9'!AC14</f>
        <v>أبنــــــــــــــــهس</v>
      </c>
      <c r="AD14" s="28">
        <f>'9'!AI14</f>
        <v>196</v>
      </c>
      <c r="AE14" s="3"/>
      <c r="AF14" s="28">
        <f>AE14+'9'!AF14</f>
        <v>440</v>
      </c>
      <c r="AG14" s="4"/>
      <c r="AH14" s="28">
        <f>AG14+'9'!AH14</f>
        <v>244</v>
      </c>
      <c r="AI14" s="4">
        <f t="shared" si="6"/>
        <v>196</v>
      </c>
      <c r="AJ14" s="11" t="e">
        <f t="shared" si="0"/>
        <v>#DIV/0!</v>
      </c>
      <c r="AK14" s="53">
        <f t="shared" si="1"/>
        <v>9.75</v>
      </c>
      <c r="AM14" s="316" t="s">
        <v>42</v>
      </c>
      <c r="AN14" s="317"/>
      <c r="AO14" s="318"/>
      <c r="AP14" s="319"/>
      <c r="AQ14" s="319"/>
      <c r="AR14" s="319"/>
      <c r="AS14" s="320"/>
      <c r="AT14" s="39">
        <f>AT13+AI51</f>
        <v>6357</v>
      </c>
      <c r="AU14" s="57"/>
      <c r="AW14" s="26" t="str">
        <f>'9'!AW14</f>
        <v>أبنــــــــــــــــهس</v>
      </c>
      <c r="AX14" s="12">
        <f>'9'!AX14</f>
        <v>7</v>
      </c>
      <c r="AY14" s="12">
        <f>'9'!AY14</f>
        <v>2531</v>
      </c>
      <c r="AZ14" s="12"/>
      <c r="BA14" s="12"/>
      <c r="BB14" s="12">
        <f>BA14+'9'!BB14</f>
        <v>2092</v>
      </c>
      <c r="BC14" s="30">
        <f t="shared" si="2"/>
        <v>0.82655077044646386</v>
      </c>
      <c r="BD14" s="12">
        <f>'9'!BD14</f>
        <v>23</v>
      </c>
      <c r="BE14" s="12">
        <f>'9'!BE14</f>
        <v>921</v>
      </c>
      <c r="BF14" s="12"/>
      <c r="BG14" s="12"/>
      <c r="BH14" s="12">
        <f>BG14+'9'!BH14</f>
        <v>287</v>
      </c>
      <c r="BI14" s="30">
        <f t="shared" si="3"/>
        <v>0.31161780673181327</v>
      </c>
    </row>
    <row r="15" spans="1:62" ht="41.5" customHeight="1" x14ac:dyDescent="0.35">
      <c r="A15" s="5">
        <v>5</v>
      </c>
      <c r="B15" s="26" t="str">
        <f>'9'!B15</f>
        <v>ميت ســـــــــراج</v>
      </c>
      <c r="C15" s="26">
        <f>'9'!C15</f>
        <v>2369</v>
      </c>
      <c r="D15" s="26"/>
      <c r="E15" s="12"/>
      <c r="F15" s="2">
        <f>E15+'9'!F15</f>
        <v>4</v>
      </c>
      <c r="G15" s="2"/>
      <c r="H15" s="2">
        <f>G15+'9'!H15</f>
        <v>472</v>
      </c>
      <c r="I15" s="2"/>
      <c r="J15" s="2">
        <f>I15+'9'!J15</f>
        <v>839</v>
      </c>
      <c r="K15" s="2"/>
      <c r="L15" s="2">
        <f>K15+'9'!L15</f>
        <v>0</v>
      </c>
      <c r="M15" s="2"/>
      <c r="N15" s="2">
        <f>M15+'9'!N15</f>
        <v>0</v>
      </c>
      <c r="O15" s="2"/>
      <c r="P15" s="2">
        <f>O15+'9'!P15</f>
        <v>0</v>
      </c>
      <c r="Q15" s="4">
        <f t="shared" si="4"/>
        <v>0</v>
      </c>
      <c r="R15" s="4">
        <f>Q15+'9'!R15</f>
        <v>1315</v>
      </c>
      <c r="S15" s="27">
        <f t="shared" si="5"/>
        <v>0.55508653440270161</v>
      </c>
      <c r="T15" s="12"/>
      <c r="U15" s="12">
        <f>T15+'9'!U15</f>
        <v>105</v>
      </c>
      <c r="V15" s="12"/>
      <c r="W15" s="12">
        <f>V15+'9'!W15</f>
        <v>37</v>
      </c>
      <c r="X15" s="12"/>
      <c r="Y15" s="12">
        <f>X15+'9'!Y15</f>
        <v>0</v>
      </c>
      <c r="AB15" s="5">
        <v>5</v>
      </c>
      <c r="AC15" s="26" t="str">
        <f>'9'!AC15</f>
        <v>ميت ســـــــــراج</v>
      </c>
      <c r="AD15" s="28">
        <f>'9'!AI15</f>
        <v>74</v>
      </c>
      <c r="AE15" s="3"/>
      <c r="AF15" s="28">
        <f>AE15+'9'!AF15</f>
        <v>209</v>
      </c>
      <c r="AG15" s="4"/>
      <c r="AH15" s="28">
        <f>AG15+'9'!AH15</f>
        <v>135</v>
      </c>
      <c r="AI15" s="4">
        <f t="shared" si="6"/>
        <v>74</v>
      </c>
      <c r="AJ15" s="11" t="e">
        <f t="shared" si="0"/>
        <v>#DIV/0!</v>
      </c>
      <c r="AK15" s="53">
        <f t="shared" si="1"/>
        <v>9.7407407407407405</v>
      </c>
      <c r="AW15" s="26" t="str">
        <f>'9'!AW15</f>
        <v>ميت ســـــــــراج</v>
      </c>
      <c r="AX15" s="12">
        <f>'9'!AX15</f>
        <v>2</v>
      </c>
      <c r="AY15" s="12">
        <f>'9'!AY15</f>
        <v>1041</v>
      </c>
      <c r="AZ15" s="12"/>
      <c r="BA15" s="12"/>
      <c r="BB15" s="12">
        <f>BA15+'9'!BB15</f>
        <v>874</v>
      </c>
      <c r="BC15" s="30">
        <f t="shared" si="2"/>
        <v>0.83957732949087416</v>
      </c>
      <c r="BD15" s="12">
        <f>'9'!BD15</f>
        <v>5</v>
      </c>
      <c r="BE15" s="12">
        <f>'9'!BE15</f>
        <v>310</v>
      </c>
      <c r="BF15" s="12"/>
      <c r="BG15" s="12"/>
      <c r="BH15" s="12">
        <f>BG15+'9'!BH15</f>
        <v>385</v>
      </c>
      <c r="BI15" s="30">
        <f t="shared" si="3"/>
        <v>1.2419354838709677</v>
      </c>
    </row>
    <row r="16" spans="1:62" ht="41.5" customHeight="1" x14ac:dyDescent="0.35">
      <c r="A16" s="5">
        <v>6</v>
      </c>
      <c r="B16" s="26" t="str">
        <f>'9'!B16</f>
        <v>أم خــــــــــــــنان</v>
      </c>
      <c r="C16" s="26">
        <f>'9'!C16</f>
        <v>4900</v>
      </c>
      <c r="D16" s="26"/>
      <c r="E16" s="12"/>
      <c r="F16" s="2">
        <f>E16+'9'!F16</f>
        <v>11</v>
      </c>
      <c r="G16" s="2"/>
      <c r="H16" s="2">
        <f>G16+'9'!H16</f>
        <v>280</v>
      </c>
      <c r="I16" s="2"/>
      <c r="J16" s="2">
        <f>I16+'9'!J16</f>
        <v>1942</v>
      </c>
      <c r="K16" s="2"/>
      <c r="L16" s="2">
        <f>K16+'9'!L16</f>
        <v>0</v>
      </c>
      <c r="M16" s="2"/>
      <c r="N16" s="2">
        <f>M16+'9'!N16</f>
        <v>0</v>
      </c>
      <c r="O16" s="2"/>
      <c r="P16" s="2">
        <f>O16+'9'!P16</f>
        <v>0</v>
      </c>
      <c r="Q16" s="4">
        <f t="shared" si="4"/>
        <v>0</v>
      </c>
      <c r="R16" s="4">
        <f>Q16+'9'!R16</f>
        <v>2233</v>
      </c>
      <c r="S16" s="27">
        <f t="shared" si="5"/>
        <v>0.45571428571428574</v>
      </c>
      <c r="T16" s="12"/>
      <c r="U16" s="12">
        <f>T16+'9'!U16</f>
        <v>375</v>
      </c>
      <c r="V16" s="12"/>
      <c r="W16" s="12">
        <f>V16+'9'!W16</f>
        <v>0</v>
      </c>
      <c r="X16" s="12"/>
      <c r="Y16" s="12">
        <f>X16+'9'!Y16</f>
        <v>0</v>
      </c>
      <c r="AB16" s="5">
        <v>6</v>
      </c>
      <c r="AC16" s="26" t="str">
        <f>'9'!AC16</f>
        <v>أم خــــــــــــــنان</v>
      </c>
      <c r="AD16" s="28">
        <f>'9'!AI16</f>
        <v>204</v>
      </c>
      <c r="AE16" s="3"/>
      <c r="AF16" s="28">
        <f>AE16+'9'!AF16</f>
        <v>430</v>
      </c>
      <c r="AG16" s="4"/>
      <c r="AH16" s="28">
        <f>AG16+'9'!AH16</f>
        <v>226</v>
      </c>
      <c r="AI16" s="4">
        <f t="shared" si="6"/>
        <v>204</v>
      </c>
      <c r="AJ16" s="11" t="e">
        <f t="shared" si="0"/>
        <v>#DIV/0!</v>
      </c>
      <c r="AK16" s="53">
        <f t="shared" si="1"/>
        <v>9.8805309734513269</v>
      </c>
      <c r="AW16" s="26" t="str">
        <f>'9'!AW16</f>
        <v>أم خــــــــــــــنان</v>
      </c>
      <c r="AX16" s="12">
        <f>'9'!AX16</f>
        <v>8</v>
      </c>
      <c r="AY16" s="12">
        <f>'9'!AY16</f>
        <v>2981</v>
      </c>
      <c r="AZ16" s="12"/>
      <c r="BA16" s="12"/>
      <c r="BB16" s="12">
        <f>BA16+'9'!BB16</f>
        <v>2132</v>
      </c>
      <c r="BC16" s="30">
        <f t="shared" si="2"/>
        <v>0.71519624287151962</v>
      </c>
      <c r="BD16" s="12">
        <f>'9'!BD16</f>
        <v>12</v>
      </c>
      <c r="BE16" s="12">
        <f>'9'!BE16</f>
        <v>1313</v>
      </c>
      <c r="BF16" s="12"/>
      <c r="BG16" s="12"/>
      <c r="BH16" s="12">
        <f>BG16+'9'!BH16</f>
        <v>0</v>
      </c>
      <c r="BI16" s="30">
        <f t="shared" si="3"/>
        <v>0</v>
      </c>
    </row>
    <row r="17" spans="1:61" ht="41.5" customHeight="1" x14ac:dyDescent="0.35">
      <c r="A17" s="5">
        <v>7</v>
      </c>
      <c r="B17" s="26" t="str">
        <f>'9'!B17</f>
        <v>أجهور الرمل</v>
      </c>
      <c r="C17" s="26">
        <f>'9'!C17</f>
        <v>3590</v>
      </c>
      <c r="D17" s="26"/>
      <c r="E17" s="12"/>
      <c r="F17" s="2">
        <f>E17+'9'!F17</f>
        <v>17</v>
      </c>
      <c r="G17" s="2"/>
      <c r="H17" s="2">
        <f>G17+'9'!H17</f>
        <v>591</v>
      </c>
      <c r="I17" s="2"/>
      <c r="J17" s="2">
        <f>I17+'9'!J17</f>
        <v>1489</v>
      </c>
      <c r="K17" s="2"/>
      <c r="L17" s="2">
        <f>K17+'9'!L17</f>
        <v>0</v>
      </c>
      <c r="M17" s="2"/>
      <c r="N17" s="2">
        <f>M17+'9'!N17</f>
        <v>0</v>
      </c>
      <c r="O17" s="2"/>
      <c r="P17" s="2">
        <f>O17+'9'!P17</f>
        <v>0</v>
      </c>
      <c r="Q17" s="4">
        <f t="shared" si="4"/>
        <v>0</v>
      </c>
      <c r="R17" s="4">
        <f>Q17+'9'!R17</f>
        <v>2097</v>
      </c>
      <c r="S17" s="27">
        <f t="shared" si="5"/>
        <v>0.58412256267409468</v>
      </c>
      <c r="T17" s="12"/>
      <c r="U17" s="12">
        <f>T17+'9'!U17</f>
        <v>360</v>
      </c>
      <c r="V17" s="12"/>
      <c r="W17" s="12">
        <f>V17+'9'!W17</f>
        <v>121</v>
      </c>
      <c r="X17" s="12"/>
      <c r="Y17" s="12">
        <f>X17+'9'!Y17</f>
        <v>0</v>
      </c>
      <c r="AB17" s="5">
        <v>7</v>
      </c>
      <c r="AC17" s="26" t="str">
        <f>'9'!AC17</f>
        <v>أجهور الرمل</v>
      </c>
      <c r="AD17" s="28">
        <f>'9'!AI17</f>
        <v>100</v>
      </c>
      <c r="AE17" s="3"/>
      <c r="AF17" s="28">
        <f>AE17+'9'!AF17</f>
        <v>316</v>
      </c>
      <c r="AG17" s="4"/>
      <c r="AH17" s="28">
        <f>AG17+'9'!AH17</f>
        <v>216</v>
      </c>
      <c r="AI17" s="4">
        <f t="shared" si="6"/>
        <v>100</v>
      </c>
      <c r="AJ17" s="11" t="e">
        <f t="shared" si="0"/>
        <v>#DIV/0!</v>
      </c>
      <c r="AK17" s="53">
        <f t="shared" si="1"/>
        <v>9.7083333333333339</v>
      </c>
      <c r="AW17" s="26" t="str">
        <f>'9'!AW17</f>
        <v>أجهور الرمل</v>
      </c>
      <c r="AX17" s="12">
        <f>'9'!AX17</f>
        <v>4</v>
      </c>
      <c r="AY17" s="12">
        <f>'9'!AY17</f>
        <v>1796</v>
      </c>
      <c r="AZ17" s="12"/>
      <c r="BA17" s="12"/>
      <c r="BB17" s="12">
        <f>BA17+'9'!BB17</f>
        <v>1422</v>
      </c>
      <c r="BC17" s="30">
        <f t="shared" si="2"/>
        <v>0.79175946547884191</v>
      </c>
      <c r="BD17" s="12">
        <f>'9'!BD17</f>
        <v>3</v>
      </c>
      <c r="BE17" s="12">
        <f>'9'!BE17</f>
        <v>100</v>
      </c>
      <c r="BF17" s="12"/>
      <c r="BG17" s="12"/>
      <c r="BH17" s="12">
        <f>BG17+'9'!BH17</f>
        <v>441</v>
      </c>
      <c r="BI17" s="30">
        <f t="shared" si="3"/>
        <v>4.41</v>
      </c>
    </row>
    <row r="18" spans="1:61" ht="41.5" customHeight="1" x14ac:dyDescent="0.35">
      <c r="A18" s="5">
        <v>8</v>
      </c>
      <c r="B18" s="26" t="str">
        <f>'9'!B18</f>
        <v>منشأة دمــــــــــلو</v>
      </c>
      <c r="C18" s="26">
        <f>'9'!C18</f>
        <v>1320</v>
      </c>
      <c r="D18" s="26"/>
      <c r="E18" s="12"/>
      <c r="F18" s="2">
        <f>E18+'9'!F18</f>
        <v>18</v>
      </c>
      <c r="G18" s="2"/>
      <c r="H18" s="2">
        <f>G18+'9'!H18</f>
        <v>528</v>
      </c>
      <c r="I18" s="2"/>
      <c r="J18" s="2">
        <f>I18+'9'!J18</f>
        <v>704</v>
      </c>
      <c r="K18" s="2"/>
      <c r="L18" s="2">
        <f>K18+'9'!L18</f>
        <v>0</v>
      </c>
      <c r="M18" s="2"/>
      <c r="N18" s="2">
        <f>M18+'9'!N18</f>
        <v>0</v>
      </c>
      <c r="O18" s="2"/>
      <c r="P18" s="2">
        <f>O18+'9'!P18</f>
        <v>0</v>
      </c>
      <c r="Q18" s="4">
        <f t="shared" si="4"/>
        <v>0</v>
      </c>
      <c r="R18" s="4">
        <f>Q18+'9'!R18</f>
        <v>1250</v>
      </c>
      <c r="S18" s="27">
        <f t="shared" si="5"/>
        <v>0.94696969696969702</v>
      </c>
      <c r="T18" s="12"/>
      <c r="U18" s="12">
        <f>T18+'9'!U18</f>
        <v>175</v>
      </c>
      <c r="V18" s="12"/>
      <c r="W18" s="12">
        <f>V18+'9'!W18</f>
        <v>38</v>
      </c>
      <c r="X18" s="12"/>
      <c r="Y18" s="12">
        <f>X18+'9'!Y18</f>
        <v>0</v>
      </c>
      <c r="AB18" s="5">
        <v>8</v>
      </c>
      <c r="AC18" s="26" t="str">
        <f>'9'!AC18</f>
        <v>منشأة دمــــــــــلو</v>
      </c>
      <c r="AD18" s="28">
        <f>'9'!AI18</f>
        <v>4</v>
      </c>
      <c r="AE18" s="3"/>
      <c r="AF18" s="28">
        <f>AE18+'9'!AF18</f>
        <v>135</v>
      </c>
      <c r="AG18" s="4"/>
      <c r="AH18" s="28">
        <f>AG18+'9'!AH18</f>
        <v>131</v>
      </c>
      <c r="AI18" s="4">
        <f t="shared" si="6"/>
        <v>4</v>
      </c>
      <c r="AJ18" s="11" t="e">
        <f t="shared" si="0"/>
        <v>#DIV/0!</v>
      </c>
      <c r="AK18" s="53">
        <f t="shared" si="1"/>
        <v>9.5419847328244281</v>
      </c>
      <c r="AW18" s="26" t="str">
        <f>'9'!AW18</f>
        <v>منشأة دمــــــــــلو</v>
      </c>
      <c r="AX18" s="12">
        <f>'9'!AX18</f>
        <v>2</v>
      </c>
      <c r="AY18" s="12">
        <f>'9'!AY18</f>
        <v>896</v>
      </c>
      <c r="AZ18" s="12"/>
      <c r="BA18" s="12"/>
      <c r="BB18" s="12">
        <f>BA18+'9'!BB18</f>
        <v>748</v>
      </c>
      <c r="BC18" s="30">
        <f t="shared" si="2"/>
        <v>0.8348214285714286</v>
      </c>
      <c r="BD18" s="12">
        <f>'9'!BD18</f>
        <v>8</v>
      </c>
      <c r="BE18" s="12">
        <f>'9'!BE18</f>
        <v>340</v>
      </c>
      <c r="BF18" s="12"/>
      <c r="BG18" s="12"/>
      <c r="BH18" s="12">
        <f>BG18+'9'!BH18</f>
        <v>328</v>
      </c>
      <c r="BI18" s="30">
        <f t="shared" si="3"/>
        <v>0.96470588235294119</v>
      </c>
    </row>
    <row r="19" spans="1:61" ht="41.5" customHeight="1" x14ac:dyDescent="0.35">
      <c r="A19" s="5">
        <v>9</v>
      </c>
      <c r="B19" s="26" t="str">
        <f>'9'!B19</f>
        <v>شـــــــــــــرانيس</v>
      </c>
      <c r="C19" s="26">
        <f>'9'!C19</f>
        <v>1414</v>
      </c>
      <c r="D19" s="26"/>
      <c r="E19" s="12"/>
      <c r="F19" s="2">
        <f>E19+'9'!F19</f>
        <v>11</v>
      </c>
      <c r="G19" s="2"/>
      <c r="H19" s="2">
        <f>G19+'9'!H19</f>
        <v>359</v>
      </c>
      <c r="I19" s="2"/>
      <c r="J19" s="2">
        <f>I19+'9'!J19</f>
        <v>618</v>
      </c>
      <c r="K19" s="2"/>
      <c r="L19" s="2">
        <f>K19+'9'!L19</f>
        <v>0</v>
      </c>
      <c r="M19" s="2"/>
      <c r="N19" s="2">
        <f>M19+'9'!N19</f>
        <v>0</v>
      </c>
      <c r="O19" s="2"/>
      <c r="P19" s="2">
        <f>O19+'9'!P19</f>
        <v>0</v>
      </c>
      <c r="Q19" s="4">
        <f t="shared" si="4"/>
        <v>0</v>
      </c>
      <c r="R19" s="4">
        <f>Q19+'9'!R19</f>
        <v>988</v>
      </c>
      <c r="S19" s="27">
        <f t="shared" si="5"/>
        <v>0.69872701555869876</v>
      </c>
      <c r="T19" s="12"/>
      <c r="U19" s="12">
        <f>T19+'9'!U19</f>
        <v>143</v>
      </c>
      <c r="V19" s="12"/>
      <c r="W19" s="12">
        <f>V19+'9'!W19</f>
        <v>0</v>
      </c>
      <c r="X19" s="12"/>
      <c r="Y19" s="12">
        <f>X19+'9'!Y19</f>
        <v>0</v>
      </c>
      <c r="AB19" s="5">
        <v>9</v>
      </c>
      <c r="AC19" s="26" t="str">
        <f>'9'!AC19</f>
        <v>شـــــــــــــرانيس</v>
      </c>
      <c r="AD19" s="28">
        <f>'9'!AI19</f>
        <v>22</v>
      </c>
      <c r="AE19" s="3"/>
      <c r="AF19" s="28">
        <f>AE19+'9'!AF19</f>
        <v>125</v>
      </c>
      <c r="AG19" s="4"/>
      <c r="AH19" s="28">
        <f>AG19+'9'!AH19</f>
        <v>103</v>
      </c>
      <c r="AI19" s="4">
        <f t="shared" si="6"/>
        <v>22</v>
      </c>
      <c r="AJ19" s="11" t="e">
        <f t="shared" si="0"/>
        <v>#DIV/0!</v>
      </c>
      <c r="AK19" s="53">
        <f t="shared" si="1"/>
        <v>9.5922330097087372</v>
      </c>
      <c r="AW19" s="26" t="str">
        <f>'9'!AW19</f>
        <v>شـــــــــــــرانيس</v>
      </c>
      <c r="AX19" s="12">
        <f>'9'!AX19</f>
        <v>2</v>
      </c>
      <c r="AY19" s="12">
        <f>'9'!AY19</f>
        <v>675</v>
      </c>
      <c r="AZ19" s="12"/>
      <c r="BA19" s="12"/>
      <c r="BB19" s="12">
        <f>BA19+'9'!BB19</f>
        <v>569</v>
      </c>
      <c r="BC19" s="30">
        <f t="shared" si="2"/>
        <v>0.84296296296296291</v>
      </c>
      <c r="BD19" s="12">
        <f>'9'!BD19</f>
        <v>2</v>
      </c>
      <c r="BE19" s="12">
        <f>'9'!BE19</f>
        <v>397</v>
      </c>
      <c r="BF19" s="12"/>
      <c r="BG19" s="12"/>
      <c r="BH19" s="12">
        <f>BG19+'9'!BH19</f>
        <v>349</v>
      </c>
      <c r="BI19" s="30">
        <f t="shared" si="3"/>
        <v>0.87909319899244331</v>
      </c>
    </row>
    <row r="20" spans="1:61" ht="41.5" customHeight="1" x14ac:dyDescent="0.35">
      <c r="A20" s="5">
        <v>10</v>
      </c>
      <c r="B20" s="26" t="str">
        <f>'9'!B20</f>
        <v>قويســـــــــنا البلد</v>
      </c>
      <c r="C20" s="26">
        <f>'9'!C20</f>
        <v>4115</v>
      </c>
      <c r="D20" s="26"/>
      <c r="E20" s="12"/>
      <c r="F20" s="2">
        <f>E20+'9'!F20</f>
        <v>27</v>
      </c>
      <c r="G20" s="2"/>
      <c r="H20" s="2">
        <f>G20+'9'!H20</f>
        <v>406</v>
      </c>
      <c r="I20" s="2"/>
      <c r="J20" s="2">
        <f>I20+'9'!J20</f>
        <v>1286</v>
      </c>
      <c r="K20" s="2"/>
      <c r="L20" s="2">
        <f>K20+'9'!L20</f>
        <v>0</v>
      </c>
      <c r="M20" s="2"/>
      <c r="N20" s="2">
        <f>M20+'9'!N20</f>
        <v>0</v>
      </c>
      <c r="O20" s="2"/>
      <c r="P20" s="2">
        <f>O20+'9'!P20</f>
        <v>0</v>
      </c>
      <c r="Q20" s="4">
        <f t="shared" si="4"/>
        <v>0</v>
      </c>
      <c r="R20" s="4">
        <f>Q20+'9'!R20</f>
        <v>1719</v>
      </c>
      <c r="S20" s="27">
        <f t="shared" si="5"/>
        <v>0.41773997569866345</v>
      </c>
      <c r="T20" s="12"/>
      <c r="U20" s="12">
        <f>T20+'9'!U20</f>
        <v>405</v>
      </c>
      <c r="V20" s="12"/>
      <c r="W20" s="12">
        <f>V20+'9'!W20</f>
        <v>144</v>
      </c>
      <c r="X20" s="12"/>
      <c r="Y20" s="12">
        <f>X20+'9'!Y20</f>
        <v>0</v>
      </c>
      <c r="AB20" s="5">
        <v>10</v>
      </c>
      <c r="AC20" s="26" t="str">
        <f>'9'!AC20</f>
        <v>قويســـــــــنا البلد</v>
      </c>
      <c r="AD20" s="28">
        <f>'9'!AI20</f>
        <v>185</v>
      </c>
      <c r="AE20" s="3"/>
      <c r="AF20" s="28">
        <f>AE20+'9'!AF20</f>
        <v>360</v>
      </c>
      <c r="AG20" s="4"/>
      <c r="AH20" s="28">
        <f>AG20+'9'!AH20</f>
        <v>175</v>
      </c>
      <c r="AI20" s="4">
        <f t="shared" si="6"/>
        <v>185</v>
      </c>
      <c r="AJ20" s="11" t="e">
        <f t="shared" si="0"/>
        <v>#DIV/0!</v>
      </c>
      <c r="AK20" s="53">
        <f t="shared" si="1"/>
        <v>9.8228571428571421</v>
      </c>
      <c r="AW20" s="26" t="str">
        <f>'9'!AW20</f>
        <v>قويســـــــــنا البلد</v>
      </c>
      <c r="AX20" s="12">
        <f>'9'!AX20</f>
        <v>2</v>
      </c>
      <c r="AY20" s="12">
        <f>'9'!AY20</f>
        <v>1539</v>
      </c>
      <c r="AZ20" s="12"/>
      <c r="BA20" s="12"/>
      <c r="BB20" s="12">
        <f>BA20+'9'!BB20</f>
        <v>1355</v>
      </c>
      <c r="BC20" s="30">
        <f t="shared" si="2"/>
        <v>0.88044184535412606</v>
      </c>
      <c r="BD20" s="12">
        <f>'9'!BD20</f>
        <v>7</v>
      </c>
      <c r="BE20" s="12">
        <f>'9'!BE20</f>
        <v>580</v>
      </c>
      <c r="BF20" s="12"/>
      <c r="BG20" s="12"/>
      <c r="BH20" s="12">
        <f>BG20+'9'!BH20</f>
        <v>204</v>
      </c>
      <c r="BI20" s="30">
        <f t="shared" si="3"/>
        <v>0.35172413793103446</v>
      </c>
    </row>
    <row r="21" spans="1:61" ht="41.5" customHeight="1" x14ac:dyDescent="0.35">
      <c r="A21" s="5">
        <v>11</v>
      </c>
      <c r="B21" s="26" t="str">
        <f>'9'!B21</f>
        <v>بجيرم</v>
      </c>
      <c r="C21" s="26">
        <f>'9'!C21</f>
        <v>1782</v>
      </c>
      <c r="D21" s="26"/>
      <c r="E21" s="12"/>
      <c r="F21" s="2">
        <f>E21+'9'!F21</f>
        <v>8</v>
      </c>
      <c r="G21" s="2"/>
      <c r="H21" s="2">
        <f>G21+'9'!H21</f>
        <v>406</v>
      </c>
      <c r="I21" s="2"/>
      <c r="J21" s="2">
        <f>I21+'9'!J21</f>
        <v>755</v>
      </c>
      <c r="K21" s="2"/>
      <c r="L21" s="2">
        <f>K21+'9'!L21</f>
        <v>0</v>
      </c>
      <c r="M21" s="2"/>
      <c r="N21" s="2">
        <f>M21+'9'!N21</f>
        <v>0</v>
      </c>
      <c r="O21" s="2"/>
      <c r="P21" s="2">
        <f>O21+'9'!P21</f>
        <v>0</v>
      </c>
      <c r="Q21" s="4">
        <f t="shared" si="4"/>
        <v>0</v>
      </c>
      <c r="R21" s="4">
        <f>Q21+'9'!R21</f>
        <v>1169</v>
      </c>
      <c r="S21" s="27">
        <f t="shared" si="5"/>
        <v>0.65600448933782263</v>
      </c>
      <c r="T21" s="12"/>
      <c r="U21" s="12">
        <f>T21+'9'!U21</f>
        <v>126</v>
      </c>
      <c r="V21" s="12"/>
      <c r="W21" s="12">
        <f>V21+'9'!W21</f>
        <v>44</v>
      </c>
      <c r="X21" s="12"/>
      <c r="Y21" s="12">
        <f>X21+'9'!Y21</f>
        <v>0</v>
      </c>
      <c r="AB21" s="5">
        <v>11</v>
      </c>
      <c r="AC21" s="26" t="str">
        <f>'9'!AC21</f>
        <v>بجيرم</v>
      </c>
      <c r="AD21" s="28">
        <f>'9'!AI21</f>
        <v>37</v>
      </c>
      <c r="AE21" s="3"/>
      <c r="AF21" s="28">
        <f>AE21+'9'!AF21</f>
        <v>157</v>
      </c>
      <c r="AG21" s="4"/>
      <c r="AH21" s="28">
        <f>AG21+'9'!AH21</f>
        <v>120</v>
      </c>
      <c r="AI21" s="4">
        <f t="shared" si="6"/>
        <v>37</v>
      </c>
      <c r="AJ21" s="11" t="e">
        <f t="shared" si="0"/>
        <v>#DIV/0!</v>
      </c>
      <c r="AK21" s="53">
        <f t="shared" si="1"/>
        <v>9.7416666666666671</v>
      </c>
      <c r="AW21" s="26" t="str">
        <f>'9'!AW21</f>
        <v>بجيرم</v>
      </c>
      <c r="AX21" s="12">
        <f>'9'!AX21</f>
        <v>4</v>
      </c>
      <c r="AY21" s="12">
        <f>'9'!AY21</f>
        <v>946</v>
      </c>
      <c r="AZ21" s="12"/>
      <c r="BA21" s="12"/>
      <c r="BB21" s="12">
        <f>BA21+'9'!BB21</f>
        <v>823</v>
      </c>
      <c r="BC21" s="30">
        <f t="shared" si="2"/>
        <v>0.86997885835095135</v>
      </c>
      <c r="BD21" s="12">
        <f>'9'!BD21</f>
        <v>4</v>
      </c>
      <c r="BE21" s="12">
        <f>'9'!BE21</f>
        <v>99</v>
      </c>
      <c r="BF21" s="12"/>
      <c r="BG21" s="12"/>
      <c r="BH21" s="12">
        <f>BG21+'9'!BH21</f>
        <v>99</v>
      </c>
      <c r="BI21" s="30">
        <f t="shared" si="3"/>
        <v>1</v>
      </c>
    </row>
    <row r="22" spans="1:61" ht="30" customHeight="1" x14ac:dyDescent="0.35">
      <c r="A22" s="5">
        <v>12</v>
      </c>
      <c r="B22" s="26" t="str">
        <f>'9'!B22</f>
        <v>كفر بنى غريـــان</v>
      </c>
      <c r="C22" s="26">
        <f>'9'!C22</f>
        <v>2184</v>
      </c>
      <c r="D22" s="26"/>
      <c r="E22" s="12"/>
      <c r="F22" s="2">
        <f>E22+'9'!F22</f>
        <v>12</v>
      </c>
      <c r="G22" s="2"/>
      <c r="H22" s="2">
        <f>G22+'9'!H22</f>
        <v>471</v>
      </c>
      <c r="I22" s="2"/>
      <c r="J22" s="2">
        <f>I22+'9'!J22</f>
        <v>971</v>
      </c>
      <c r="K22" s="2"/>
      <c r="L22" s="2">
        <f>K22+'9'!L22</f>
        <v>0</v>
      </c>
      <c r="M22" s="2"/>
      <c r="N22" s="2">
        <f>M22+'9'!N22</f>
        <v>0</v>
      </c>
      <c r="O22" s="2"/>
      <c r="P22" s="2">
        <f>O22+'9'!P22</f>
        <v>0</v>
      </c>
      <c r="Q22" s="4">
        <f t="shared" si="4"/>
        <v>0</v>
      </c>
      <c r="R22" s="4">
        <f>Q22+'9'!R22</f>
        <v>1454</v>
      </c>
      <c r="S22" s="27">
        <f t="shared" si="5"/>
        <v>0.66575091575091572</v>
      </c>
      <c r="T22" s="12"/>
      <c r="U22" s="12">
        <f>T22+'9'!U22</f>
        <v>174</v>
      </c>
      <c r="V22" s="12"/>
      <c r="W22" s="12">
        <f>V22+'9'!W22</f>
        <v>7</v>
      </c>
      <c r="X22" s="12"/>
      <c r="Y22" s="12">
        <f>X22+'9'!Y22</f>
        <v>0</v>
      </c>
      <c r="AB22" s="5">
        <v>12</v>
      </c>
      <c r="AC22" s="26" t="str">
        <f>'9'!AC22</f>
        <v>كفر بنى غريـــان</v>
      </c>
      <c r="AD22" s="28">
        <f>'9'!AI22</f>
        <v>42</v>
      </c>
      <c r="AE22" s="3"/>
      <c r="AF22" s="28">
        <f>AE22+'9'!AF22</f>
        <v>192</v>
      </c>
      <c r="AG22" s="4"/>
      <c r="AH22" s="28">
        <f>AG22+'9'!AH22</f>
        <v>150</v>
      </c>
      <c r="AI22" s="4">
        <f t="shared" si="6"/>
        <v>42</v>
      </c>
      <c r="AJ22" s="11" t="e">
        <f t="shared" si="0"/>
        <v>#DIV/0!</v>
      </c>
      <c r="AK22" s="53">
        <f t="shared" si="1"/>
        <v>9.6933333333333334</v>
      </c>
      <c r="AW22" s="26" t="str">
        <f>'9'!AW22</f>
        <v>كفر بنى غريـــان</v>
      </c>
      <c r="AX22" s="12">
        <f>'9'!AX22</f>
        <v>3</v>
      </c>
      <c r="AY22" s="12">
        <f>'9'!AY22</f>
        <v>1327</v>
      </c>
      <c r="AZ22" s="12"/>
      <c r="BA22" s="12"/>
      <c r="BB22" s="12">
        <f>BA22+'9'!BB22</f>
        <v>994</v>
      </c>
      <c r="BC22" s="30">
        <f t="shared" si="2"/>
        <v>0.74905802562170309</v>
      </c>
      <c r="BD22" s="12">
        <f>'9'!BD22</f>
        <v>9</v>
      </c>
      <c r="BE22" s="12">
        <f>'9'!BE22</f>
        <v>381</v>
      </c>
      <c r="BF22" s="12"/>
      <c r="BG22" s="12"/>
      <c r="BH22" s="12">
        <f>BG22+'9'!BH22</f>
        <v>387</v>
      </c>
      <c r="BI22" s="30">
        <f t="shared" si="3"/>
        <v>1.015748031496063</v>
      </c>
    </row>
    <row r="23" spans="1:61" ht="30" customHeight="1" x14ac:dyDescent="0.35">
      <c r="A23" s="5">
        <v>13</v>
      </c>
      <c r="B23" s="26" t="str">
        <f>'9'!B23</f>
        <v>بــقســـــــــــــــــا</v>
      </c>
      <c r="C23" s="26">
        <f>'9'!C23</f>
        <v>862</v>
      </c>
      <c r="D23" s="26"/>
      <c r="E23" s="12"/>
      <c r="F23" s="2">
        <f>E23+'9'!F23</f>
        <v>8</v>
      </c>
      <c r="G23" s="2"/>
      <c r="H23" s="2">
        <f>G23+'9'!H23</f>
        <v>160</v>
      </c>
      <c r="I23" s="2"/>
      <c r="J23" s="2">
        <f>I23+'9'!J23</f>
        <v>359</v>
      </c>
      <c r="K23" s="2"/>
      <c r="L23" s="2">
        <f>K23+'9'!L23</f>
        <v>0</v>
      </c>
      <c r="M23" s="2"/>
      <c r="N23" s="2">
        <f>M23+'9'!N23</f>
        <v>0</v>
      </c>
      <c r="O23" s="2"/>
      <c r="P23" s="2">
        <f>O23+'9'!P23</f>
        <v>0</v>
      </c>
      <c r="Q23" s="4">
        <f t="shared" si="4"/>
        <v>0</v>
      </c>
      <c r="R23" s="4">
        <f>Q23+'9'!R23</f>
        <v>527</v>
      </c>
      <c r="S23" s="27">
        <f t="shared" si="5"/>
        <v>0.61136890951276102</v>
      </c>
      <c r="T23" s="12"/>
      <c r="U23" s="12">
        <f>T23+'9'!U23</f>
        <v>36</v>
      </c>
      <c r="V23" s="12"/>
      <c r="W23" s="12">
        <f>V23+'9'!W23</f>
        <v>14</v>
      </c>
      <c r="X23" s="12"/>
      <c r="Y23" s="12">
        <f>X23+'9'!Y23</f>
        <v>0</v>
      </c>
      <c r="AB23" s="5">
        <v>13</v>
      </c>
      <c r="AC23" s="26" t="str">
        <f>'9'!AC23</f>
        <v>بــقســـــــــــــــــا</v>
      </c>
      <c r="AD23" s="28">
        <f>'9'!AI23</f>
        <v>22</v>
      </c>
      <c r="AE23" s="3"/>
      <c r="AF23" s="28">
        <f>AE23+'9'!AF23</f>
        <v>75</v>
      </c>
      <c r="AG23" s="4"/>
      <c r="AH23" s="28">
        <f>AG23+'9'!AH23</f>
        <v>53</v>
      </c>
      <c r="AI23" s="4">
        <f t="shared" si="6"/>
        <v>22</v>
      </c>
      <c r="AJ23" s="11" t="e">
        <f t="shared" si="0"/>
        <v>#DIV/0!</v>
      </c>
      <c r="AK23" s="53">
        <f t="shared" si="1"/>
        <v>9.9433962264150946</v>
      </c>
      <c r="AW23" s="26" t="str">
        <f>'9'!AW23</f>
        <v>بــقســـــــــــــــــا</v>
      </c>
      <c r="AX23" s="12">
        <f>'9'!AX23</f>
        <v>1</v>
      </c>
      <c r="AY23" s="12">
        <f>'9'!AY23</f>
        <v>311</v>
      </c>
      <c r="AZ23" s="12"/>
      <c r="BA23" s="12"/>
      <c r="BB23" s="12">
        <f>BA23+'9'!BB23</f>
        <v>297</v>
      </c>
      <c r="BC23" s="30">
        <f t="shared" si="2"/>
        <v>0.954983922829582</v>
      </c>
      <c r="BD23" s="12">
        <f>'9'!BD23</f>
        <v>1</v>
      </c>
      <c r="BE23" s="12">
        <f>'9'!BE23</f>
        <v>40</v>
      </c>
      <c r="BF23" s="12"/>
      <c r="BG23" s="12"/>
      <c r="BH23" s="12">
        <f>BG23+'9'!BH23</f>
        <v>30</v>
      </c>
      <c r="BI23" s="30">
        <f t="shared" si="3"/>
        <v>0.75</v>
      </c>
    </row>
    <row r="24" spans="1:61" ht="37.15" customHeight="1" x14ac:dyDescent="0.35">
      <c r="A24" s="5">
        <v>14</v>
      </c>
      <c r="B24" s="26" t="str">
        <f>'9'!B24</f>
        <v>كفــــــــر الأكرم</v>
      </c>
      <c r="C24" s="26">
        <f>'9'!C24</f>
        <v>918</v>
      </c>
      <c r="D24" s="26"/>
      <c r="E24" s="12"/>
      <c r="F24" s="2">
        <f>E24+'9'!F24</f>
        <v>3</v>
      </c>
      <c r="G24" s="2"/>
      <c r="H24" s="2">
        <f>G24+'9'!H24</f>
        <v>233</v>
      </c>
      <c r="I24" s="2"/>
      <c r="J24" s="2">
        <f>I24+'9'!J24</f>
        <v>392</v>
      </c>
      <c r="K24" s="2"/>
      <c r="L24" s="2">
        <f>K24+'9'!L24</f>
        <v>0</v>
      </c>
      <c r="M24" s="2"/>
      <c r="N24" s="2">
        <f>M24+'9'!N24</f>
        <v>0</v>
      </c>
      <c r="O24" s="2"/>
      <c r="P24" s="2">
        <f>O24+'9'!P24</f>
        <v>0</v>
      </c>
      <c r="Q24" s="4">
        <f t="shared" si="4"/>
        <v>0</v>
      </c>
      <c r="R24" s="4">
        <f>Q24+'9'!R24</f>
        <v>628</v>
      </c>
      <c r="S24" s="27">
        <f t="shared" si="5"/>
        <v>0.68409586056644878</v>
      </c>
      <c r="T24" s="12"/>
      <c r="U24" s="12">
        <f>T24+'9'!U24</f>
        <v>87</v>
      </c>
      <c r="V24" s="12"/>
      <c r="W24" s="12">
        <f>V24+'9'!W24</f>
        <v>9</v>
      </c>
      <c r="X24" s="12"/>
      <c r="Y24" s="12">
        <f>X24+'9'!Y24</f>
        <v>0</v>
      </c>
      <c r="AB24" s="5">
        <v>14</v>
      </c>
      <c r="AC24" s="26" t="str">
        <f>'9'!AC24</f>
        <v>كفــــــــر الأكرم</v>
      </c>
      <c r="AD24" s="28">
        <f>'9'!AI24</f>
        <v>15</v>
      </c>
      <c r="AE24" s="3"/>
      <c r="AF24" s="28">
        <f>AE24+'9'!AF24</f>
        <v>80</v>
      </c>
      <c r="AG24" s="4"/>
      <c r="AH24" s="28">
        <f>AG24+'9'!AH24</f>
        <v>65</v>
      </c>
      <c r="AI24" s="4">
        <f t="shared" si="6"/>
        <v>15</v>
      </c>
      <c r="AJ24" s="11" t="e">
        <f t="shared" si="0"/>
        <v>#DIV/0!</v>
      </c>
      <c r="AK24" s="53">
        <f t="shared" si="1"/>
        <v>9.661538461538461</v>
      </c>
      <c r="AW24" s="26" t="str">
        <f>'9'!AW24</f>
        <v>كفــــــــر الأكرم</v>
      </c>
      <c r="AX24" s="12">
        <f>'9'!AX24</f>
        <v>2</v>
      </c>
      <c r="AY24" s="12">
        <f>'9'!AY24</f>
        <v>540</v>
      </c>
      <c r="AZ24" s="12"/>
      <c r="BA24" s="12"/>
      <c r="BB24" s="12">
        <f>BA24+'9'!BB24</f>
        <v>380</v>
      </c>
      <c r="BC24" s="30">
        <f t="shared" si="2"/>
        <v>0.70370370370370372</v>
      </c>
      <c r="BD24" s="12">
        <f>'9'!BD24</f>
        <v>2</v>
      </c>
      <c r="BE24" s="12">
        <f>'9'!BE24</f>
        <v>115</v>
      </c>
      <c r="BF24" s="12"/>
      <c r="BG24" s="12"/>
      <c r="BH24" s="12">
        <f>BG24+'9'!BH24</f>
        <v>160</v>
      </c>
      <c r="BI24" s="30">
        <f t="shared" si="3"/>
        <v>1.3913043478260869</v>
      </c>
    </row>
    <row r="25" spans="1:61" ht="28.9" customHeight="1" x14ac:dyDescent="0.35">
      <c r="A25" s="5">
        <v>15</v>
      </c>
      <c r="B25" s="26" t="str">
        <f>'9'!B25</f>
        <v>كفـــــــــر إبنهس</v>
      </c>
      <c r="C25" s="26">
        <f>'9'!C25</f>
        <v>2072</v>
      </c>
      <c r="D25" s="26"/>
      <c r="E25" s="12"/>
      <c r="F25" s="2">
        <f>E25+'9'!F25</f>
        <v>6</v>
      </c>
      <c r="G25" s="2"/>
      <c r="H25" s="2">
        <f>G25+'9'!H25</f>
        <v>345</v>
      </c>
      <c r="I25" s="2"/>
      <c r="J25" s="2">
        <f>I25+'9'!J25</f>
        <v>974</v>
      </c>
      <c r="K25" s="2"/>
      <c r="L25" s="2">
        <f>K25+'9'!L25</f>
        <v>0</v>
      </c>
      <c r="M25" s="2"/>
      <c r="N25" s="2">
        <f>M25+'9'!N25</f>
        <v>0</v>
      </c>
      <c r="O25" s="2"/>
      <c r="P25" s="2">
        <f>O25+'9'!P25</f>
        <v>0</v>
      </c>
      <c r="Q25" s="4">
        <f t="shared" si="4"/>
        <v>0</v>
      </c>
      <c r="R25" s="4">
        <f>Q25+'9'!R25</f>
        <v>1325</v>
      </c>
      <c r="S25" s="27">
        <f t="shared" si="5"/>
        <v>0.63947876447876451</v>
      </c>
      <c r="T25" s="12"/>
      <c r="U25" s="12">
        <f>T25+'9'!U25</f>
        <v>173</v>
      </c>
      <c r="V25" s="12"/>
      <c r="W25" s="12">
        <f>V25+'9'!W25</f>
        <v>50</v>
      </c>
      <c r="X25" s="12"/>
      <c r="Y25" s="12">
        <f>X25+'9'!Y25</f>
        <v>0</v>
      </c>
      <c r="AB25" s="5">
        <v>15</v>
      </c>
      <c r="AC25" s="26" t="str">
        <f>'9'!AC25</f>
        <v>كفـــــــــر إبنهس</v>
      </c>
      <c r="AD25" s="28">
        <f>'9'!AI25</f>
        <v>31</v>
      </c>
      <c r="AE25" s="3"/>
      <c r="AF25" s="28">
        <f>AE25+'9'!AF25</f>
        <v>180</v>
      </c>
      <c r="AG25" s="4"/>
      <c r="AH25" s="28">
        <f>AG25+'9'!AH25</f>
        <v>149</v>
      </c>
      <c r="AI25" s="4">
        <f t="shared" si="6"/>
        <v>31</v>
      </c>
      <c r="AJ25" s="11" t="e">
        <f t="shared" si="0"/>
        <v>#DIV/0!</v>
      </c>
      <c r="AK25" s="53">
        <f t="shared" si="1"/>
        <v>8.8926174496644297</v>
      </c>
      <c r="AW25" s="26" t="str">
        <f>'9'!AW25</f>
        <v>كفـــــــــر إبنهس</v>
      </c>
      <c r="AX25" s="12">
        <f>'9'!AX25</f>
        <v>3</v>
      </c>
      <c r="AY25" s="12">
        <f>'9'!AY25</f>
        <v>1013</v>
      </c>
      <c r="AZ25" s="12"/>
      <c r="BA25" s="12"/>
      <c r="BB25" s="12">
        <f>BA25+'9'!BB25</f>
        <v>838</v>
      </c>
      <c r="BC25" s="30">
        <f t="shared" si="2"/>
        <v>0.82724580454096741</v>
      </c>
      <c r="BD25" s="12">
        <f>'9'!BD25</f>
        <v>4</v>
      </c>
      <c r="BE25" s="12">
        <f>'9'!BE25</f>
        <v>620</v>
      </c>
      <c r="BF25" s="12"/>
      <c r="BG25" s="12"/>
      <c r="BH25" s="12">
        <f>BG25+'9'!BH25</f>
        <v>507</v>
      </c>
      <c r="BI25" s="30">
        <f t="shared" si="3"/>
        <v>0.81774193548387097</v>
      </c>
    </row>
    <row r="26" spans="1:61" ht="28.9" customHeight="1" x14ac:dyDescent="0.35">
      <c r="A26" s="5">
        <v>16</v>
      </c>
      <c r="B26" s="26" t="str">
        <f>'9'!B26</f>
        <v>الرمــــــــــــــالى</v>
      </c>
      <c r="C26" s="26">
        <f>'9'!C26</f>
        <v>2699</v>
      </c>
      <c r="D26" s="26"/>
      <c r="E26" s="12"/>
      <c r="F26" s="2">
        <f>E26+'9'!F26</f>
        <v>27</v>
      </c>
      <c r="G26" s="2"/>
      <c r="H26" s="2">
        <f>G26+'9'!H26</f>
        <v>312</v>
      </c>
      <c r="I26" s="2"/>
      <c r="J26" s="2">
        <f>I26+'9'!J26</f>
        <v>993</v>
      </c>
      <c r="K26" s="2"/>
      <c r="L26" s="2">
        <f>K26+'9'!L26</f>
        <v>0</v>
      </c>
      <c r="M26" s="2"/>
      <c r="N26" s="2">
        <f>M26+'9'!N26</f>
        <v>0</v>
      </c>
      <c r="O26" s="2"/>
      <c r="P26" s="2">
        <f>O26+'9'!P26</f>
        <v>0</v>
      </c>
      <c r="Q26" s="4">
        <f t="shared" si="4"/>
        <v>0</v>
      </c>
      <c r="R26" s="4">
        <f>Q26+'9'!R26</f>
        <v>1332</v>
      </c>
      <c r="S26" s="27">
        <f t="shared" si="5"/>
        <v>0.49351611708040016</v>
      </c>
      <c r="T26" s="12"/>
      <c r="U26" s="12">
        <f>T26+'9'!U26</f>
        <v>114</v>
      </c>
      <c r="V26" s="12"/>
      <c r="W26" s="12">
        <f>V26+'9'!W26</f>
        <v>108</v>
      </c>
      <c r="X26" s="12"/>
      <c r="Y26" s="12">
        <f>X26+'9'!Y26</f>
        <v>1</v>
      </c>
      <c r="Z26" s="38"/>
      <c r="AB26" s="5">
        <v>16</v>
      </c>
      <c r="AC26" s="26" t="str">
        <f>'9'!AC26</f>
        <v>الرمــــــــــــــالى</v>
      </c>
      <c r="AD26" s="28">
        <f>'9'!AI26</f>
        <v>96</v>
      </c>
      <c r="AE26" s="3"/>
      <c r="AF26" s="28">
        <f>AE26+'9'!AF26</f>
        <v>235</v>
      </c>
      <c r="AG26" s="4"/>
      <c r="AH26" s="28">
        <f>AG26+'9'!AH26</f>
        <v>139</v>
      </c>
      <c r="AI26" s="4">
        <f t="shared" si="6"/>
        <v>96</v>
      </c>
      <c r="AJ26" s="11" t="e">
        <f t="shared" si="0"/>
        <v>#DIV/0!</v>
      </c>
      <c r="AK26" s="53">
        <f t="shared" si="1"/>
        <v>9.5827338129496411</v>
      </c>
      <c r="AV26" s="38"/>
      <c r="AW26" s="26" t="str">
        <f>'9'!AW26</f>
        <v>الرمــــــــــــــالى</v>
      </c>
      <c r="AX26" s="12">
        <f>'9'!AX26</f>
        <v>3</v>
      </c>
      <c r="AY26" s="12">
        <f>'9'!AY26</f>
        <v>1486</v>
      </c>
      <c r="AZ26" s="12"/>
      <c r="BA26" s="12"/>
      <c r="BB26" s="12">
        <f>BA26+'9'!BB26</f>
        <v>1149</v>
      </c>
      <c r="BC26" s="30">
        <f t="shared" si="2"/>
        <v>0.77321668909825036</v>
      </c>
      <c r="BD26" s="12">
        <f>'9'!BD26</f>
        <v>3</v>
      </c>
      <c r="BE26" s="12">
        <f>'9'!BE26</f>
        <v>98</v>
      </c>
      <c r="BF26" s="12"/>
      <c r="BG26" s="12"/>
      <c r="BH26" s="12">
        <f>BG26+'9'!BH26</f>
        <v>0</v>
      </c>
      <c r="BI26" s="30">
        <f t="shared" si="3"/>
        <v>0</v>
      </c>
    </row>
    <row r="27" spans="1:61" ht="28.9" customHeight="1" x14ac:dyDescent="0.35">
      <c r="A27" s="5">
        <v>17</v>
      </c>
      <c r="B27" s="26" t="str">
        <f>'9'!B27</f>
        <v>مصطــــــــــــاى</v>
      </c>
      <c r="C27" s="26">
        <f>'9'!C27</f>
        <v>2666</v>
      </c>
      <c r="D27" s="26"/>
      <c r="E27" s="12"/>
      <c r="F27" s="2">
        <f>E27+'9'!F27</f>
        <v>54</v>
      </c>
      <c r="G27" s="2"/>
      <c r="H27" s="2">
        <f>G27+'9'!H27</f>
        <v>364</v>
      </c>
      <c r="I27" s="2"/>
      <c r="J27" s="2">
        <f>I27+'9'!J27</f>
        <v>1154</v>
      </c>
      <c r="K27" s="2"/>
      <c r="L27" s="2">
        <f>K27+'9'!L27</f>
        <v>0</v>
      </c>
      <c r="M27" s="2"/>
      <c r="N27" s="2">
        <f>M27+'9'!N27</f>
        <v>0</v>
      </c>
      <c r="O27" s="2"/>
      <c r="P27" s="2">
        <f>O27+'9'!P27</f>
        <v>0</v>
      </c>
      <c r="Q27" s="4">
        <f t="shared" si="4"/>
        <v>0</v>
      </c>
      <c r="R27" s="4">
        <f>Q27+'9'!R27</f>
        <v>1572</v>
      </c>
      <c r="S27" s="27">
        <f t="shared" si="5"/>
        <v>0.58964741185296321</v>
      </c>
      <c r="T27" s="12"/>
      <c r="U27" s="12">
        <f>T27+'9'!U27</f>
        <v>45</v>
      </c>
      <c r="V27" s="12"/>
      <c r="W27" s="12">
        <f>V27+'9'!W27</f>
        <v>15</v>
      </c>
      <c r="X27" s="12"/>
      <c r="Y27" s="12">
        <f>X27+'9'!Y27</f>
        <v>0</v>
      </c>
      <c r="AB27" s="5">
        <v>17</v>
      </c>
      <c r="AC27" s="26" t="str">
        <f>'9'!AC27</f>
        <v>مصطــــــــــــاى</v>
      </c>
      <c r="AD27" s="28">
        <f>'9'!AI27</f>
        <v>74</v>
      </c>
      <c r="AE27" s="3"/>
      <c r="AF27" s="28">
        <f>AE27+'9'!AF27</f>
        <v>234</v>
      </c>
      <c r="AG27" s="4"/>
      <c r="AH27" s="28">
        <f>AG27+'9'!AH27</f>
        <v>160</v>
      </c>
      <c r="AI27" s="4">
        <f t="shared" si="6"/>
        <v>74</v>
      </c>
      <c r="AJ27" s="11" t="e">
        <f t="shared" si="0"/>
        <v>#DIV/0!</v>
      </c>
      <c r="AK27" s="53">
        <f t="shared" si="1"/>
        <v>9.8249999999999993</v>
      </c>
      <c r="AW27" s="26" t="str">
        <f>'9'!AW27</f>
        <v>مصطــــــــــــاى</v>
      </c>
      <c r="AX27" s="12">
        <f>'9'!AX27</f>
        <v>3</v>
      </c>
      <c r="AY27" s="12">
        <f>'9'!AY27</f>
        <v>1709</v>
      </c>
      <c r="AZ27" s="12"/>
      <c r="BA27" s="12"/>
      <c r="BB27" s="12">
        <f>BA27+'9'!BB27</f>
        <v>1252</v>
      </c>
      <c r="BC27" s="30">
        <f t="shared" si="2"/>
        <v>0.73259215915740195</v>
      </c>
      <c r="BD27" s="12">
        <f>'9'!BD27</f>
        <v>6</v>
      </c>
      <c r="BE27" s="12">
        <f>'9'!BE27</f>
        <v>696</v>
      </c>
      <c r="BF27" s="12"/>
      <c r="BG27" s="12"/>
      <c r="BH27" s="12">
        <f>BG27+'9'!BH27</f>
        <v>120</v>
      </c>
      <c r="BI27" s="30">
        <f t="shared" si="3"/>
        <v>0.17241379310344829</v>
      </c>
    </row>
    <row r="28" spans="1:61" ht="28.9" customHeight="1" x14ac:dyDescent="0.35">
      <c r="A28" s="5">
        <v>18</v>
      </c>
      <c r="B28" s="26" t="str">
        <f>'9'!B28</f>
        <v>كفر طـــــــه شبرا</v>
      </c>
      <c r="C28" s="26">
        <f>'9'!C28</f>
        <v>1795</v>
      </c>
      <c r="D28" s="26"/>
      <c r="E28" s="12"/>
      <c r="F28" s="2">
        <f>E28+'9'!F28</f>
        <v>8</v>
      </c>
      <c r="G28" s="2"/>
      <c r="H28" s="2">
        <f>G28+'9'!H28</f>
        <v>294</v>
      </c>
      <c r="I28" s="2"/>
      <c r="J28" s="2">
        <f>I28+'9'!J28</f>
        <v>940</v>
      </c>
      <c r="K28" s="2"/>
      <c r="L28" s="2">
        <f>K28+'9'!L28</f>
        <v>0</v>
      </c>
      <c r="M28" s="2"/>
      <c r="N28" s="2">
        <f>M28+'9'!N28</f>
        <v>0</v>
      </c>
      <c r="O28" s="2"/>
      <c r="P28" s="2">
        <f>O28+'9'!P28</f>
        <v>0</v>
      </c>
      <c r="Q28" s="4">
        <f t="shared" si="4"/>
        <v>0</v>
      </c>
      <c r="R28" s="4">
        <f>Q28+'9'!R28</f>
        <v>1242</v>
      </c>
      <c r="S28" s="27">
        <f t="shared" si="5"/>
        <v>0.69192200557103067</v>
      </c>
      <c r="T28" s="12"/>
      <c r="U28" s="12">
        <f>T28+'9'!U28</f>
        <v>136</v>
      </c>
      <c r="V28" s="12"/>
      <c r="W28" s="12">
        <f>V28+'9'!W28</f>
        <v>33</v>
      </c>
      <c r="X28" s="12"/>
      <c r="Y28" s="12">
        <f>X28+'9'!Y28</f>
        <v>0</v>
      </c>
      <c r="AB28" s="5">
        <v>18</v>
      </c>
      <c r="AC28" s="26" t="str">
        <f>'9'!AC28</f>
        <v>كفر طـــــــه شبرا</v>
      </c>
      <c r="AD28" s="28">
        <f>'9'!AI28</f>
        <v>28</v>
      </c>
      <c r="AE28" s="3"/>
      <c r="AF28" s="28">
        <f>AE28+'9'!AF28</f>
        <v>158</v>
      </c>
      <c r="AG28" s="4"/>
      <c r="AH28" s="28">
        <f>AG28+'9'!AH28</f>
        <v>130</v>
      </c>
      <c r="AI28" s="4">
        <f t="shared" si="6"/>
        <v>28</v>
      </c>
      <c r="AJ28" s="11" t="e">
        <f t="shared" si="0"/>
        <v>#DIV/0!</v>
      </c>
      <c r="AK28" s="53">
        <f t="shared" si="1"/>
        <v>9.5538461538461537</v>
      </c>
      <c r="AW28" s="26" t="str">
        <f>'9'!AW28</f>
        <v>كفر طـــــــه شبرا</v>
      </c>
      <c r="AX28" s="12">
        <f>'9'!AX28</f>
        <v>4</v>
      </c>
      <c r="AY28" s="12">
        <f>'9'!AY28</f>
        <v>948</v>
      </c>
      <c r="AZ28" s="12"/>
      <c r="BA28" s="12"/>
      <c r="BB28" s="12">
        <f>BA28+'9'!BB28</f>
        <v>827</v>
      </c>
      <c r="BC28" s="30">
        <f t="shared" si="2"/>
        <v>0.87236286919831219</v>
      </c>
      <c r="BD28" s="12">
        <f>'9'!BD28</f>
        <v>7</v>
      </c>
      <c r="BE28" s="12">
        <f>'9'!BE28</f>
        <v>300</v>
      </c>
      <c r="BF28" s="12"/>
      <c r="BG28" s="12"/>
      <c r="BH28" s="12">
        <f>BG28+'9'!BH28</f>
        <v>403</v>
      </c>
      <c r="BI28" s="30">
        <f t="shared" si="3"/>
        <v>1.3433333333333333</v>
      </c>
    </row>
    <row r="29" spans="1:61" ht="28.9" customHeight="1" x14ac:dyDescent="0.35">
      <c r="A29" s="5">
        <v>19</v>
      </c>
      <c r="B29" s="26" t="str">
        <f>'9'!B29</f>
        <v>كفر أبـــو الحسن</v>
      </c>
      <c r="C29" s="26">
        <f>'9'!C29</f>
        <v>1397</v>
      </c>
      <c r="D29" s="26"/>
      <c r="E29" s="12"/>
      <c r="F29" s="2">
        <f>E29+'9'!F29</f>
        <v>4</v>
      </c>
      <c r="G29" s="2"/>
      <c r="H29" s="2">
        <f>G29+'9'!H29</f>
        <v>238</v>
      </c>
      <c r="I29" s="2"/>
      <c r="J29" s="2">
        <f>I29+'9'!J29</f>
        <v>841</v>
      </c>
      <c r="K29" s="2"/>
      <c r="L29" s="2">
        <f>K29+'9'!L29</f>
        <v>0</v>
      </c>
      <c r="M29" s="2"/>
      <c r="N29" s="2">
        <f>M29+'9'!N29</f>
        <v>0</v>
      </c>
      <c r="O29" s="2"/>
      <c r="P29" s="2">
        <f>O29+'9'!P29</f>
        <v>0</v>
      </c>
      <c r="Q29" s="4">
        <f t="shared" si="4"/>
        <v>0</v>
      </c>
      <c r="R29" s="4">
        <f>Q29+'9'!R29</f>
        <v>1083</v>
      </c>
      <c r="S29" s="27">
        <f t="shared" si="5"/>
        <v>0.77523264137437364</v>
      </c>
      <c r="T29" s="12"/>
      <c r="U29" s="12">
        <f>T29+'9'!U29</f>
        <v>205</v>
      </c>
      <c r="V29" s="12"/>
      <c r="W29" s="12">
        <f>V29+'9'!W29</f>
        <v>18</v>
      </c>
      <c r="X29" s="12"/>
      <c r="Y29" s="12">
        <f>X29+'9'!Y29</f>
        <v>0</v>
      </c>
      <c r="AB29" s="5">
        <v>19</v>
      </c>
      <c r="AC29" s="26" t="str">
        <f>'9'!AC29</f>
        <v>كفر أبـــو الحسن</v>
      </c>
      <c r="AD29" s="28">
        <f>'9'!AI29</f>
        <v>22</v>
      </c>
      <c r="AE29" s="3"/>
      <c r="AF29" s="28">
        <f>AE29+'9'!AF29</f>
        <v>133</v>
      </c>
      <c r="AG29" s="4"/>
      <c r="AH29" s="28">
        <f>AG29+'9'!AH29</f>
        <v>111</v>
      </c>
      <c r="AI29" s="4">
        <f t="shared" si="6"/>
        <v>22</v>
      </c>
      <c r="AJ29" s="11" t="e">
        <f t="shared" si="0"/>
        <v>#DIV/0!</v>
      </c>
      <c r="AK29" s="53">
        <f t="shared" si="1"/>
        <v>9.7567567567567561</v>
      </c>
      <c r="AW29" s="26" t="str">
        <f>'9'!AW29</f>
        <v>كفر أبـــو الحسن</v>
      </c>
      <c r="AX29" s="12">
        <f>'9'!AX29</f>
        <v>3</v>
      </c>
      <c r="AY29" s="12">
        <f>'9'!AY29</f>
        <v>912</v>
      </c>
      <c r="AZ29" s="12"/>
      <c r="BA29" s="12"/>
      <c r="BB29" s="12">
        <f>BA29+'9'!BB29</f>
        <v>760</v>
      </c>
      <c r="BC29" s="30">
        <f t="shared" si="2"/>
        <v>0.83333333333333337</v>
      </c>
      <c r="BD29" s="12">
        <f>'9'!BD29</f>
        <v>9</v>
      </c>
      <c r="BE29" s="12">
        <f>'9'!BE29</f>
        <v>258</v>
      </c>
      <c r="BF29" s="12"/>
      <c r="BG29" s="12"/>
      <c r="BH29" s="12">
        <f>BG29+'9'!BH29</f>
        <v>351</v>
      </c>
      <c r="BI29" s="30">
        <f t="shared" si="3"/>
        <v>1.3604651162790697</v>
      </c>
    </row>
    <row r="30" spans="1:61" ht="28.9" customHeight="1" x14ac:dyDescent="0.35">
      <c r="A30" s="5">
        <v>20</v>
      </c>
      <c r="B30" s="26" t="str">
        <f>'9'!B30</f>
        <v>ميت أبـــــوشيخه</v>
      </c>
      <c r="C30" s="26">
        <f>'9'!C30</f>
        <v>1134</v>
      </c>
      <c r="D30" s="26"/>
      <c r="E30" s="12"/>
      <c r="F30" s="2">
        <f>E30+'9'!F30</f>
        <v>10</v>
      </c>
      <c r="G30" s="2"/>
      <c r="H30" s="2">
        <f>G30+'9'!H30</f>
        <v>144</v>
      </c>
      <c r="I30" s="2"/>
      <c r="J30" s="2">
        <f>I30+'9'!J30</f>
        <v>435</v>
      </c>
      <c r="K30" s="2"/>
      <c r="L30" s="2">
        <f>K30+'9'!L30</f>
        <v>0</v>
      </c>
      <c r="M30" s="2"/>
      <c r="N30" s="2">
        <f>M30+'9'!N30</f>
        <v>0</v>
      </c>
      <c r="O30" s="2"/>
      <c r="P30" s="2">
        <f>O30+'9'!P30</f>
        <v>0</v>
      </c>
      <c r="Q30" s="4">
        <f t="shared" si="4"/>
        <v>0</v>
      </c>
      <c r="R30" s="4">
        <f>Q30+'9'!R30</f>
        <v>589</v>
      </c>
      <c r="S30" s="27">
        <f t="shared" si="5"/>
        <v>0.51940035273368612</v>
      </c>
      <c r="T30" s="12"/>
      <c r="U30" s="12">
        <f>T30+'9'!U30</f>
        <v>68</v>
      </c>
      <c r="V30" s="12"/>
      <c r="W30" s="12">
        <f>V30+'9'!W30</f>
        <v>10</v>
      </c>
      <c r="X30" s="12"/>
      <c r="Y30" s="12">
        <f>X30+'9'!Y30</f>
        <v>0</v>
      </c>
      <c r="AB30" s="5">
        <v>20</v>
      </c>
      <c r="AC30" s="26" t="str">
        <f>'9'!AC30</f>
        <v>ميت أبـــــوشيخه</v>
      </c>
      <c r="AD30" s="28">
        <f>'9'!AI30</f>
        <v>40</v>
      </c>
      <c r="AE30" s="3"/>
      <c r="AF30" s="28">
        <f>AE30+'9'!AF30</f>
        <v>100</v>
      </c>
      <c r="AG30" s="4"/>
      <c r="AH30" s="28">
        <f>AG30+'9'!AH30</f>
        <v>60</v>
      </c>
      <c r="AI30" s="4">
        <f t="shared" si="6"/>
        <v>40</v>
      </c>
      <c r="AJ30" s="11" t="e">
        <f t="shared" si="0"/>
        <v>#DIV/0!</v>
      </c>
      <c r="AK30" s="53">
        <f t="shared" si="1"/>
        <v>9.8166666666666664</v>
      </c>
      <c r="AW30" s="26" t="str">
        <f>'9'!AW30</f>
        <v>ميت أبـــــوشيخه</v>
      </c>
      <c r="AX30" s="12">
        <f>'9'!AX30</f>
        <v>2</v>
      </c>
      <c r="AY30" s="12">
        <f>'9'!AY30</f>
        <v>560</v>
      </c>
      <c r="AZ30" s="12"/>
      <c r="BA30" s="12"/>
      <c r="BB30" s="12">
        <f>BA30+'9'!BB30</f>
        <v>459</v>
      </c>
      <c r="BC30" s="30">
        <f t="shared" si="2"/>
        <v>0.81964285714285712</v>
      </c>
      <c r="BD30" s="12">
        <f>'9'!BD30</f>
        <v>2</v>
      </c>
      <c r="BE30" s="12">
        <f>'9'!BE30</f>
        <v>107</v>
      </c>
      <c r="BF30" s="12"/>
      <c r="BG30" s="12"/>
      <c r="BH30" s="12">
        <f>BG30+'9'!BH30</f>
        <v>85</v>
      </c>
      <c r="BI30" s="30">
        <f t="shared" si="3"/>
        <v>0.79439252336448596</v>
      </c>
    </row>
    <row r="31" spans="1:61" ht="28.9" customHeight="1" x14ac:dyDescent="0.35">
      <c r="A31" s="5">
        <v>21</v>
      </c>
      <c r="B31" s="26" t="str">
        <f>'9'!B31</f>
        <v>طــــــــــــه شبرا</v>
      </c>
      <c r="C31" s="26">
        <f>'9'!C31</f>
        <v>5149</v>
      </c>
      <c r="D31" s="26"/>
      <c r="E31" s="12"/>
      <c r="F31" s="2">
        <f>E31+'9'!F31</f>
        <v>22</v>
      </c>
      <c r="G31" s="2"/>
      <c r="H31" s="2">
        <f>G31+'9'!H31</f>
        <v>967</v>
      </c>
      <c r="I31" s="2"/>
      <c r="J31" s="2">
        <f>I31+'9'!J31</f>
        <v>1288</v>
      </c>
      <c r="K31" s="2"/>
      <c r="L31" s="2">
        <f>K31+'9'!L31</f>
        <v>0</v>
      </c>
      <c r="M31" s="2"/>
      <c r="N31" s="2">
        <f>M31+'9'!N31</f>
        <v>0</v>
      </c>
      <c r="O31" s="2"/>
      <c r="P31" s="2">
        <f>O31+'9'!P31</f>
        <v>0</v>
      </c>
      <c r="Q31" s="4">
        <f t="shared" si="4"/>
        <v>0</v>
      </c>
      <c r="R31" s="4">
        <f>Q31+'9'!R31</f>
        <v>2277</v>
      </c>
      <c r="S31" s="27">
        <f t="shared" si="5"/>
        <v>0.442221790638959</v>
      </c>
      <c r="T31" s="12"/>
      <c r="U31" s="12">
        <f>T31+'9'!U31</f>
        <v>277</v>
      </c>
      <c r="V31" s="12"/>
      <c r="W31" s="12">
        <f>V31+'9'!W31</f>
        <v>3</v>
      </c>
      <c r="X31" s="12"/>
      <c r="Y31" s="12">
        <f>X31+'9'!Y31</f>
        <v>0</v>
      </c>
      <c r="AB31" s="5">
        <v>21</v>
      </c>
      <c r="AC31" s="26" t="str">
        <f>'9'!AC31</f>
        <v>طــــــــــــه شبرا</v>
      </c>
      <c r="AD31" s="28">
        <f>'9'!AI31</f>
        <v>216</v>
      </c>
      <c r="AE31" s="3"/>
      <c r="AF31" s="28">
        <f>AE31+'9'!AF31</f>
        <v>452</v>
      </c>
      <c r="AG31" s="4"/>
      <c r="AH31" s="28">
        <f>AG31+'9'!AH31</f>
        <v>236</v>
      </c>
      <c r="AI31" s="4">
        <f t="shared" si="6"/>
        <v>216</v>
      </c>
      <c r="AJ31" s="11" t="e">
        <f t="shared" si="0"/>
        <v>#DIV/0!</v>
      </c>
      <c r="AK31" s="53">
        <f t="shared" si="1"/>
        <v>9.648305084745763</v>
      </c>
      <c r="AW31" s="26" t="str">
        <f>'9'!AW31</f>
        <v>طــــــــــــه شبرا</v>
      </c>
      <c r="AX31" s="12">
        <f>'9'!AX31</f>
        <v>6</v>
      </c>
      <c r="AY31" s="12">
        <f>'9'!AY31</f>
        <v>2219</v>
      </c>
      <c r="AZ31" s="12"/>
      <c r="BA31" s="12"/>
      <c r="BB31" s="12">
        <f>BA31+'9'!BB31</f>
        <v>1367</v>
      </c>
      <c r="BC31" s="30">
        <f t="shared" si="2"/>
        <v>0.61604326273095988</v>
      </c>
      <c r="BD31" s="12">
        <f>'9'!BD31</f>
        <v>8</v>
      </c>
      <c r="BE31" s="12">
        <f>'9'!BE31</f>
        <v>748</v>
      </c>
      <c r="BF31" s="12"/>
      <c r="BG31" s="12"/>
      <c r="BH31" s="12">
        <f>BG31+'9'!BH31</f>
        <v>690</v>
      </c>
      <c r="BI31" s="30">
        <f t="shared" si="3"/>
        <v>0.92245989304812837</v>
      </c>
    </row>
    <row r="32" spans="1:61" ht="28.9" customHeight="1" x14ac:dyDescent="0.35">
      <c r="A32" s="5">
        <v>22</v>
      </c>
      <c r="B32" s="26" t="str">
        <f>'9'!B32</f>
        <v>أشـــــــــــــــــليم</v>
      </c>
      <c r="C32" s="26">
        <f>'9'!C32</f>
        <v>2638</v>
      </c>
      <c r="D32" s="26"/>
      <c r="E32" s="12"/>
      <c r="F32" s="2">
        <f>E32+'9'!F32</f>
        <v>19</v>
      </c>
      <c r="G32" s="2"/>
      <c r="H32" s="2">
        <f>G32+'9'!H32</f>
        <v>606</v>
      </c>
      <c r="I32" s="2"/>
      <c r="J32" s="2">
        <f>I32+'9'!J32</f>
        <v>1522</v>
      </c>
      <c r="K32" s="2"/>
      <c r="L32" s="2">
        <f>K32+'9'!L32</f>
        <v>0</v>
      </c>
      <c r="M32" s="2"/>
      <c r="N32" s="2">
        <f>M32+'9'!N32</f>
        <v>0</v>
      </c>
      <c r="O32" s="2"/>
      <c r="P32" s="2">
        <f>O32+'9'!P32</f>
        <v>0</v>
      </c>
      <c r="Q32" s="4">
        <f t="shared" si="4"/>
        <v>0</v>
      </c>
      <c r="R32" s="4">
        <f>Q32+'9'!R32</f>
        <v>2147</v>
      </c>
      <c r="S32" s="27">
        <f t="shared" si="5"/>
        <v>0.81387414708112205</v>
      </c>
      <c r="T32" s="12"/>
      <c r="U32" s="12">
        <f>T32+'9'!U32</f>
        <v>149</v>
      </c>
      <c r="V32" s="12"/>
      <c r="W32" s="12">
        <f>V32+'9'!W32</f>
        <v>119</v>
      </c>
      <c r="X32" s="12"/>
      <c r="Y32" s="12">
        <f>X32+'9'!Y32</f>
        <v>0</v>
      </c>
      <c r="AB32" s="5">
        <v>22</v>
      </c>
      <c r="AC32" s="26" t="str">
        <f>'9'!AC32</f>
        <v>أشـــــــــــــــــليم</v>
      </c>
      <c r="AD32" s="28">
        <f>'9'!AI32</f>
        <v>31</v>
      </c>
      <c r="AE32" s="3"/>
      <c r="AF32" s="28">
        <f>AE32+'9'!AF32</f>
        <v>252</v>
      </c>
      <c r="AG32" s="4"/>
      <c r="AH32" s="28">
        <f>AG32+'9'!AH32</f>
        <v>221</v>
      </c>
      <c r="AI32" s="4">
        <f t="shared" si="6"/>
        <v>31</v>
      </c>
      <c r="AJ32" s="11" t="e">
        <f t="shared" si="0"/>
        <v>#DIV/0!</v>
      </c>
      <c r="AK32" s="53">
        <f t="shared" si="1"/>
        <v>9.7149321266968318</v>
      </c>
      <c r="AW32" s="26" t="str">
        <f>'9'!AW32</f>
        <v>أشـــــــــــــــــليم</v>
      </c>
      <c r="AX32" s="12">
        <f>'9'!AX32</f>
        <v>8</v>
      </c>
      <c r="AY32" s="12">
        <f>'9'!AY32</f>
        <v>1819</v>
      </c>
      <c r="AZ32" s="12"/>
      <c r="BA32" s="12"/>
      <c r="BB32" s="12">
        <f>BA32+'9'!BB32</f>
        <v>1506</v>
      </c>
      <c r="BC32" s="30">
        <f t="shared" si="2"/>
        <v>0.82792743265530511</v>
      </c>
      <c r="BD32" s="12">
        <f>'9'!BD32</f>
        <v>7</v>
      </c>
      <c r="BE32" s="12">
        <f>'9'!BE32</f>
        <v>176</v>
      </c>
      <c r="BF32" s="12"/>
      <c r="BG32" s="12"/>
      <c r="BH32" s="12">
        <f>BG32+'9'!BH32</f>
        <v>531</v>
      </c>
      <c r="BI32" s="30">
        <f t="shared" si="3"/>
        <v>3.0170454545454546</v>
      </c>
    </row>
    <row r="33" spans="1:61" ht="28.9" customHeight="1" x14ac:dyDescent="0.35">
      <c r="A33" s="5">
        <v>23</v>
      </c>
      <c r="B33" s="26" t="str">
        <f>'9'!B33</f>
        <v>شبرا قبالــــــــــه</v>
      </c>
      <c r="C33" s="26">
        <f>'9'!C33</f>
        <v>2050</v>
      </c>
      <c r="D33" s="26"/>
      <c r="E33" s="12"/>
      <c r="F33" s="2">
        <f>E33+'9'!F33</f>
        <v>23</v>
      </c>
      <c r="G33" s="2"/>
      <c r="H33" s="2">
        <f>G33+'9'!H33</f>
        <v>644</v>
      </c>
      <c r="I33" s="2"/>
      <c r="J33" s="2">
        <f>I33+'9'!J33</f>
        <v>773</v>
      </c>
      <c r="K33" s="2"/>
      <c r="L33" s="2">
        <f>K33+'9'!L33</f>
        <v>0</v>
      </c>
      <c r="M33" s="2"/>
      <c r="N33" s="2">
        <f>M33+'9'!N33</f>
        <v>0</v>
      </c>
      <c r="O33" s="2"/>
      <c r="P33" s="2">
        <f>O33+'9'!P33</f>
        <v>0</v>
      </c>
      <c r="Q33" s="4">
        <f t="shared" si="4"/>
        <v>0</v>
      </c>
      <c r="R33" s="4">
        <f>Q33+'9'!R33</f>
        <v>1440</v>
      </c>
      <c r="S33" s="27">
        <f t="shared" si="5"/>
        <v>0.70243902439024386</v>
      </c>
      <c r="T33" s="12"/>
      <c r="U33" s="12">
        <f>T33+'9'!U33</f>
        <v>96</v>
      </c>
      <c r="V33" s="12"/>
      <c r="W33" s="12">
        <f>V33+'9'!W33</f>
        <v>64</v>
      </c>
      <c r="X33" s="12"/>
      <c r="Y33" s="12">
        <f>X33+'9'!Y33</f>
        <v>0</v>
      </c>
      <c r="AB33" s="5">
        <v>23</v>
      </c>
      <c r="AC33" s="26" t="str">
        <f>'9'!AC33</f>
        <v>شبرا قبالــــــــــه</v>
      </c>
      <c r="AD33" s="28">
        <f>'9'!AI33</f>
        <v>36</v>
      </c>
      <c r="AE33" s="3"/>
      <c r="AF33" s="28">
        <f>AE33+'9'!AF33</f>
        <v>180</v>
      </c>
      <c r="AG33" s="4"/>
      <c r="AH33" s="28">
        <f>AG33+'9'!AH33</f>
        <v>144</v>
      </c>
      <c r="AI33" s="4">
        <f t="shared" si="6"/>
        <v>36</v>
      </c>
      <c r="AJ33" s="11" t="e">
        <f t="shared" si="0"/>
        <v>#DIV/0!</v>
      </c>
      <c r="AK33" s="53">
        <f t="shared" si="1"/>
        <v>10</v>
      </c>
      <c r="AW33" s="26" t="str">
        <f>'9'!AW33</f>
        <v>شبرا قبالــــــــــه</v>
      </c>
      <c r="AX33" s="12">
        <f>'9'!AX33</f>
        <v>1</v>
      </c>
      <c r="AY33" s="12">
        <f>'9'!AY33</f>
        <v>918</v>
      </c>
      <c r="AZ33" s="12"/>
      <c r="BA33" s="12"/>
      <c r="BB33" s="12">
        <f>BA33+'9'!BB33</f>
        <v>780</v>
      </c>
      <c r="BC33" s="30">
        <f t="shared" si="2"/>
        <v>0.84967320261437906</v>
      </c>
      <c r="BD33" s="12">
        <f>'9'!BD33</f>
        <v>5</v>
      </c>
      <c r="BE33" s="12">
        <f>'9'!BE33</f>
        <v>375</v>
      </c>
      <c r="BF33" s="12"/>
      <c r="BG33" s="12"/>
      <c r="BH33" s="12">
        <f>BG33+'9'!BH33</f>
        <v>430</v>
      </c>
      <c r="BI33" s="30">
        <f t="shared" si="3"/>
        <v>1.1466666666666667</v>
      </c>
    </row>
    <row r="34" spans="1:61" ht="28.9" customHeight="1" x14ac:dyDescent="0.35">
      <c r="A34" s="5">
        <v>24</v>
      </c>
      <c r="B34" s="26" t="str">
        <f>'9'!B34</f>
        <v>عرب الرمـــــــل</v>
      </c>
      <c r="C34" s="26">
        <f>'9'!C34</f>
        <v>5755</v>
      </c>
      <c r="D34" s="26"/>
      <c r="E34" s="12"/>
      <c r="F34" s="2">
        <f>E34+'9'!F34</f>
        <v>22</v>
      </c>
      <c r="G34" s="2"/>
      <c r="H34" s="2">
        <f>G34+'9'!H34</f>
        <v>1011</v>
      </c>
      <c r="I34" s="2"/>
      <c r="J34" s="2">
        <f>I34+'9'!J34</f>
        <v>1364</v>
      </c>
      <c r="K34" s="2"/>
      <c r="L34" s="2">
        <f>K34+'9'!L34</f>
        <v>0</v>
      </c>
      <c r="M34" s="2"/>
      <c r="N34" s="2">
        <f>M34+'9'!N34</f>
        <v>0</v>
      </c>
      <c r="O34" s="2"/>
      <c r="P34" s="2">
        <f>O34+'9'!P34</f>
        <v>0</v>
      </c>
      <c r="Q34" s="4">
        <f t="shared" si="4"/>
        <v>0</v>
      </c>
      <c r="R34" s="4">
        <f>Q34+'9'!R34</f>
        <v>2397</v>
      </c>
      <c r="S34" s="27">
        <f t="shared" si="5"/>
        <v>0.41650738488271066</v>
      </c>
      <c r="T34" s="12"/>
      <c r="U34" s="12">
        <f>T34+'9'!U34</f>
        <v>562</v>
      </c>
      <c r="V34" s="12"/>
      <c r="W34" s="12">
        <f>V34+'9'!W34</f>
        <v>41</v>
      </c>
      <c r="X34" s="12"/>
      <c r="Y34" s="12">
        <f>X34+'9'!Y34</f>
        <v>0</v>
      </c>
      <c r="AB34" s="5">
        <v>24</v>
      </c>
      <c r="AC34" s="26" t="str">
        <f>'9'!AC34</f>
        <v>عرب الرمـــــــل</v>
      </c>
      <c r="AD34" s="28">
        <f>'9'!AI34</f>
        <v>263</v>
      </c>
      <c r="AE34" s="3"/>
      <c r="AF34" s="28">
        <f>AE34+'9'!AF34</f>
        <v>505</v>
      </c>
      <c r="AG34" s="4"/>
      <c r="AH34" s="28">
        <f>AG34+'9'!AH34</f>
        <v>242</v>
      </c>
      <c r="AI34" s="4">
        <f t="shared" si="6"/>
        <v>263</v>
      </c>
      <c r="AJ34" s="11" t="e">
        <f t="shared" si="0"/>
        <v>#DIV/0!</v>
      </c>
      <c r="AK34" s="53">
        <f t="shared" si="1"/>
        <v>9.9049586776859506</v>
      </c>
      <c r="AW34" s="26" t="str">
        <f>'9'!AW34</f>
        <v>عرب الرمـــــــل</v>
      </c>
      <c r="AX34" s="12">
        <f>'9'!AX34</f>
        <v>6</v>
      </c>
      <c r="AY34" s="12">
        <f>'9'!AY34</f>
        <v>2210</v>
      </c>
      <c r="AZ34" s="12"/>
      <c r="BA34" s="12"/>
      <c r="BB34" s="12">
        <f>BA34+'9'!BB34</f>
        <v>1456</v>
      </c>
      <c r="BC34" s="30">
        <f t="shared" si="2"/>
        <v>0.6588235294117647</v>
      </c>
      <c r="BD34" s="12">
        <f>'9'!BD34</f>
        <v>9</v>
      </c>
      <c r="BE34" s="12">
        <f>'9'!BE34</f>
        <v>932</v>
      </c>
      <c r="BF34" s="12"/>
      <c r="BG34" s="12"/>
      <c r="BH34" s="12">
        <f>BG34+'9'!BH34</f>
        <v>941</v>
      </c>
      <c r="BI34" s="30">
        <f t="shared" si="3"/>
        <v>1.0096566523605151</v>
      </c>
    </row>
    <row r="35" spans="1:61" ht="28.9" customHeight="1" x14ac:dyDescent="0.35">
      <c r="A35" s="5">
        <v>25</v>
      </c>
      <c r="B35" s="26" t="str">
        <f>'9'!B35</f>
        <v>كفر ميت سراج</v>
      </c>
      <c r="C35" s="26">
        <f>'9'!C35</f>
        <v>1840</v>
      </c>
      <c r="D35" s="26"/>
      <c r="E35" s="12"/>
      <c r="F35" s="2">
        <f>E35+'9'!F35</f>
        <v>8</v>
      </c>
      <c r="G35" s="2"/>
      <c r="H35" s="2">
        <f>G35+'9'!H35</f>
        <v>386</v>
      </c>
      <c r="I35" s="2"/>
      <c r="J35" s="2">
        <f>I35+'9'!J35</f>
        <v>773</v>
      </c>
      <c r="K35" s="2"/>
      <c r="L35" s="2">
        <f>K35+'9'!L35</f>
        <v>0</v>
      </c>
      <c r="M35" s="2"/>
      <c r="N35" s="2">
        <f>M35+'9'!N35</f>
        <v>0</v>
      </c>
      <c r="O35" s="2"/>
      <c r="P35" s="2">
        <f>O35+'9'!P35</f>
        <v>0</v>
      </c>
      <c r="Q35" s="4">
        <f t="shared" si="4"/>
        <v>0</v>
      </c>
      <c r="R35" s="4">
        <f>Q35+'9'!R35</f>
        <v>1167</v>
      </c>
      <c r="S35" s="27">
        <f t="shared" si="5"/>
        <v>0.63423913043478264</v>
      </c>
      <c r="T35" s="12"/>
      <c r="U35" s="12">
        <f>T35+'9'!U35</f>
        <v>174</v>
      </c>
      <c r="V35" s="12"/>
      <c r="W35" s="12">
        <f>V35+'9'!W35</f>
        <v>11</v>
      </c>
      <c r="X35" s="12"/>
      <c r="Y35" s="12">
        <f>X35+'9'!Y35</f>
        <v>0</v>
      </c>
      <c r="AB35" s="5">
        <v>25</v>
      </c>
      <c r="AC35" s="26" t="str">
        <f>'9'!AC35</f>
        <v>كفر ميت سراج</v>
      </c>
      <c r="AD35" s="28">
        <f>'9'!AI35</f>
        <v>41</v>
      </c>
      <c r="AE35" s="3"/>
      <c r="AF35" s="28">
        <f>AE35+'9'!AF35</f>
        <v>162</v>
      </c>
      <c r="AG35" s="4"/>
      <c r="AH35" s="28">
        <f>AG35+'9'!AH35</f>
        <v>121</v>
      </c>
      <c r="AI35" s="4">
        <f t="shared" si="6"/>
        <v>41</v>
      </c>
      <c r="AJ35" s="11" t="e">
        <f t="shared" si="0"/>
        <v>#DIV/0!</v>
      </c>
      <c r="AK35" s="53">
        <f t="shared" si="1"/>
        <v>9.6446280991735538</v>
      </c>
      <c r="AW35" s="26" t="str">
        <f>'9'!AW35</f>
        <v>كفر ميت سراج</v>
      </c>
      <c r="AX35" s="12">
        <f>'9'!AX35</f>
        <v>3</v>
      </c>
      <c r="AY35" s="12">
        <f>'9'!AY35</f>
        <v>1011</v>
      </c>
      <c r="AZ35" s="12"/>
      <c r="BA35" s="12"/>
      <c r="BB35" s="12">
        <f>BA35+'9'!BB35</f>
        <v>773</v>
      </c>
      <c r="BC35" s="30">
        <f t="shared" si="2"/>
        <v>0.76458951533135511</v>
      </c>
      <c r="BD35" s="12">
        <f>'9'!BD35</f>
        <v>4</v>
      </c>
      <c r="BE35" s="12">
        <f>'9'!BE35</f>
        <v>413</v>
      </c>
      <c r="BF35" s="12"/>
      <c r="BG35" s="12"/>
      <c r="BH35" s="12">
        <f>BG35+'9'!BH35</f>
        <v>232</v>
      </c>
      <c r="BI35" s="30">
        <f t="shared" si="3"/>
        <v>0.56174334140435833</v>
      </c>
    </row>
    <row r="36" spans="1:61" ht="28.9" customHeight="1" x14ac:dyDescent="0.35">
      <c r="A36" s="5">
        <v>26</v>
      </c>
      <c r="B36" s="26" t="str">
        <f>'9'!B36</f>
        <v>كفر أبشيش</v>
      </c>
      <c r="C36" s="26">
        <f>'9'!C36</f>
        <v>1345</v>
      </c>
      <c r="D36" s="26"/>
      <c r="E36" s="12"/>
      <c r="F36" s="2">
        <f>E36+'9'!F36</f>
        <v>14</v>
      </c>
      <c r="G36" s="2"/>
      <c r="H36" s="2">
        <f>G36+'9'!H36</f>
        <v>207</v>
      </c>
      <c r="I36" s="2"/>
      <c r="J36" s="2">
        <f>I36+'9'!J36</f>
        <v>725</v>
      </c>
      <c r="K36" s="2"/>
      <c r="L36" s="2">
        <f>K36+'9'!L36</f>
        <v>0</v>
      </c>
      <c r="M36" s="2"/>
      <c r="N36" s="2">
        <f>M36+'9'!N36</f>
        <v>0</v>
      </c>
      <c r="O36" s="2"/>
      <c r="P36" s="2">
        <f>O36+'9'!P36</f>
        <v>0</v>
      </c>
      <c r="Q36" s="4">
        <f t="shared" si="4"/>
        <v>0</v>
      </c>
      <c r="R36" s="4">
        <f>Q36+'9'!R36</f>
        <v>946</v>
      </c>
      <c r="S36" s="27">
        <f t="shared" si="5"/>
        <v>0.70334572490706315</v>
      </c>
      <c r="T36" s="12"/>
      <c r="U36" s="12">
        <f>T36+'9'!U36</f>
        <v>113</v>
      </c>
      <c r="V36" s="12"/>
      <c r="W36" s="12">
        <f>V36+'9'!W36</f>
        <v>4</v>
      </c>
      <c r="X36" s="12"/>
      <c r="Y36" s="12">
        <f>X36+'9'!Y36</f>
        <v>0</v>
      </c>
      <c r="AB36" s="5">
        <v>26</v>
      </c>
      <c r="AC36" s="26" t="str">
        <f>'9'!AC36</f>
        <v>كفر أبشيش</v>
      </c>
      <c r="AD36" s="28">
        <f>'9'!AI36</f>
        <v>24</v>
      </c>
      <c r="AE36" s="3"/>
      <c r="AF36" s="28">
        <f>AE36+'9'!AF36</f>
        <v>119</v>
      </c>
      <c r="AG36" s="4"/>
      <c r="AH36" s="28">
        <f>AG36+'9'!AH36</f>
        <v>95</v>
      </c>
      <c r="AI36" s="4">
        <f t="shared" si="6"/>
        <v>24</v>
      </c>
      <c r="AJ36" s="11" t="e">
        <f t="shared" si="0"/>
        <v>#DIV/0!</v>
      </c>
      <c r="AK36" s="53">
        <f t="shared" si="1"/>
        <v>9.9578947368421051</v>
      </c>
      <c r="AW36" s="26" t="str">
        <f>'9'!AW36</f>
        <v>كفر أبشيش</v>
      </c>
      <c r="AX36" s="12">
        <f>'9'!AX36</f>
        <v>1</v>
      </c>
      <c r="AY36" s="12">
        <f>'9'!AY36</f>
        <v>860</v>
      </c>
      <c r="AZ36" s="12"/>
      <c r="BA36" s="12"/>
      <c r="BB36" s="12">
        <f>BA36+'9'!BB36</f>
        <v>730</v>
      </c>
      <c r="BC36" s="30">
        <f t="shared" si="2"/>
        <v>0.84883720930232553</v>
      </c>
      <c r="BD36" s="12">
        <f>'9'!BD36</f>
        <v>4</v>
      </c>
      <c r="BE36" s="12">
        <f>'9'!BE36</f>
        <v>194</v>
      </c>
      <c r="BF36" s="12"/>
      <c r="BG36" s="12"/>
      <c r="BH36" s="12">
        <f>BG36+'9'!BH36</f>
        <v>0</v>
      </c>
      <c r="BI36" s="30">
        <f t="shared" si="3"/>
        <v>0</v>
      </c>
    </row>
    <row r="37" spans="1:61" ht="28.9" customHeight="1" x14ac:dyDescent="0.35">
      <c r="A37" s="5">
        <v>27</v>
      </c>
      <c r="B37" s="26" t="str">
        <f>'9'!B37</f>
        <v>كفر ميت العبسى</v>
      </c>
      <c r="C37" s="26">
        <f>'9'!C37</f>
        <v>1180</v>
      </c>
      <c r="D37" s="26"/>
      <c r="E37" s="12"/>
      <c r="F37" s="2">
        <f>E37+'9'!F37</f>
        <v>12</v>
      </c>
      <c r="G37" s="2"/>
      <c r="H37" s="2">
        <f>G37+'9'!H37</f>
        <v>248</v>
      </c>
      <c r="I37" s="2"/>
      <c r="J37" s="2">
        <f>I37+'9'!J37</f>
        <v>443</v>
      </c>
      <c r="K37" s="2"/>
      <c r="L37" s="2">
        <f>K37+'9'!L37</f>
        <v>0</v>
      </c>
      <c r="M37" s="2"/>
      <c r="N37" s="2">
        <f>M37+'9'!N37</f>
        <v>0</v>
      </c>
      <c r="O37" s="2"/>
      <c r="P37" s="2">
        <f>O37+'9'!P37</f>
        <v>0</v>
      </c>
      <c r="Q37" s="4">
        <f t="shared" si="4"/>
        <v>0</v>
      </c>
      <c r="R37" s="4">
        <f>Q37+'9'!R37</f>
        <v>703</v>
      </c>
      <c r="S37" s="27">
        <f t="shared" si="5"/>
        <v>0.59576271186440677</v>
      </c>
      <c r="T37" s="12"/>
      <c r="U37" s="12">
        <f>T37+'9'!U37</f>
        <v>53</v>
      </c>
      <c r="V37" s="12"/>
      <c r="W37" s="12">
        <f>V37+'9'!W37</f>
        <v>11</v>
      </c>
      <c r="X37" s="12"/>
      <c r="Y37" s="12">
        <f>X37+'9'!Y37</f>
        <v>0</v>
      </c>
      <c r="AB37" s="5">
        <v>27</v>
      </c>
      <c r="AC37" s="26" t="str">
        <f>'9'!AC37</f>
        <v>كفر ميت العبسى</v>
      </c>
      <c r="AD37" s="28">
        <f>'9'!AI37</f>
        <v>33</v>
      </c>
      <c r="AE37" s="3"/>
      <c r="AF37" s="28">
        <f>AE37+'9'!AF37</f>
        <v>104</v>
      </c>
      <c r="AG37" s="4"/>
      <c r="AH37" s="28">
        <f>AG37+'9'!AH37</f>
        <v>71</v>
      </c>
      <c r="AI37" s="4">
        <f t="shared" si="6"/>
        <v>33</v>
      </c>
      <c r="AJ37" s="11" t="e">
        <f t="shared" si="0"/>
        <v>#DIV/0!</v>
      </c>
      <c r="AK37" s="53">
        <f t="shared" si="1"/>
        <v>9.9014084507042259</v>
      </c>
      <c r="AW37" s="26" t="str">
        <f>'9'!AW37</f>
        <v>كفر ميت العبسى</v>
      </c>
      <c r="AX37" s="12">
        <f>'9'!AX37</f>
        <v>2</v>
      </c>
      <c r="AY37" s="12">
        <f>'9'!AY37</f>
        <v>494</v>
      </c>
      <c r="AZ37" s="12"/>
      <c r="BA37" s="12"/>
      <c r="BB37" s="12">
        <f>BA37+'9'!BB37</f>
        <v>418</v>
      </c>
      <c r="BC37" s="30">
        <f t="shared" si="2"/>
        <v>0.84615384615384615</v>
      </c>
      <c r="BD37" s="12">
        <f>'9'!BD37</f>
        <v>4</v>
      </c>
      <c r="BE37" s="12">
        <f>'9'!BE37</f>
        <v>114</v>
      </c>
      <c r="BF37" s="12"/>
      <c r="BG37" s="12"/>
      <c r="BH37" s="12">
        <f>BG37+'9'!BH37</f>
        <v>73</v>
      </c>
      <c r="BI37" s="30">
        <f t="shared" si="3"/>
        <v>0.64035087719298245</v>
      </c>
    </row>
    <row r="38" spans="1:61" ht="28.9" customHeight="1" x14ac:dyDescent="0.35">
      <c r="A38" s="5">
        <v>28</v>
      </c>
      <c r="B38" s="26" t="str">
        <f>'9'!B38</f>
        <v>كفر وهــــــــــب</v>
      </c>
      <c r="C38" s="26">
        <f>'9'!C38</f>
        <v>1854.9999999999998</v>
      </c>
      <c r="D38" s="26"/>
      <c r="E38" s="12"/>
      <c r="F38" s="2">
        <f>E38+'9'!F38</f>
        <v>7</v>
      </c>
      <c r="G38" s="2"/>
      <c r="H38" s="2">
        <f>G38+'9'!H38</f>
        <v>265</v>
      </c>
      <c r="I38" s="2"/>
      <c r="J38" s="2">
        <f>I38+'9'!J38</f>
        <v>618</v>
      </c>
      <c r="K38" s="2"/>
      <c r="L38" s="2">
        <f>K38+'9'!L38</f>
        <v>0</v>
      </c>
      <c r="M38" s="2"/>
      <c r="N38" s="2">
        <f>M38+'9'!N38</f>
        <v>0</v>
      </c>
      <c r="O38" s="2"/>
      <c r="P38" s="2">
        <f>O38+'9'!P38</f>
        <v>0</v>
      </c>
      <c r="Q38" s="4">
        <f t="shared" si="4"/>
        <v>0</v>
      </c>
      <c r="R38" s="4">
        <f>Q38+'9'!R38</f>
        <v>890</v>
      </c>
      <c r="S38" s="27">
        <f t="shared" si="5"/>
        <v>0.47978436657681944</v>
      </c>
      <c r="T38" s="12"/>
      <c r="U38" s="12">
        <f>T38+'9'!U38</f>
        <v>123</v>
      </c>
      <c r="V38" s="12"/>
      <c r="W38" s="12">
        <f>V38+'9'!W38</f>
        <v>7</v>
      </c>
      <c r="X38" s="12"/>
      <c r="Y38" s="12">
        <f>X38+'9'!Y38</f>
        <v>0</v>
      </c>
      <c r="AB38" s="5">
        <v>28</v>
      </c>
      <c r="AC38" s="26" t="str">
        <f>'9'!AC38</f>
        <v>كفر وهــــــــــب</v>
      </c>
      <c r="AD38" s="28">
        <f>'9'!AI38</f>
        <v>72</v>
      </c>
      <c r="AE38" s="3"/>
      <c r="AF38" s="28">
        <f>AE38+'9'!AF38</f>
        <v>163</v>
      </c>
      <c r="AG38" s="4"/>
      <c r="AH38" s="28">
        <f>AG38+'9'!AH38</f>
        <v>91</v>
      </c>
      <c r="AI38" s="4">
        <f t="shared" si="6"/>
        <v>72</v>
      </c>
      <c r="AJ38" s="11" t="e">
        <f t="shared" si="0"/>
        <v>#DIV/0!</v>
      </c>
      <c r="AK38" s="53">
        <f t="shared" si="1"/>
        <v>9.780219780219781</v>
      </c>
      <c r="AW38" s="26" t="str">
        <f>'9'!AW38</f>
        <v>كفر وهــــــــــب</v>
      </c>
      <c r="AX38" s="12">
        <f>'9'!AX38</f>
        <v>2</v>
      </c>
      <c r="AY38" s="12">
        <f>'9'!AY38</f>
        <v>793</v>
      </c>
      <c r="AZ38" s="12"/>
      <c r="BA38" s="12"/>
      <c r="BB38" s="12">
        <f>BA38+'9'!BB38</f>
        <v>623</v>
      </c>
      <c r="BC38" s="30">
        <f t="shared" si="2"/>
        <v>0.78562421185372</v>
      </c>
      <c r="BD38" s="12">
        <f>'9'!BD38</f>
        <v>3</v>
      </c>
      <c r="BE38" s="12">
        <f>'9'!BE38</f>
        <v>180</v>
      </c>
      <c r="BF38" s="12"/>
      <c r="BG38" s="12"/>
      <c r="BH38" s="12">
        <f>BG38+'9'!BH38</f>
        <v>160</v>
      </c>
      <c r="BI38" s="30">
        <f t="shared" si="3"/>
        <v>0.88888888888888884</v>
      </c>
    </row>
    <row r="39" spans="1:61" ht="28.9" customHeight="1" x14ac:dyDescent="0.35">
      <c r="A39" s="5">
        <v>29</v>
      </c>
      <c r="B39" s="26" t="str">
        <f>'9'!B39</f>
        <v>دمــــــــــــــهوج</v>
      </c>
      <c r="C39" s="26">
        <f>'9'!C39</f>
        <v>2738</v>
      </c>
      <c r="D39" s="26"/>
      <c r="E39" s="12"/>
      <c r="F39" s="2">
        <f>E39+'9'!F39</f>
        <v>11</v>
      </c>
      <c r="G39" s="2"/>
      <c r="H39" s="2">
        <f>G39+'9'!H39</f>
        <v>437</v>
      </c>
      <c r="I39" s="2"/>
      <c r="J39" s="2">
        <f>I39+'9'!J39</f>
        <v>832</v>
      </c>
      <c r="K39" s="2"/>
      <c r="L39" s="2">
        <f>K39+'9'!L39</f>
        <v>0</v>
      </c>
      <c r="M39" s="2"/>
      <c r="N39" s="2">
        <f>M39+'9'!N39</f>
        <v>0</v>
      </c>
      <c r="O39" s="2"/>
      <c r="P39" s="2">
        <f>O39+'9'!P39</f>
        <v>0</v>
      </c>
      <c r="Q39" s="4">
        <f t="shared" si="4"/>
        <v>0</v>
      </c>
      <c r="R39" s="4">
        <f>Q39+'9'!R39</f>
        <v>1280</v>
      </c>
      <c r="S39" s="27">
        <f t="shared" si="5"/>
        <v>0.46749452154857563</v>
      </c>
      <c r="T39" s="12"/>
      <c r="U39" s="12">
        <f>T39+'9'!U39</f>
        <v>158</v>
      </c>
      <c r="V39" s="12"/>
      <c r="W39" s="12">
        <f>V39+'9'!W39</f>
        <v>7</v>
      </c>
      <c r="X39" s="12"/>
      <c r="Y39" s="12">
        <f>X39+'9'!Y39</f>
        <v>0</v>
      </c>
      <c r="AB39" s="5">
        <v>29</v>
      </c>
      <c r="AC39" s="26" t="str">
        <f>'9'!AC39</f>
        <v>دمــــــــــــــهوج</v>
      </c>
      <c r="AD39" s="28">
        <f>'9'!AI39</f>
        <v>109</v>
      </c>
      <c r="AE39" s="3"/>
      <c r="AF39" s="28">
        <f>AE39+'9'!AF39</f>
        <v>240</v>
      </c>
      <c r="AG39" s="4"/>
      <c r="AH39" s="28">
        <f>AG39+'9'!AH39</f>
        <v>131</v>
      </c>
      <c r="AI39" s="4">
        <f t="shared" si="6"/>
        <v>109</v>
      </c>
      <c r="AJ39" s="11" t="e">
        <f t="shared" si="0"/>
        <v>#DIV/0!</v>
      </c>
      <c r="AK39" s="53">
        <f t="shared" si="1"/>
        <v>9.770992366412214</v>
      </c>
      <c r="AW39" s="26" t="str">
        <f>'9'!AW39</f>
        <v>دمــــــــــــــهوج</v>
      </c>
      <c r="AX39" s="12">
        <f>'9'!AX39</f>
        <v>2</v>
      </c>
      <c r="AY39" s="12">
        <f>'9'!AY39</f>
        <v>1086</v>
      </c>
      <c r="AZ39" s="12"/>
      <c r="BA39" s="12"/>
      <c r="BB39" s="12">
        <f>BA39+'9'!BB39</f>
        <v>834</v>
      </c>
      <c r="BC39" s="30">
        <f t="shared" si="2"/>
        <v>0.76795580110497241</v>
      </c>
      <c r="BD39" s="12">
        <f>'9'!BD39</f>
        <v>10</v>
      </c>
      <c r="BE39" s="12">
        <f>'9'!BE39</f>
        <v>455</v>
      </c>
      <c r="BF39" s="12"/>
      <c r="BG39" s="12"/>
      <c r="BH39" s="12">
        <f>BG39+'9'!BH39</f>
        <v>439</v>
      </c>
      <c r="BI39" s="30">
        <f t="shared" si="3"/>
        <v>0.96483516483516485</v>
      </c>
    </row>
    <row r="40" spans="1:61" ht="28.9" customHeight="1" x14ac:dyDescent="0.35">
      <c r="A40" s="5">
        <v>30</v>
      </c>
      <c r="B40" s="26" t="str">
        <f>'9'!B40</f>
        <v>كفر زين الدين</v>
      </c>
      <c r="C40" s="26">
        <f>'9'!C40</f>
        <v>819</v>
      </c>
      <c r="D40" s="26"/>
      <c r="E40" s="12"/>
      <c r="F40" s="2">
        <f>E40+'9'!F40</f>
        <v>9</v>
      </c>
      <c r="G40" s="2"/>
      <c r="H40" s="2">
        <f>G40+'9'!H40</f>
        <v>266</v>
      </c>
      <c r="I40" s="2"/>
      <c r="J40" s="2">
        <f>I40+'9'!J40</f>
        <v>430</v>
      </c>
      <c r="K40" s="2"/>
      <c r="L40" s="2">
        <f>K40+'9'!L40</f>
        <v>0</v>
      </c>
      <c r="M40" s="2"/>
      <c r="N40" s="2">
        <f>M40+'9'!N40</f>
        <v>0</v>
      </c>
      <c r="O40" s="2"/>
      <c r="P40" s="2">
        <f>O40+'9'!P40</f>
        <v>0</v>
      </c>
      <c r="Q40" s="4">
        <f t="shared" si="4"/>
        <v>0</v>
      </c>
      <c r="R40" s="4">
        <f>Q40+'9'!R40</f>
        <v>705</v>
      </c>
      <c r="S40" s="27">
        <f t="shared" si="5"/>
        <v>0.86080586080586086</v>
      </c>
      <c r="T40" s="12"/>
      <c r="U40" s="12">
        <f>T40+'9'!U40</f>
        <v>76</v>
      </c>
      <c r="V40" s="12"/>
      <c r="W40" s="12">
        <f>V40+'9'!W40</f>
        <v>26</v>
      </c>
      <c r="X40" s="12"/>
      <c r="Y40" s="12">
        <f>X40+'9'!Y40</f>
        <v>0</v>
      </c>
      <c r="AB40" s="5">
        <v>30</v>
      </c>
      <c r="AC40" s="26" t="str">
        <f>'9'!AC40</f>
        <v>كفر زين الدين</v>
      </c>
      <c r="AD40" s="28">
        <f>'9'!AI40</f>
        <v>9</v>
      </c>
      <c r="AE40" s="3"/>
      <c r="AF40" s="28">
        <f>AE40+'9'!AF40</f>
        <v>80</v>
      </c>
      <c r="AG40" s="4"/>
      <c r="AH40" s="28">
        <f>AG40+'9'!AH40</f>
        <v>71</v>
      </c>
      <c r="AI40" s="4">
        <f t="shared" si="6"/>
        <v>9</v>
      </c>
      <c r="AJ40" s="11" t="e">
        <f t="shared" si="0"/>
        <v>#DIV/0!</v>
      </c>
      <c r="AK40" s="53">
        <f t="shared" si="1"/>
        <v>9.929577464788732</v>
      </c>
      <c r="AW40" s="26" t="str">
        <f>'9'!AW40</f>
        <v>كفر زين الدين</v>
      </c>
      <c r="AX40" s="12">
        <f>'9'!AX40</f>
        <v>1</v>
      </c>
      <c r="AY40" s="12">
        <f>'9'!AY40</f>
        <v>563</v>
      </c>
      <c r="AZ40" s="12"/>
      <c r="BA40" s="12"/>
      <c r="BB40" s="12">
        <f>BA40+'9'!BB40</f>
        <v>364</v>
      </c>
      <c r="BC40" s="30">
        <f t="shared" si="2"/>
        <v>0.64653641207815271</v>
      </c>
      <c r="BD40" s="12">
        <f>'9'!BD40</f>
        <v>2</v>
      </c>
      <c r="BE40" s="12">
        <f>'9'!BE40</f>
        <v>87</v>
      </c>
      <c r="BF40" s="12"/>
      <c r="BG40" s="12"/>
      <c r="BH40" s="12">
        <f>BG40+'9'!BH40</f>
        <v>166</v>
      </c>
      <c r="BI40" s="30">
        <f t="shared" si="3"/>
        <v>1.9080459770114941</v>
      </c>
    </row>
    <row r="41" spans="1:61" ht="28.9" customHeight="1" x14ac:dyDescent="0.35">
      <c r="A41" s="5">
        <v>31</v>
      </c>
      <c r="B41" s="26" t="str">
        <f>'9'!B41</f>
        <v>عزبــة أبوالنصر</v>
      </c>
      <c r="C41" s="26">
        <f>'9'!C41</f>
        <v>410</v>
      </c>
      <c r="D41" s="26"/>
      <c r="E41" s="12"/>
      <c r="F41" s="2">
        <f>E41+'9'!F41</f>
        <v>10</v>
      </c>
      <c r="G41" s="2"/>
      <c r="H41" s="2">
        <f>G41+'9'!H41</f>
        <v>229</v>
      </c>
      <c r="I41" s="2"/>
      <c r="J41" s="2">
        <f>I41+'9'!J41</f>
        <v>120</v>
      </c>
      <c r="K41" s="2"/>
      <c r="L41" s="2">
        <f>K41+'9'!L41</f>
        <v>0</v>
      </c>
      <c r="M41" s="2"/>
      <c r="N41" s="2">
        <f>M41+'9'!N41</f>
        <v>0</v>
      </c>
      <c r="O41" s="2"/>
      <c r="P41" s="2">
        <f>O41+'9'!P41</f>
        <v>0</v>
      </c>
      <c r="Q41" s="4">
        <f t="shared" si="4"/>
        <v>0</v>
      </c>
      <c r="R41" s="4">
        <f>Q41+'9'!R41</f>
        <v>359</v>
      </c>
      <c r="S41" s="27">
        <f t="shared" si="5"/>
        <v>0.87560975609756098</v>
      </c>
      <c r="T41" s="12"/>
      <c r="U41" s="12">
        <f>T41+'9'!U41</f>
        <v>0</v>
      </c>
      <c r="V41" s="12"/>
      <c r="W41" s="12">
        <f>V41+'9'!W41</f>
        <v>0</v>
      </c>
      <c r="X41" s="12"/>
      <c r="Y41" s="12">
        <f>X41+'9'!Y41</f>
        <v>0</v>
      </c>
      <c r="AB41" s="5">
        <v>31</v>
      </c>
      <c r="AC41" s="26" t="str">
        <f>'9'!AC41</f>
        <v>عزبــة أبوالنصر</v>
      </c>
      <c r="AD41" s="28">
        <f>'9'!AI41</f>
        <v>4</v>
      </c>
      <c r="AE41" s="3"/>
      <c r="AF41" s="28">
        <f>AE41+'9'!AF41</f>
        <v>41</v>
      </c>
      <c r="AG41" s="4"/>
      <c r="AH41" s="28">
        <f>AG41+'9'!AH41</f>
        <v>37</v>
      </c>
      <c r="AI41" s="4">
        <f t="shared" si="6"/>
        <v>4</v>
      </c>
      <c r="AJ41" s="11" t="e">
        <f t="shared" si="0"/>
        <v>#DIV/0!</v>
      </c>
      <c r="AK41" s="53">
        <f t="shared" si="1"/>
        <v>9.7027027027027035</v>
      </c>
      <c r="AW41" s="26" t="str">
        <f>'9'!AW41</f>
        <v>عزبــة أبوالنصر</v>
      </c>
      <c r="AX41" s="12">
        <f>'9'!AX41</f>
        <v>2</v>
      </c>
      <c r="AY41" s="12">
        <f>'9'!AY41</f>
        <v>70</v>
      </c>
      <c r="AZ41" s="12"/>
      <c r="BA41" s="12"/>
      <c r="BB41" s="12">
        <f>BA41+'9'!BB41</f>
        <v>65</v>
      </c>
      <c r="BC41" s="30">
        <f t="shared" si="2"/>
        <v>0.9285714285714286</v>
      </c>
      <c r="BD41" s="12">
        <f>'9'!BD41</f>
        <v>3</v>
      </c>
      <c r="BE41" s="12">
        <f>'9'!BE41</f>
        <v>75</v>
      </c>
      <c r="BF41" s="12"/>
      <c r="BG41" s="12"/>
      <c r="BH41" s="12">
        <f>BG41+'9'!BH41</f>
        <v>36</v>
      </c>
      <c r="BI41" s="30">
        <f t="shared" si="3"/>
        <v>0.48</v>
      </c>
    </row>
    <row r="42" spans="1:61" ht="28.9" customHeight="1" x14ac:dyDescent="0.35">
      <c r="A42" s="5">
        <v>32</v>
      </c>
      <c r="B42" s="26" t="str">
        <f>'9'!B42</f>
        <v>شمنديــــــــــــــل</v>
      </c>
      <c r="C42" s="26">
        <f>'9'!C42</f>
        <v>880</v>
      </c>
      <c r="D42" s="26"/>
      <c r="E42" s="12"/>
      <c r="F42" s="2">
        <f>E42+'9'!F42</f>
        <v>7</v>
      </c>
      <c r="G42" s="2"/>
      <c r="H42" s="2">
        <f>G42+'9'!H42</f>
        <v>219</v>
      </c>
      <c r="I42" s="2"/>
      <c r="J42" s="2">
        <f>I42+'9'!J42</f>
        <v>421</v>
      </c>
      <c r="K42" s="2"/>
      <c r="L42" s="2">
        <f>K42+'9'!L42</f>
        <v>0</v>
      </c>
      <c r="M42" s="2"/>
      <c r="N42" s="2">
        <f>M42+'9'!N42</f>
        <v>0</v>
      </c>
      <c r="O42" s="2"/>
      <c r="P42" s="2">
        <f>O42+'9'!P42</f>
        <v>0</v>
      </c>
      <c r="Q42" s="4">
        <f t="shared" si="4"/>
        <v>0</v>
      </c>
      <c r="R42" s="4">
        <f>Q42+'9'!R42</f>
        <v>647</v>
      </c>
      <c r="S42" s="27">
        <f t="shared" si="5"/>
        <v>0.73522727272727273</v>
      </c>
      <c r="T42" s="12"/>
      <c r="U42" s="12">
        <f>T42+'9'!U42</f>
        <v>69</v>
      </c>
      <c r="V42" s="12"/>
      <c r="W42" s="12">
        <f>V42+'9'!W42</f>
        <v>11</v>
      </c>
      <c r="X42" s="12"/>
      <c r="Y42" s="12">
        <f>X42+'9'!Y42</f>
        <v>0</v>
      </c>
      <c r="AB42" s="5">
        <v>32</v>
      </c>
      <c r="AC42" s="26" t="str">
        <f>'9'!AC42</f>
        <v>شمنديــــــــــــــل</v>
      </c>
      <c r="AD42" s="28">
        <f>'9'!AI42</f>
        <v>9</v>
      </c>
      <c r="AE42" s="3"/>
      <c r="AF42" s="28">
        <f>AE42+'9'!AF42</f>
        <v>78</v>
      </c>
      <c r="AG42" s="4"/>
      <c r="AH42" s="28">
        <f>AG42+'9'!AH42</f>
        <v>69</v>
      </c>
      <c r="AI42" s="4">
        <f t="shared" si="6"/>
        <v>9</v>
      </c>
      <c r="AJ42" s="11" t="e">
        <f t="shared" si="0"/>
        <v>#DIV/0!</v>
      </c>
      <c r="AK42" s="53">
        <f t="shared" si="1"/>
        <v>9.3768115942028984</v>
      </c>
      <c r="AW42" s="26" t="str">
        <f>'9'!AW42</f>
        <v>شمنديــــــــــــــل</v>
      </c>
      <c r="AX42" s="12">
        <f>'9'!AX42</f>
        <v>2</v>
      </c>
      <c r="AY42" s="12">
        <f>'9'!AY42</f>
        <v>569</v>
      </c>
      <c r="AZ42" s="12"/>
      <c r="BA42" s="12"/>
      <c r="BB42" s="12">
        <f>BA42+'9'!BB42</f>
        <v>453</v>
      </c>
      <c r="BC42" s="30">
        <f t="shared" si="2"/>
        <v>0.79613356766256593</v>
      </c>
      <c r="BD42" s="12">
        <f>'9'!BD42</f>
        <v>1</v>
      </c>
      <c r="BE42" s="12">
        <f>'9'!BE42</f>
        <v>39</v>
      </c>
      <c r="BF42" s="12"/>
      <c r="BG42" s="12"/>
      <c r="BH42" s="12">
        <f>BG42+'9'!BH42</f>
        <v>82</v>
      </c>
      <c r="BI42" s="30">
        <f t="shared" si="3"/>
        <v>2.1025641025641026</v>
      </c>
    </row>
    <row r="43" spans="1:61" ht="28.9" customHeight="1" x14ac:dyDescent="0.35">
      <c r="A43" s="5">
        <v>33</v>
      </c>
      <c r="B43" s="26" t="str">
        <f>'9'!B43</f>
        <v>كفور الرمل</v>
      </c>
      <c r="C43" s="26">
        <f>'9'!C43</f>
        <v>1721</v>
      </c>
      <c r="D43" s="26"/>
      <c r="E43" s="12"/>
      <c r="F43" s="2">
        <f>E43+'9'!F43</f>
        <v>17</v>
      </c>
      <c r="G43" s="2"/>
      <c r="H43" s="2">
        <f>G43+'9'!H43</f>
        <v>505</v>
      </c>
      <c r="I43" s="2"/>
      <c r="J43" s="2">
        <f>I43+'9'!J43</f>
        <v>718</v>
      </c>
      <c r="K43" s="2"/>
      <c r="L43" s="2">
        <f>K43+'9'!L43</f>
        <v>0</v>
      </c>
      <c r="M43" s="2"/>
      <c r="N43" s="2">
        <f>M43+'9'!N43</f>
        <v>0</v>
      </c>
      <c r="O43" s="2"/>
      <c r="P43" s="2">
        <f>O43+'9'!P43</f>
        <v>0</v>
      </c>
      <c r="Q43" s="4">
        <f t="shared" si="4"/>
        <v>0</v>
      </c>
      <c r="R43" s="4">
        <f>Q43+'9'!R43</f>
        <v>1240</v>
      </c>
      <c r="S43" s="27">
        <f t="shared" si="5"/>
        <v>0.72051133062173156</v>
      </c>
      <c r="T43" s="12"/>
      <c r="U43" s="12">
        <f>T43+'9'!U43</f>
        <v>192</v>
      </c>
      <c r="V43" s="12"/>
      <c r="W43" s="12">
        <f>V43+'9'!W43</f>
        <v>100</v>
      </c>
      <c r="X43" s="12"/>
      <c r="Y43" s="12">
        <f>X43+'9'!Y43</f>
        <v>0</v>
      </c>
      <c r="AB43" s="5">
        <v>33</v>
      </c>
      <c r="AC43" s="26" t="str">
        <f>'9'!AC43</f>
        <v>كفور الرمل</v>
      </c>
      <c r="AD43" s="28">
        <f>'9'!AI43</f>
        <v>15</v>
      </c>
      <c r="AE43" s="3"/>
      <c r="AF43" s="28">
        <f>AE43+'9'!AF43</f>
        <v>150</v>
      </c>
      <c r="AG43" s="4"/>
      <c r="AH43" s="28">
        <f>AG43+'9'!AH43</f>
        <v>135</v>
      </c>
      <c r="AI43" s="4">
        <f t="shared" si="6"/>
        <v>15</v>
      </c>
      <c r="AJ43" s="11" t="e">
        <f t="shared" si="0"/>
        <v>#DIV/0!</v>
      </c>
      <c r="AK43" s="53">
        <f t="shared" si="1"/>
        <v>9.1851851851851851</v>
      </c>
      <c r="AW43" s="26" t="str">
        <f>'9'!AW43</f>
        <v>كفور الرمل</v>
      </c>
      <c r="AX43" s="12">
        <f>'9'!AX43</f>
        <v>4</v>
      </c>
      <c r="AY43" s="12">
        <f>'9'!AY43</f>
        <v>1335</v>
      </c>
      <c r="AZ43" s="12"/>
      <c r="BA43" s="12"/>
      <c r="BB43" s="12">
        <f>BA43+'9'!BB43</f>
        <v>918</v>
      </c>
      <c r="BC43" s="30">
        <f t="shared" si="2"/>
        <v>0.68764044943820224</v>
      </c>
      <c r="BD43" s="12">
        <f>'9'!BD43</f>
        <v>7</v>
      </c>
      <c r="BE43" s="12">
        <f>'9'!BE43</f>
        <v>753</v>
      </c>
      <c r="BF43" s="12"/>
      <c r="BG43" s="12"/>
      <c r="BH43" s="12">
        <f>BG43+'9'!BH43</f>
        <v>414</v>
      </c>
      <c r="BI43" s="30">
        <f t="shared" si="3"/>
        <v>0.54980079681274896</v>
      </c>
    </row>
    <row r="44" spans="1:61" ht="28.9" customHeight="1" x14ac:dyDescent="0.35">
      <c r="A44" s="5">
        <v>34</v>
      </c>
      <c r="B44" s="26" t="str">
        <f>'9'!B44</f>
        <v>منشأة أم خنان</v>
      </c>
      <c r="C44" s="26">
        <f>'9'!C44</f>
        <v>510</v>
      </c>
      <c r="D44" s="26"/>
      <c r="E44" s="12"/>
      <c r="F44" s="2">
        <f>E44+'9'!F44</f>
        <v>12</v>
      </c>
      <c r="G44" s="2"/>
      <c r="H44" s="2">
        <f>G44+'9'!H44</f>
        <v>194</v>
      </c>
      <c r="I44" s="2"/>
      <c r="J44" s="2">
        <f>I44+'9'!J44</f>
        <v>291</v>
      </c>
      <c r="K44" s="2"/>
      <c r="L44" s="2">
        <f>K44+'9'!L44</f>
        <v>0</v>
      </c>
      <c r="M44" s="2"/>
      <c r="N44" s="2">
        <f>M44+'9'!N44</f>
        <v>0</v>
      </c>
      <c r="O44" s="2"/>
      <c r="P44" s="2">
        <f>O44+'9'!P44</f>
        <v>0</v>
      </c>
      <c r="Q44" s="4">
        <f t="shared" si="4"/>
        <v>0</v>
      </c>
      <c r="R44" s="4">
        <f>Q44+'9'!R44</f>
        <v>497</v>
      </c>
      <c r="S44" s="27">
        <f t="shared" si="5"/>
        <v>0.97450980392156861</v>
      </c>
      <c r="T44" s="12"/>
      <c r="U44" s="12">
        <f>T44+'9'!U44</f>
        <v>11</v>
      </c>
      <c r="V44" s="12"/>
      <c r="W44" s="12">
        <f>V44+'9'!W44</f>
        <v>7</v>
      </c>
      <c r="X44" s="12"/>
      <c r="Y44" s="12">
        <f>X44+'9'!Y44</f>
        <v>0</v>
      </c>
      <c r="AB44" s="5">
        <v>34</v>
      </c>
      <c r="AC44" s="26" t="str">
        <f>'9'!AC44</f>
        <v>منشأة أم خنان</v>
      </c>
      <c r="AD44" s="28">
        <f>'9'!AI44</f>
        <v>4</v>
      </c>
      <c r="AE44" s="3"/>
      <c r="AF44" s="28">
        <f>AE44+'9'!AF44</f>
        <v>55</v>
      </c>
      <c r="AG44" s="4"/>
      <c r="AH44" s="28">
        <f>AG44+'9'!AH44</f>
        <v>51</v>
      </c>
      <c r="AI44" s="4">
        <f t="shared" si="6"/>
        <v>4</v>
      </c>
      <c r="AJ44" s="11" t="e">
        <f t="shared" si="0"/>
        <v>#DIV/0!</v>
      </c>
      <c r="AK44" s="53">
        <f t="shared" si="1"/>
        <v>9.7450980392156854</v>
      </c>
      <c r="AW44" s="26" t="str">
        <f>'9'!AW44</f>
        <v>منشأة أم خنان</v>
      </c>
      <c r="AX44" s="12">
        <f>'9'!AX44</f>
        <v>1</v>
      </c>
      <c r="AY44" s="12">
        <f>'9'!AY44</f>
        <v>277</v>
      </c>
      <c r="AZ44" s="12"/>
      <c r="BA44" s="12"/>
      <c r="BB44" s="12">
        <f>BA44+'9'!BB44</f>
        <v>269</v>
      </c>
      <c r="BC44" s="30">
        <f t="shared" si="2"/>
        <v>0.97111913357400725</v>
      </c>
      <c r="BD44" s="12">
        <f>'9'!BD44</f>
        <v>3</v>
      </c>
      <c r="BE44" s="12">
        <f>'9'!BE44</f>
        <v>170</v>
      </c>
      <c r="BF44" s="12"/>
      <c r="BG44" s="12"/>
      <c r="BH44" s="12">
        <f>BG44+'9'!BH44</f>
        <v>115</v>
      </c>
      <c r="BI44" s="30">
        <f t="shared" si="3"/>
        <v>0.67647058823529416</v>
      </c>
    </row>
    <row r="45" spans="1:61" ht="28.9" customHeight="1" x14ac:dyDescent="0.35">
      <c r="A45" s="5">
        <v>35</v>
      </c>
      <c r="B45" s="26">
        <f>'9'!B45</f>
        <v>0</v>
      </c>
      <c r="C45" s="26">
        <f>'9'!C45</f>
        <v>0</v>
      </c>
      <c r="D45" s="26"/>
      <c r="E45" s="12"/>
      <c r="F45" s="2">
        <f>E45+'9'!F45</f>
        <v>0</v>
      </c>
      <c r="G45" s="2"/>
      <c r="H45" s="2">
        <f>G45+'9'!H45</f>
        <v>0</v>
      </c>
      <c r="I45" s="2"/>
      <c r="J45" s="2">
        <f>I45+'9'!J45</f>
        <v>0</v>
      </c>
      <c r="K45" s="2"/>
      <c r="L45" s="2">
        <f>K45+'9'!L45</f>
        <v>0</v>
      </c>
      <c r="M45" s="2"/>
      <c r="N45" s="2">
        <f>M45+'9'!N45</f>
        <v>0</v>
      </c>
      <c r="O45" s="2"/>
      <c r="P45" s="2">
        <f>O45+'9'!P45</f>
        <v>0</v>
      </c>
      <c r="Q45" s="4">
        <f t="shared" si="4"/>
        <v>0</v>
      </c>
      <c r="R45" s="4">
        <f>Q45+'9'!R45</f>
        <v>0</v>
      </c>
      <c r="S45" s="27" t="e">
        <f t="shared" si="5"/>
        <v>#DIV/0!</v>
      </c>
      <c r="T45" s="12"/>
      <c r="U45" s="12">
        <f>T45+'9'!U45</f>
        <v>0</v>
      </c>
      <c r="V45" s="12"/>
      <c r="W45" s="12">
        <f>V45+'9'!W45</f>
        <v>0</v>
      </c>
      <c r="X45" s="12"/>
      <c r="Y45" s="12">
        <f>X45+'9'!Y45</f>
        <v>0</v>
      </c>
      <c r="AB45" s="5">
        <v>35</v>
      </c>
      <c r="AC45" s="26">
        <f>'9'!AC45</f>
        <v>0</v>
      </c>
      <c r="AD45" s="28">
        <f>'9'!AI45</f>
        <v>0</v>
      </c>
      <c r="AE45" s="3"/>
      <c r="AF45" s="28">
        <f>AE45+'9'!AF45</f>
        <v>0</v>
      </c>
      <c r="AG45" s="4"/>
      <c r="AH45" s="28">
        <f>AG45+'9'!AH45</f>
        <v>0</v>
      </c>
      <c r="AI45" s="4">
        <f t="shared" si="6"/>
        <v>0</v>
      </c>
      <c r="AJ45" s="11" t="e">
        <f t="shared" si="0"/>
        <v>#DIV/0!</v>
      </c>
      <c r="AK45" s="53" t="e">
        <f t="shared" si="1"/>
        <v>#DIV/0!</v>
      </c>
      <c r="AW45" s="26">
        <f>'9'!AW45</f>
        <v>0</v>
      </c>
      <c r="AX45" s="12">
        <f>'9'!AX45</f>
        <v>0</v>
      </c>
      <c r="AY45" s="12">
        <f>'9'!AY45</f>
        <v>0</v>
      </c>
      <c r="AZ45" s="12"/>
      <c r="BA45" s="12"/>
      <c r="BB45" s="12">
        <f>BA45+'9'!BB45</f>
        <v>0</v>
      </c>
      <c r="BC45" s="30" t="e">
        <f t="shared" si="2"/>
        <v>#DIV/0!</v>
      </c>
      <c r="BD45" s="12">
        <f>'9'!BD45</f>
        <v>0</v>
      </c>
      <c r="BE45" s="12">
        <f>'9'!BE45</f>
        <v>0</v>
      </c>
      <c r="BF45" s="12"/>
      <c r="BG45" s="12"/>
      <c r="BH45" s="12">
        <f>BG45+'9'!BH45</f>
        <v>0</v>
      </c>
      <c r="BI45" s="30" t="e">
        <f t="shared" si="3"/>
        <v>#DIV/0!</v>
      </c>
    </row>
    <row r="46" spans="1:61" ht="28.9" customHeight="1" x14ac:dyDescent="0.35">
      <c r="A46" s="5">
        <v>36</v>
      </c>
      <c r="B46" s="26">
        <f>'9'!B46</f>
        <v>0</v>
      </c>
      <c r="C46" s="26">
        <f>'9'!C46</f>
        <v>0</v>
      </c>
      <c r="D46" s="26"/>
      <c r="E46" s="12"/>
      <c r="F46" s="2">
        <f>E46+'9'!F46</f>
        <v>0</v>
      </c>
      <c r="G46" s="2"/>
      <c r="H46" s="2">
        <f>G46+'9'!H46</f>
        <v>0</v>
      </c>
      <c r="I46" s="2"/>
      <c r="J46" s="2">
        <f>I46+'9'!J46</f>
        <v>0</v>
      </c>
      <c r="K46" s="2"/>
      <c r="L46" s="2">
        <f>K46+'9'!L46</f>
        <v>0</v>
      </c>
      <c r="M46" s="2"/>
      <c r="N46" s="2">
        <f>M46+'9'!N46</f>
        <v>0</v>
      </c>
      <c r="O46" s="2"/>
      <c r="P46" s="2">
        <f>O46+'9'!P46</f>
        <v>0</v>
      </c>
      <c r="Q46" s="4">
        <f t="shared" si="4"/>
        <v>0</v>
      </c>
      <c r="R46" s="4">
        <f>Q46+'9'!R46</f>
        <v>0</v>
      </c>
      <c r="S46" s="27" t="e">
        <f t="shared" si="5"/>
        <v>#DIV/0!</v>
      </c>
      <c r="T46" s="12"/>
      <c r="U46" s="12">
        <f>T46+'9'!U46</f>
        <v>0</v>
      </c>
      <c r="V46" s="12"/>
      <c r="W46" s="12">
        <f>V46+'9'!W46</f>
        <v>0</v>
      </c>
      <c r="X46" s="12"/>
      <c r="Y46" s="12">
        <f>X46+'9'!Y46</f>
        <v>0</v>
      </c>
      <c r="AB46" s="5">
        <v>36</v>
      </c>
      <c r="AC46" s="26">
        <f>'9'!AC46</f>
        <v>0</v>
      </c>
      <c r="AD46" s="28">
        <f>'9'!AI46</f>
        <v>0</v>
      </c>
      <c r="AE46" s="3"/>
      <c r="AF46" s="28">
        <f>AE46+'9'!AF46</f>
        <v>0</v>
      </c>
      <c r="AG46" s="4"/>
      <c r="AH46" s="28">
        <f>AG46+'9'!AH46</f>
        <v>0</v>
      </c>
      <c r="AI46" s="4">
        <f t="shared" si="6"/>
        <v>0</v>
      </c>
      <c r="AJ46" s="11" t="e">
        <f t="shared" si="0"/>
        <v>#DIV/0!</v>
      </c>
      <c r="AK46" s="53" t="e">
        <f t="shared" si="1"/>
        <v>#DIV/0!</v>
      </c>
      <c r="AW46" s="26">
        <f>'9'!AW46</f>
        <v>0</v>
      </c>
      <c r="AX46" s="12">
        <f>'9'!AX46</f>
        <v>0</v>
      </c>
      <c r="AY46" s="12">
        <f>'9'!AY46</f>
        <v>0</v>
      </c>
      <c r="AZ46" s="12"/>
      <c r="BA46" s="12"/>
      <c r="BB46" s="12">
        <f>BA46+'9'!BB46</f>
        <v>0</v>
      </c>
      <c r="BC46" s="30" t="e">
        <f t="shared" si="2"/>
        <v>#DIV/0!</v>
      </c>
      <c r="BD46" s="12">
        <f>'9'!BD46</f>
        <v>0</v>
      </c>
      <c r="BE46" s="12">
        <f>'9'!BE46</f>
        <v>0</v>
      </c>
      <c r="BF46" s="12"/>
      <c r="BG46" s="12"/>
      <c r="BH46" s="12">
        <f>BG46+'9'!BH46</f>
        <v>0</v>
      </c>
      <c r="BI46" s="30" t="e">
        <f t="shared" si="3"/>
        <v>#DIV/0!</v>
      </c>
    </row>
    <row r="47" spans="1:61" ht="28.9" customHeight="1" x14ac:dyDescent="0.35">
      <c r="A47" s="5">
        <v>37</v>
      </c>
      <c r="B47" s="26">
        <f>'9'!B47</f>
        <v>0</v>
      </c>
      <c r="C47" s="26">
        <f>'9'!C47</f>
        <v>0</v>
      </c>
      <c r="D47" s="26"/>
      <c r="E47" s="12"/>
      <c r="F47" s="2">
        <f>E47+'9'!F47</f>
        <v>0</v>
      </c>
      <c r="G47" s="2"/>
      <c r="H47" s="2">
        <f>G47+'9'!H47</f>
        <v>0</v>
      </c>
      <c r="I47" s="2"/>
      <c r="J47" s="2">
        <f>I47+'9'!J47</f>
        <v>0</v>
      </c>
      <c r="K47" s="2"/>
      <c r="L47" s="2">
        <f>K47+'9'!L47</f>
        <v>0</v>
      </c>
      <c r="M47" s="2"/>
      <c r="N47" s="2">
        <f>M47+'9'!N47</f>
        <v>0</v>
      </c>
      <c r="O47" s="2"/>
      <c r="P47" s="2">
        <f>O47+'9'!P47</f>
        <v>0</v>
      </c>
      <c r="Q47" s="4">
        <f t="shared" si="4"/>
        <v>0</v>
      </c>
      <c r="R47" s="4">
        <f>Q47+'9'!R47</f>
        <v>0</v>
      </c>
      <c r="S47" s="27" t="e">
        <f t="shared" si="5"/>
        <v>#DIV/0!</v>
      </c>
      <c r="T47" s="12"/>
      <c r="U47" s="12">
        <f>T47+'9'!U47</f>
        <v>0</v>
      </c>
      <c r="V47" s="12"/>
      <c r="W47" s="12">
        <f>V47+'9'!W47</f>
        <v>0</v>
      </c>
      <c r="X47" s="12"/>
      <c r="Y47" s="12">
        <f>X47+'9'!Y47</f>
        <v>0</v>
      </c>
      <c r="AB47" s="5">
        <v>37</v>
      </c>
      <c r="AC47" s="26">
        <f>'9'!AC47</f>
        <v>0</v>
      </c>
      <c r="AD47" s="28">
        <f>'9'!AI47</f>
        <v>0</v>
      </c>
      <c r="AE47" s="3"/>
      <c r="AF47" s="28">
        <f>AE47+'9'!AF47</f>
        <v>0</v>
      </c>
      <c r="AG47" s="4"/>
      <c r="AH47" s="28">
        <f>AG47+'9'!AH47</f>
        <v>0</v>
      </c>
      <c r="AI47" s="4">
        <f t="shared" si="6"/>
        <v>0</v>
      </c>
      <c r="AJ47" s="11" t="e">
        <f t="shared" si="0"/>
        <v>#DIV/0!</v>
      </c>
      <c r="AK47" s="53" t="e">
        <f t="shared" si="1"/>
        <v>#DIV/0!</v>
      </c>
      <c r="AW47" s="26">
        <f>'9'!AW47</f>
        <v>0</v>
      </c>
      <c r="AX47" s="12">
        <f>'9'!AX47</f>
        <v>0</v>
      </c>
      <c r="AY47" s="12">
        <f>'9'!AY47</f>
        <v>0</v>
      </c>
      <c r="AZ47" s="12"/>
      <c r="BA47" s="12"/>
      <c r="BB47" s="12">
        <f>BA47+'9'!BB47</f>
        <v>0</v>
      </c>
      <c r="BC47" s="30" t="e">
        <f t="shared" si="2"/>
        <v>#DIV/0!</v>
      </c>
      <c r="BD47" s="12">
        <f>'9'!BD47</f>
        <v>0</v>
      </c>
      <c r="BE47" s="12">
        <f>'9'!BE47</f>
        <v>0</v>
      </c>
      <c r="BF47" s="12"/>
      <c r="BG47" s="12"/>
      <c r="BH47" s="12">
        <f>BG47+'9'!BH47</f>
        <v>0</v>
      </c>
      <c r="BI47" s="30" t="e">
        <f t="shared" si="3"/>
        <v>#DIV/0!</v>
      </c>
    </row>
    <row r="48" spans="1:61" ht="28.9" customHeight="1" x14ac:dyDescent="0.35">
      <c r="A48" s="5">
        <v>38</v>
      </c>
      <c r="B48" s="26">
        <f>'9'!B48</f>
        <v>0</v>
      </c>
      <c r="C48" s="26">
        <f>'9'!C48</f>
        <v>0</v>
      </c>
      <c r="D48" s="26"/>
      <c r="E48" s="12"/>
      <c r="F48" s="2">
        <f>E48+'9'!F48</f>
        <v>0</v>
      </c>
      <c r="G48" s="2"/>
      <c r="H48" s="2">
        <f>G48+'9'!H48</f>
        <v>0</v>
      </c>
      <c r="I48" s="2"/>
      <c r="J48" s="2">
        <f>I48+'9'!J48</f>
        <v>0</v>
      </c>
      <c r="K48" s="2"/>
      <c r="L48" s="2">
        <f>K48+'9'!L48</f>
        <v>0</v>
      </c>
      <c r="M48" s="2"/>
      <c r="N48" s="2">
        <f>M48+'9'!N48</f>
        <v>0</v>
      </c>
      <c r="O48" s="2"/>
      <c r="P48" s="2">
        <f>O48+'9'!P48</f>
        <v>0</v>
      </c>
      <c r="Q48" s="4">
        <f t="shared" si="4"/>
        <v>0</v>
      </c>
      <c r="R48" s="4">
        <f>Q48+'9'!R48</f>
        <v>0</v>
      </c>
      <c r="S48" s="27" t="e">
        <f t="shared" si="5"/>
        <v>#DIV/0!</v>
      </c>
      <c r="T48" s="12"/>
      <c r="U48" s="12">
        <f>T48+'9'!U48</f>
        <v>0</v>
      </c>
      <c r="V48" s="12"/>
      <c r="W48" s="12">
        <f>V48+'9'!W48</f>
        <v>0</v>
      </c>
      <c r="X48" s="12"/>
      <c r="Y48" s="12">
        <f>X48+'9'!Y48</f>
        <v>0</v>
      </c>
      <c r="AB48" s="5">
        <v>38</v>
      </c>
      <c r="AC48" s="26">
        <f>'9'!AC48</f>
        <v>0</v>
      </c>
      <c r="AD48" s="28">
        <f>'9'!AI48</f>
        <v>0</v>
      </c>
      <c r="AE48" s="3"/>
      <c r="AF48" s="28">
        <f>AE48+'9'!AF48</f>
        <v>0</v>
      </c>
      <c r="AG48" s="4"/>
      <c r="AH48" s="28">
        <f>AG48+'9'!AH48</f>
        <v>0</v>
      </c>
      <c r="AI48" s="4">
        <f t="shared" si="6"/>
        <v>0</v>
      </c>
      <c r="AJ48" s="11" t="e">
        <f t="shared" si="0"/>
        <v>#DIV/0!</v>
      </c>
      <c r="AK48" s="53" t="e">
        <f t="shared" si="1"/>
        <v>#DIV/0!</v>
      </c>
      <c r="AW48" s="26">
        <f>'9'!AW48</f>
        <v>0</v>
      </c>
      <c r="AX48" s="12">
        <f>'9'!AX48</f>
        <v>0</v>
      </c>
      <c r="AY48" s="12">
        <f>'9'!AY48</f>
        <v>0</v>
      </c>
      <c r="AZ48" s="12"/>
      <c r="BA48" s="12"/>
      <c r="BB48" s="12">
        <f>BA48+'9'!BB48</f>
        <v>0</v>
      </c>
      <c r="BC48" s="30" t="e">
        <f t="shared" si="2"/>
        <v>#DIV/0!</v>
      </c>
      <c r="BD48" s="12">
        <f>'9'!BD48</f>
        <v>0</v>
      </c>
      <c r="BE48" s="12">
        <f>'9'!BE48</f>
        <v>0</v>
      </c>
      <c r="BF48" s="12"/>
      <c r="BG48" s="12"/>
      <c r="BH48" s="12">
        <f>BG48+'9'!BH48</f>
        <v>0</v>
      </c>
      <c r="BI48" s="30" t="e">
        <f t="shared" si="3"/>
        <v>#DIV/0!</v>
      </c>
    </row>
    <row r="49" spans="1:61" ht="28.9" customHeight="1" x14ac:dyDescent="0.35">
      <c r="A49" s="5">
        <v>39</v>
      </c>
      <c r="B49" s="26">
        <f>'9'!B49</f>
        <v>0</v>
      </c>
      <c r="C49" s="26">
        <f>'9'!C49</f>
        <v>0</v>
      </c>
      <c r="D49" s="26"/>
      <c r="E49" s="12"/>
      <c r="F49" s="2">
        <f>E49+'9'!F49</f>
        <v>0</v>
      </c>
      <c r="G49" s="2"/>
      <c r="H49" s="2">
        <f>G49+'9'!H49</f>
        <v>0</v>
      </c>
      <c r="I49" s="2"/>
      <c r="J49" s="2">
        <f>I49+'9'!J49</f>
        <v>0</v>
      </c>
      <c r="K49" s="2"/>
      <c r="L49" s="2">
        <f>K49+'9'!L49</f>
        <v>0</v>
      </c>
      <c r="M49" s="2"/>
      <c r="N49" s="2">
        <f>M49+'9'!N49</f>
        <v>0</v>
      </c>
      <c r="O49" s="2"/>
      <c r="P49" s="2">
        <f>O49+'9'!P49</f>
        <v>0</v>
      </c>
      <c r="Q49" s="4">
        <f t="shared" si="4"/>
        <v>0</v>
      </c>
      <c r="R49" s="4">
        <f>Q49+'9'!R49</f>
        <v>0</v>
      </c>
      <c r="S49" s="27" t="e">
        <f t="shared" si="5"/>
        <v>#DIV/0!</v>
      </c>
      <c r="T49" s="12"/>
      <c r="U49" s="12">
        <f>T49+'9'!U49</f>
        <v>0</v>
      </c>
      <c r="V49" s="12"/>
      <c r="W49" s="12">
        <f>V49+'9'!W49</f>
        <v>0</v>
      </c>
      <c r="X49" s="12"/>
      <c r="Y49" s="12">
        <f>X49+'9'!Y49</f>
        <v>0</v>
      </c>
      <c r="AB49" s="5">
        <v>39</v>
      </c>
      <c r="AC49" s="26">
        <f>'9'!AC49</f>
        <v>0</v>
      </c>
      <c r="AD49" s="28">
        <f>'9'!AI49</f>
        <v>0</v>
      </c>
      <c r="AE49" s="3"/>
      <c r="AF49" s="28">
        <f>AE49+'9'!AF49</f>
        <v>0</v>
      </c>
      <c r="AG49" s="4"/>
      <c r="AH49" s="28">
        <f>AG49+'9'!AH49</f>
        <v>0</v>
      </c>
      <c r="AI49" s="4">
        <f t="shared" si="6"/>
        <v>0</v>
      </c>
      <c r="AJ49" s="11" t="e">
        <f t="shared" si="0"/>
        <v>#DIV/0!</v>
      </c>
      <c r="AK49" s="53" t="e">
        <f t="shared" si="1"/>
        <v>#DIV/0!</v>
      </c>
      <c r="AW49" s="26">
        <f>'9'!AW49</f>
        <v>0</v>
      </c>
      <c r="AX49" s="12">
        <f>'9'!AX49</f>
        <v>0</v>
      </c>
      <c r="AY49" s="12">
        <f>'9'!AY49</f>
        <v>0</v>
      </c>
      <c r="AZ49" s="12"/>
      <c r="BA49" s="12"/>
      <c r="BB49" s="12">
        <f>BA49+'9'!BB49</f>
        <v>0</v>
      </c>
      <c r="BC49" s="30" t="e">
        <f t="shared" si="2"/>
        <v>#DIV/0!</v>
      </c>
      <c r="BD49" s="12">
        <f>'9'!BD49</f>
        <v>0</v>
      </c>
      <c r="BE49" s="12">
        <f>'9'!BE49</f>
        <v>0</v>
      </c>
      <c r="BF49" s="12"/>
      <c r="BG49" s="12"/>
      <c r="BH49" s="12">
        <f>BG49+'9'!BH49</f>
        <v>0</v>
      </c>
      <c r="BI49" s="30" t="e">
        <f t="shared" si="3"/>
        <v>#DIV/0!</v>
      </c>
    </row>
    <row r="50" spans="1:61" ht="28.9" customHeight="1" x14ac:dyDescent="0.35">
      <c r="A50" s="5">
        <v>40</v>
      </c>
      <c r="B50" s="26">
        <f>'9'!B50</f>
        <v>0</v>
      </c>
      <c r="C50" s="26">
        <f>'9'!C50</f>
        <v>0</v>
      </c>
      <c r="D50" s="26"/>
      <c r="E50" s="12"/>
      <c r="F50" s="2">
        <f>E50+'9'!F50</f>
        <v>0</v>
      </c>
      <c r="G50" s="2"/>
      <c r="H50" s="2">
        <f>G50+'9'!H50</f>
        <v>0</v>
      </c>
      <c r="I50" s="2"/>
      <c r="J50" s="2">
        <f>I50+'9'!J50</f>
        <v>0</v>
      </c>
      <c r="K50" s="2"/>
      <c r="L50" s="2">
        <f>K50+'9'!L50</f>
        <v>0</v>
      </c>
      <c r="M50" s="2"/>
      <c r="N50" s="2">
        <f>M50+'9'!N50</f>
        <v>0</v>
      </c>
      <c r="O50" s="2"/>
      <c r="P50" s="2">
        <f>O50+'9'!P50</f>
        <v>0</v>
      </c>
      <c r="Q50" s="4">
        <f t="shared" si="4"/>
        <v>0</v>
      </c>
      <c r="R50" s="4">
        <f>Q50+'9'!R50</f>
        <v>0</v>
      </c>
      <c r="S50" s="27" t="e">
        <f t="shared" si="5"/>
        <v>#DIV/0!</v>
      </c>
      <c r="T50" s="12"/>
      <c r="U50" s="12">
        <f>T50+'9'!U50</f>
        <v>0</v>
      </c>
      <c r="V50" s="12"/>
      <c r="W50" s="12">
        <f>V50+'9'!W50</f>
        <v>0</v>
      </c>
      <c r="X50" s="12"/>
      <c r="Y50" s="12">
        <f>X50+'9'!Y50</f>
        <v>0</v>
      </c>
      <c r="AB50" s="5">
        <v>40</v>
      </c>
      <c r="AC50" s="26">
        <f>'9'!AC50</f>
        <v>0</v>
      </c>
      <c r="AD50" s="28">
        <f>'9'!AI50</f>
        <v>0</v>
      </c>
      <c r="AE50" s="3"/>
      <c r="AF50" s="28">
        <f>AE50+'9'!AF50</f>
        <v>0</v>
      </c>
      <c r="AG50" s="4"/>
      <c r="AH50" s="28">
        <f>AG50+'9'!AH50</f>
        <v>0</v>
      </c>
      <c r="AI50" s="4">
        <f t="shared" si="6"/>
        <v>0</v>
      </c>
      <c r="AJ50" s="11" t="e">
        <f t="shared" si="0"/>
        <v>#DIV/0!</v>
      </c>
      <c r="AK50" s="53" t="e">
        <f t="shared" si="1"/>
        <v>#DIV/0!</v>
      </c>
      <c r="AW50" s="26">
        <f>'9'!AW50</f>
        <v>0</v>
      </c>
      <c r="AX50" s="12">
        <f>'9'!AX50</f>
        <v>0</v>
      </c>
      <c r="AY50" s="12">
        <f>'9'!AY50</f>
        <v>0</v>
      </c>
      <c r="AZ50" s="12"/>
      <c r="BA50" s="12"/>
      <c r="BB50" s="12">
        <f>BA50+'9'!BB50</f>
        <v>0</v>
      </c>
      <c r="BC50" s="30" t="e">
        <f t="shared" si="2"/>
        <v>#DIV/0!</v>
      </c>
      <c r="BD50" s="12">
        <f>'9'!BD50</f>
        <v>0</v>
      </c>
      <c r="BE50" s="12">
        <f>'9'!BE50</f>
        <v>0</v>
      </c>
      <c r="BF50" s="12"/>
      <c r="BG50" s="12"/>
      <c r="BH50" s="12">
        <f>BG50+'9'!BH50</f>
        <v>0</v>
      </c>
      <c r="BI50" s="30" t="e">
        <f t="shared" si="3"/>
        <v>#DIV/0!</v>
      </c>
    </row>
    <row r="51" spans="1:61" ht="25.5" thickBot="1" x14ac:dyDescent="0.4">
      <c r="A51" s="321" t="s">
        <v>26</v>
      </c>
      <c r="B51" s="321"/>
      <c r="C51" s="35">
        <f>SUM(C11:C50)</f>
        <v>97446</v>
      </c>
      <c r="D51" s="35">
        <f>SUM(D11:D50)</f>
        <v>0</v>
      </c>
      <c r="E51" s="6">
        <f>SUM(E11:E50)</f>
        <v>0</v>
      </c>
      <c r="F51" s="6">
        <f>SUM(F11:F50)</f>
        <v>533</v>
      </c>
      <c r="G51" s="6">
        <f t="shared" ref="G51:R51" si="8">SUM(G11:G50)</f>
        <v>0</v>
      </c>
      <c r="H51" s="6">
        <f t="shared" si="8"/>
        <v>14954</v>
      </c>
      <c r="I51" s="6">
        <f t="shared" si="8"/>
        <v>0</v>
      </c>
      <c r="J51" s="6">
        <f t="shared" si="8"/>
        <v>37926</v>
      </c>
      <c r="K51" s="6">
        <f t="shared" si="8"/>
        <v>0</v>
      </c>
      <c r="L51" s="6">
        <f t="shared" si="8"/>
        <v>0</v>
      </c>
      <c r="M51" s="6">
        <f t="shared" si="8"/>
        <v>0</v>
      </c>
      <c r="N51" s="6">
        <f t="shared" si="8"/>
        <v>0</v>
      </c>
      <c r="O51" s="6">
        <f t="shared" si="8"/>
        <v>0</v>
      </c>
      <c r="P51" s="6">
        <f t="shared" si="8"/>
        <v>0</v>
      </c>
      <c r="Q51" s="6">
        <f t="shared" si="8"/>
        <v>0</v>
      </c>
      <c r="R51" s="6">
        <f t="shared" si="8"/>
        <v>53413</v>
      </c>
      <c r="S51" s="10">
        <f>R51/C51</f>
        <v>0.54812922028610722</v>
      </c>
      <c r="T51" s="23">
        <f t="shared" ref="T51:Y51" si="9">SUM(T11:T50)</f>
        <v>0</v>
      </c>
      <c r="U51" s="23">
        <f t="shared" si="9"/>
        <v>7532</v>
      </c>
      <c r="V51" s="23">
        <f t="shared" si="9"/>
        <v>0</v>
      </c>
      <c r="W51" s="23">
        <f t="shared" si="9"/>
        <v>1107</v>
      </c>
      <c r="X51" s="23">
        <f t="shared" si="9"/>
        <v>0</v>
      </c>
      <c r="Y51" s="23">
        <f t="shared" si="9"/>
        <v>2</v>
      </c>
      <c r="AB51" s="37" t="s">
        <v>29</v>
      </c>
      <c r="AC51" s="37"/>
      <c r="AD51" s="34">
        <f t="shared" ref="AD51:AI51" si="10">SUM(AD11:AD50)</f>
        <v>3133</v>
      </c>
      <c r="AE51" s="23">
        <f t="shared" si="10"/>
        <v>0</v>
      </c>
      <c r="AF51" s="14">
        <f t="shared" si="10"/>
        <v>8632</v>
      </c>
      <c r="AG51" s="14">
        <f t="shared" si="10"/>
        <v>0</v>
      </c>
      <c r="AH51" s="14">
        <f t="shared" si="10"/>
        <v>5499</v>
      </c>
      <c r="AI51" s="14">
        <f t="shared" si="10"/>
        <v>3133</v>
      </c>
      <c r="AJ51" s="11" t="e">
        <f t="shared" si="0"/>
        <v>#DIV/0!</v>
      </c>
      <c r="AK51" s="53">
        <f t="shared" si="1"/>
        <v>9.713220585561011</v>
      </c>
      <c r="AW51" s="33" t="s">
        <v>26</v>
      </c>
      <c r="AX51" s="13">
        <f>SUM(AX11:AX50)</f>
        <v>121</v>
      </c>
      <c r="AY51" s="13">
        <f>SUM(AY11:AY50)</f>
        <v>50910</v>
      </c>
      <c r="AZ51" s="13">
        <f>SUM(AZ11:AZ50)</f>
        <v>0</v>
      </c>
      <c r="BA51" s="13">
        <f>SUM(BA11:BA50)</f>
        <v>0</v>
      </c>
      <c r="BB51" s="13">
        <f>SUM(BB11:BB50)</f>
        <v>39924</v>
      </c>
      <c r="BC51" s="31">
        <f t="shared" si="2"/>
        <v>0.78420742486741313</v>
      </c>
      <c r="BD51" s="32">
        <f>SUM(BD11:BD50)</f>
        <v>241</v>
      </c>
      <c r="BE51" s="32">
        <f>SUM(BE11:BE50)</f>
        <v>14990</v>
      </c>
      <c r="BF51" s="32">
        <f>SUM(BF11:BF50)</f>
        <v>0</v>
      </c>
      <c r="BG51" s="32">
        <f>SUM(BG11:BG50)</f>
        <v>0</v>
      </c>
      <c r="BH51" s="32">
        <f>SUM(BH11:BH50)</f>
        <v>9274</v>
      </c>
      <c r="BI51" s="31">
        <f t="shared" si="3"/>
        <v>0.61867911941294196</v>
      </c>
    </row>
    <row r="52" spans="1:61" ht="17.5" x14ac:dyDescent="0.35">
      <c r="AB52" s="36"/>
      <c r="AC52" s="36"/>
      <c r="AD52" s="36"/>
      <c r="AE52" s="36"/>
      <c r="AF52" s="40"/>
      <c r="AG52" s="40"/>
      <c r="AH52" s="40"/>
      <c r="AI52" s="41"/>
      <c r="AJ52" s="15"/>
      <c r="AK52" s="15"/>
    </row>
    <row r="54" spans="1:61" ht="18.5" x14ac:dyDescent="0.45">
      <c r="G54" s="322" t="s">
        <v>36</v>
      </c>
      <c r="H54" s="322"/>
      <c r="I54" s="322"/>
      <c r="J54" s="322"/>
      <c r="K54" s="322"/>
      <c r="L54" s="322"/>
      <c r="M54" s="322"/>
      <c r="N54" s="322"/>
      <c r="O54" s="322"/>
      <c r="P54" s="322"/>
      <c r="Q54" s="322"/>
      <c r="R54" s="322"/>
      <c r="S54" s="322"/>
      <c r="AB54" s="313" t="s">
        <v>44</v>
      </c>
      <c r="AC54" s="313"/>
      <c r="AD54" s="313"/>
      <c r="AE54" s="313"/>
      <c r="AF54" s="313"/>
      <c r="AG54" s="313"/>
      <c r="AH54" s="313"/>
      <c r="AI54" s="313"/>
      <c r="AJ54" s="313"/>
      <c r="AK54" s="313"/>
      <c r="AL54" s="313"/>
      <c r="AM54" s="313"/>
      <c r="AN54" s="313"/>
    </row>
    <row r="55" spans="1:61" ht="18.5" x14ac:dyDescent="0.45">
      <c r="AX55" s="313" t="s">
        <v>44</v>
      </c>
      <c r="AY55" s="313"/>
      <c r="AZ55" s="313"/>
      <c r="BA55" s="313"/>
      <c r="BB55" s="313"/>
      <c r="BC55" s="313"/>
      <c r="BD55" s="313"/>
      <c r="BE55" s="313"/>
      <c r="BF55" s="313"/>
      <c r="BG55" s="313"/>
      <c r="BH55" s="313"/>
      <c r="BI55" s="313"/>
    </row>
    <row r="56" spans="1:61" ht="15.5" x14ac:dyDescent="0.35">
      <c r="AG56" s="38"/>
      <c r="AH56" s="38"/>
      <c r="AI56" s="38"/>
    </row>
  </sheetData>
  <mergeCells count="56">
    <mergeCell ref="A6:Y6"/>
    <mergeCell ref="AF6:AN6"/>
    <mergeCell ref="AY6:BI6"/>
    <mergeCell ref="A7:Y7"/>
    <mergeCell ref="A8:A10"/>
    <mergeCell ref="B8:B10"/>
    <mergeCell ref="C8:C10"/>
    <mergeCell ref="D8:D10"/>
    <mergeCell ref="E8:J8"/>
    <mergeCell ref="K8:P8"/>
    <mergeCell ref="Q8:R9"/>
    <mergeCell ref="S8:S10"/>
    <mergeCell ref="T8:U9"/>
    <mergeCell ref="V8:W9"/>
    <mergeCell ref="X8:Y9"/>
    <mergeCell ref="AB8:AB10"/>
    <mergeCell ref="AN8:AN9"/>
    <mergeCell ref="AO8:AO9"/>
    <mergeCell ref="AP8:AQ8"/>
    <mergeCell ref="AR8:AS8"/>
    <mergeCell ref="AC8:AC10"/>
    <mergeCell ref="AD8:AD10"/>
    <mergeCell ref="AE8:AF9"/>
    <mergeCell ref="AG8:AH9"/>
    <mergeCell ref="AI8:AI10"/>
    <mergeCell ref="AJ8:AJ10"/>
    <mergeCell ref="AW8:AW10"/>
    <mergeCell ref="AX8:BC8"/>
    <mergeCell ref="BD8:BI8"/>
    <mergeCell ref="E9:F9"/>
    <mergeCell ref="G9:H9"/>
    <mergeCell ref="I9:J9"/>
    <mergeCell ref="K9:L9"/>
    <mergeCell ref="M9:N9"/>
    <mergeCell ref="AK8:AK10"/>
    <mergeCell ref="AM8:AM13"/>
    <mergeCell ref="BF9:BF10"/>
    <mergeCell ref="BG9:BG10"/>
    <mergeCell ref="BH9:BH10"/>
    <mergeCell ref="O9:P9"/>
    <mergeCell ref="AX9:AX10"/>
    <mergeCell ref="AY9:AY10"/>
    <mergeCell ref="AZ9:AZ10"/>
    <mergeCell ref="BA9:BA10"/>
    <mergeCell ref="BB9:BB10"/>
    <mergeCell ref="AT8:AT9"/>
    <mergeCell ref="AX55:BI55"/>
    <mergeCell ref="BI9:BI10"/>
    <mergeCell ref="AM14:AN14"/>
    <mergeCell ref="AO14:AS14"/>
    <mergeCell ref="A51:B51"/>
    <mergeCell ref="G54:S54"/>
    <mergeCell ref="AB54:AN54"/>
    <mergeCell ref="BC9:BC10"/>
    <mergeCell ref="BD9:BD10"/>
    <mergeCell ref="BE9:BE10"/>
  </mergeCells>
  <pageMargins left="0.7" right="0.7" top="0.75" bottom="0.75" header="0.3" footer="0.3"/>
  <pageSetup paperSize="9" scale="17" orientation="landscape" r:id="rId1"/>
  <colBreaks count="2" manualBreakCount="2">
    <brk id="26" max="55" man="1"/>
    <brk id="47" max="5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2C428-2A5F-4128-870E-A41D3A955934}">
  <dimension ref="A1:BJ56"/>
  <sheetViews>
    <sheetView rightToLeft="1" view="pageBreakPreview" topLeftCell="Z1" zoomScale="55" zoomScaleNormal="29" zoomScalePageLayoutView="40" workbookViewId="0">
      <selection activeCell="AP15" sqref="AP15"/>
    </sheetView>
  </sheetViews>
  <sheetFormatPr defaultRowHeight="14.5" x14ac:dyDescent="0.35"/>
  <cols>
    <col min="1" max="1" width="11.26953125" style="1" customWidth="1"/>
    <col min="2" max="4" width="18.7265625" style="1" customWidth="1"/>
    <col min="5" max="6" width="15.26953125" customWidth="1"/>
    <col min="7" max="7" width="18.453125" customWidth="1"/>
    <col min="8" max="8" width="16.81640625" customWidth="1"/>
    <col min="9" max="9" width="15.26953125" customWidth="1"/>
    <col min="10" max="10" width="15.54296875" customWidth="1"/>
    <col min="11" max="23" width="15.26953125" customWidth="1"/>
    <col min="24" max="25" width="12.54296875" customWidth="1"/>
    <col min="27" max="27" width="19.1796875" customWidth="1"/>
    <col min="28" max="30" width="15.26953125" customWidth="1"/>
    <col min="31" max="32" width="13.7265625" customWidth="1"/>
    <col min="33" max="33" width="14.1796875" customWidth="1"/>
    <col min="34" max="34" width="13" customWidth="1"/>
    <col min="35" max="35" width="18.26953125" customWidth="1"/>
    <col min="36" max="40" width="15" customWidth="1"/>
    <col min="41" max="41" width="16.7265625" customWidth="1"/>
    <col min="42" max="42" width="18" customWidth="1"/>
    <col min="43" max="46" width="15" customWidth="1"/>
    <col min="47" max="47" width="14" style="1" customWidth="1"/>
    <col min="49" max="49" width="15.1796875" customWidth="1"/>
    <col min="50" max="50" width="22.26953125" customWidth="1"/>
    <col min="51" max="51" width="16.26953125" customWidth="1"/>
    <col min="52" max="52" width="13.453125" customWidth="1"/>
    <col min="53" max="53" width="14" customWidth="1"/>
    <col min="54" max="54" width="11.7265625" customWidth="1"/>
    <col min="55" max="55" width="14.26953125" customWidth="1"/>
    <col min="56" max="56" width="17.7265625" customWidth="1"/>
    <col min="57" max="57" width="22.453125" customWidth="1"/>
    <col min="58" max="58" width="17.7265625" customWidth="1"/>
    <col min="59" max="59" width="11.7265625" customWidth="1"/>
    <col min="60" max="60" width="16.81640625" customWidth="1"/>
    <col min="61" max="61" width="12.81640625" customWidth="1"/>
    <col min="62" max="62" width="15.26953125" customWidth="1"/>
  </cols>
  <sheetData>
    <row r="1" spans="1:62" s="21" customFormat="1" ht="23.5" x14ac:dyDescent="0.55000000000000004">
      <c r="A1" s="22" t="s">
        <v>0</v>
      </c>
      <c r="B1" s="22"/>
      <c r="C1" s="22"/>
      <c r="D1" s="18"/>
      <c r="E1" s="18"/>
      <c r="F1" s="18"/>
      <c r="G1" s="18"/>
      <c r="H1" s="18"/>
      <c r="I1" s="18"/>
      <c r="J1" s="18"/>
      <c r="K1" s="18"/>
      <c r="L1" s="18"/>
      <c r="M1" s="18"/>
      <c r="N1" s="19"/>
      <c r="O1" s="19"/>
      <c r="P1" s="18"/>
      <c r="Q1" s="18"/>
      <c r="R1" s="18"/>
      <c r="S1" s="18"/>
      <c r="T1" s="18"/>
      <c r="U1" s="18"/>
      <c r="V1" s="18"/>
      <c r="W1" s="18"/>
      <c r="X1" s="18"/>
      <c r="Y1" s="18"/>
      <c r="AA1" s="29"/>
      <c r="AB1" s="22" t="s">
        <v>0</v>
      </c>
      <c r="AC1" s="22"/>
      <c r="AD1" s="29"/>
      <c r="AE1" s="29"/>
      <c r="AF1" s="29"/>
      <c r="AU1" s="54"/>
      <c r="AW1" s="22" t="s">
        <v>0</v>
      </c>
      <c r="AX1" s="22"/>
      <c r="AY1" s="22"/>
      <c r="AZ1" s="18"/>
      <c r="BA1" s="18"/>
      <c r="BB1" s="18"/>
      <c r="BC1" s="18"/>
      <c r="BD1" s="18"/>
      <c r="BE1" s="20"/>
      <c r="BF1" s="19"/>
      <c r="BI1" s="29"/>
      <c r="BJ1" s="29"/>
    </row>
    <row r="2" spans="1:62" s="21" customFormat="1" ht="23.5" x14ac:dyDescent="0.55000000000000004">
      <c r="A2" s="22" t="s">
        <v>21</v>
      </c>
      <c r="B2" s="22"/>
      <c r="C2" s="22"/>
      <c r="D2" s="18"/>
      <c r="E2" s="18"/>
      <c r="F2" s="18"/>
      <c r="G2" s="18"/>
      <c r="H2" s="18"/>
      <c r="I2" s="18"/>
      <c r="J2" s="18"/>
      <c r="K2" s="18"/>
      <c r="L2" s="18"/>
      <c r="M2" s="18"/>
      <c r="N2" s="19"/>
      <c r="O2" s="19"/>
      <c r="P2" s="18"/>
      <c r="Q2" s="18"/>
      <c r="R2" s="18"/>
      <c r="S2" s="18"/>
      <c r="T2" s="18"/>
      <c r="U2" s="18"/>
      <c r="V2" s="18"/>
      <c r="W2" s="18"/>
      <c r="X2" s="18"/>
      <c r="Y2" s="18"/>
      <c r="AA2" s="29"/>
      <c r="AB2" s="22" t="s">
        <v>21</v>
      </c>
      <c r="AC2" s="22"/>
      <c r="AD2" s="29"/>
      <c r="AE2" s="29"/>
      <c r="AF2" s="29"/>
      <c r="AU2" s="54"/>
      <c r="AW2" s="22" t="s">
        <v>21</v>
      </c>
      <c r="AX2" s="22"/>
      <c r="AY2" s="22"/>
      <c r="AZ2" s="18"/>
      <c r="BA2" s="18"/>
      <c r="BB2" s="18"/>
      <c r="BC2" s="18"/>
      <c r="BD2" s="18"/>
      <c r="BE2" s="20"/>
      <c r="BF2" s="19"/>
      <c r="BI2" s="29"/>
      <c r="BJ2" s="29"/>
    </row>
    <row r="3" spans="1:62" s="21" customFormat="1" ht="23.5" x14ac:dyDescent="0.55000000000000004">
      <c r="A3" s="22" t="s">
        <v>22</v>
      </c>
      <c r="B3" s="22"/>
      <c r="C3" s="22"/>
      <c r="D3" s="18"/>
      <c r="E3" s="18"/>
      <c r="F3" s="18"/>
      <c r="G3" s="18"/>
      <c r="H3" s="18"/>
      <c r="I3" s="18"/>
      <c r="J3" s="18"/>
      <c r="K3" s="18"/>
      <c r="L3" s="18"/>
      <c r="M3" s="18"/>
      <c r="N3" s="19"/>
      <c r="O3" s="19"/>
      <c r="P3" s="18"/>
      <c r="Q3" s="18"/>
      <c r="R3" s="18"/>
      <c r="S3" s="18"/>
      <c r="T3" s="18"/>
      <c r="U3" s="18"/>
      <c r="V3" s="18"/>
      <c r="W3" s="18"/>
      <c r="X3" s="18"/>
      <c r="Y3" s="18"/>
      <c r="AA3" s="29"/>
      <c r="AB3" s="22" t="s">
        <v>22</v>
      </c>
      <c r="AC3" s="22"/>
      <c r="AD3" s="29"/>
      <c r="AE3" s="29"/>
      <c r="AF3" s="29"/>
      <c r="AU3" s="54"/>
      <c r="AW3" s="22" t="s">
        <v>22</v>
      </c>
      <c r="AX3" s="22"/>
      <c r="AY3" s="22"/>
      <c r="AZ3" s="18"/>
      <c r="BA3" s="18"/>
      <c r="BB3" s="18"/>
      <c r="BC3" s="18"/>
      <c r="BD3" s="18"/>
      <c r="BE3" s="20"/>
      <c r="BF3" s="19"/>
      <c r="BI3" s="29"/>
      <c r="BJ3" s="29"/>
    </row>
    <row r="4" spans="1:62" s="21" customFormat="1" ht="23.5" x14ac:dyDescent="0.55000000000000004">
      <c r="A4" s="22" t="s">
        <v>23</v>
      </c>
      <c r="B4" s="22"/>
      <c r="C4" s="22"/>
      <c r="D4" s="19"/>
      <c r="E4" s="20"/>
      <c r="F4" s="20"/>
      <c r="G4" s="20"/>
      <c r="H4" s="20"/>
      <c r="I4" s="18"/>
      <c r="J4" s="18"/>
      <c r="K4" s="18"/>
      <c r="L4" s="18"/>
      <c r="M4" s="18"/>
      <c r="N4" s="19"/>
      <c r="O4" s="19"/>
      <c r="P4" s="18"/>
      <c r="Q4" s="18"/>
      <c r="R4" s="18"/>
      <c r="S4" s="18"/>
      <c r="T4" s="18"/>
      <c r="U4" s="18"/>
      <c r="V4" s="18"/>
      <c r="W4" s="18"/>
      <c r="X4" s="18"/>
      <c r="Y4" s="18"/>
      <c r="AB4" s="22" t="s">
        <v>23</v>
      </c>
      <c r="AC4" s="22"/>
      <c r="AU4" s="54"/>
      <c r="AW4" s="22" t="s">
        <v>23</v>
      </c>
      <c r="AX4" s="22"/>
      <c r="AY4" s="22"/>
      <c r="AZ4" s="19"/>
      <c r="BA4" s="18"/>
      <c r="BB4" s="18"/>
      <c r="BC4" s="18"/>
      <c r="BD4" s="18"/>
      <c r="BE4" s="20"/>
      <c r="BF4" s="19"/>
    </row>
    <row r="5" spans="1:62" s="21" customFormat="1" ht="23.5" x14ac:dyDescent="0.55000000000000004">
      <c r="A5" s="22" t="s">
        <v>1</v>
      </c>
      <c r="B5" s="22"/>
      <c r="C5" s="22"/>
      <c r="D5" s="19"/>
      <c r="E5" s="18"/>
      <c r="F5" s="18"/>
      <c r="G5" s="18"/>
      <c r="H5" s="18"/>
      <c r="I5" s="18"/>
      <c r="J5" s="18"/>
      <c r="K5" s="18"/>
      <c r="L5" s="18"/>
      <c r="M5" s="18"/>
      <c r="N5" s="19"/>
      <c r="O5" s="19"/>
      <c r="P5" s="18"/>
      <c r="Q5" s="18"/>
      <c r="R5" s="18"/>
      <c r="S5" s="18"/>
      <c r="T5" s="18"/>
      <c r="U5" s="18"/>
      <c r="V5" s="18"/>
      <c r="W5" s="18"/>
      <c r="X5" s="18"/>
      <c r="Y5" s="18"/>
      <c r="AB5" s="22" t="s">
        <v>1</v>
      </c>
      <c r="AC5" s="22"/>
      <c r="AU5" s="54"/>
      <c r="AW5" s="22" t="s">
        <v>1</v>
      </c>
      <c r="AX5" s="22"/>
      <c r="AY5" s="22"/>
      <c r="AZ5" s="19"/>
      <c r="BA5" s="18"/>
      <c r="BB5" s="18"/>
      <c r="BC5" s="18"/>
      <c r="BD5" s="18"/>
      <c r="BE5" s="20"/>
      <c r="BF5" s="19"/>
    </row>
    <row r="6" spans="1:62" ht="20" x14ac:dyDescent="0.4">
      <c r="A6" s="362" t="s">
        <v>18</v>
      </c>
      <c r="B6" s="362"/>
      <c r="C6" s="362"/>
      <c r="D6" s="362"/>
      <c r="E6" s="362"/>
      <c r="F6" s="362"/>
      <c r="G6" s="362"/>
      <c r="H6" s="362"/>
      <c r="I6" s="362"/>
      <c r="J6" s="362"/>
      <c r="K6" s="362"/>
      <c r="L6" s="362"/>
      <c r="M6" s="362"/>
      <c r="N6" s="362"/>
      <c r="O6" s="362"/>
      <c r="P6" s="362"/>
      <c r="Q6" s="362"/>
      <c r="R6" s="362"/>
      <c r="S6" s="362"/>
      <c r="T6" s="362"/>
      <c r="U6" s="362"/>
      <c r="V6" s="362"/>
      <c r="W6" s="362"/>
      <c r="X6" s="362"/>
      <c r="Y6" s="362"/>
      <c r="AF6" s="362" t="s">
        <v>16</v>
      </c>
      <c r="AG6" s="362"/>
      <c r="AH6" s="362"/>
      <c r="AI6" s="362"/>
      <c r="AJ6" s="362"/>
      <c r="AK6" s="362"/>
      <c r="AL6" s="362"/>
      <c r="AM6" s="362"/>
      <c r="AN6" s="362"/>
      <c r="AO6" s="24"/>
      <c r="AP6" s="24"/>
      <c r="AQ6" s="24"/>
      <c r="AR6" s="24"/>
      <c r="AS6" s="24"/>
      <c r="AT6" s="24"/>
      <c r="AY6" s="362" t="s">
        <v>30</v>
      </c>
      <c r="AZ6" s="362"/>
      <c r="BA6" s="362"/>
      <c r="BB6" s="362"/>
      <c r="BC6" s="362"/>
      <c r="BD6" s="362"/>
      <c r="BE6" s="362"/>
      <c r="BF6" s="362"/>
      <c r="BG6" s="362"/>
      <c r="BH6" s="362"/>
      <c r="BI6" s="362"/>
    </row>
    <row r="7" spans="1:62" ht="20.5" thickBot="1" x14ac:dyDescent="0.45">
      <c r="A7" s="363" t="s">
        <v>27</v>
      </c>
      <c r="B7" s="364"/>
      <c r="C7" s="364"/>
      <c r="D7" s="364"/>
      <c r="E7" s="363"/>
      <c r="F7" s="363"/>
      <c r="G7" s="363"/>
      <c r="H7" s="363"/>
      <c r="I7" s="363"/>
      <c r="J7" s="363"/>
      <c r="K7" s="363"/>
      <c r="L7" s="363"/>
      <c r="M7" s="363"/>
      <c r="N7" s="363"/>
      <c r="O7" s="363"/>
      <c r="P7" s="363"/>
      <c r="Q7" s="363"/>
      <c r="R7" s="363"/>
      <c r="S7" s="363"/>
      <c r="T7" s="364"/>
      <c r="U7" s="364"/>
      <c r="V7" s="364"/>
      <c r="W7" s="364"/>
      <c r="X7" s="364"/>
      <c r="Y7" s="364"/>
      <c r="AJ7" s="25" t="s">
        <v>31</v>
      </c>
      <c r="AK7" s="25"/>
      <c r="AL7" s="25"/>
      <c r="AN7" s="25"/>
      <c r="AO7" s="25"/>
      <c r="AP7" s="25"/>
      <c r="AQ7" s="25"/>
      <c r="AS7" s="25"/>
      <c r="AT7" s="25"/>
      <c r="BC7" s="25" t="s">
        <v>31</v>
      </c>
      <c r="BD7" s="25"/>
      <c r="BF7" s="25"/>
      <c r="BG7" s="25"/>
      <c r="BH7" s="25"/>
      <c r="BI7" s="25"/>
      <c r="BJ7" s="25"/>
    </row>
    <row r="8" spans="1:62" ht="41.5" customHeight="1" x14ac:dyDescent="0.35">
      <c r="A8" s="326" t="s">
        <v>24</v>
      </c>
      <c r="B8" s="365" t="s">
        <v>25</v>
      </c>
      <c r="C8" s="366" t="s">
        <v>11</v>
      </c>
      <c r="D8" s="366" t="s">
        <v>15</v>
      </c>
      <c r="E8" s="330" t="s">
        <v>5</v>
      </c>
      <c r="F8" s="330"/>
      <c r="G8" s="330"/>
      <c r="H8" s="330"/>
      <c r="I8" s="330"/>
      <c r="J8" s="330"/>
      <c r="K8" s="330" t="s">
        <v>7</v>
      </c>
      <c r="L8" s="330"/>
      <c r="M8" s="330"/>
      <c r="N8" s="330"/>
      <c r="O8" s="330"/>
      <c r="P8" s="330"/>
      <c r="Q8" s="356" t="s">
        <v>2</v>
      </c>
      <c r="R8" s="350"/>
      <c r="S8" s="358" t="s">
        <v>12</v>
      </c>
      <c r="T8" s="323" t="s">
        <v>8</v>
      </c>
      <c r="U8" s="323"/>
      <c r="V8" s="323" t="s">
        <v>9</v>
      </c>
      <c r="W8" s="323"/>
      <c r="X8" s="323" t="s">
        <v>20</v>
      </c>
      <c r="Y8" s="323"/>
      <c r="AB8" s="326" t="s">
        <v>24</v>
      </c>
      <c r="AC8" s="342" t="s">
        <v>28</v>
      </c>
      <c r="AD8" s="342" t="s">
        <v>14</v>
      </c>
      <c r="AE8" s="345" t="s">
        <v>45</v>
      </c>
      <c r="AF8" s="346"/>
      <c r="AG8" s="349" t="s">
        <v>10</v>
      </c>
      <c r="AH8" s="350"/>
      <c r="AI8" s="353" t="s">
        <v>46</v>
      </c>
      <c r="AJ8" s="336" t="s">
        <v>51</v>
      </c>
      <c r="AK8" s="336" t="s">
        <v>47</v>
      </c>
      <c r="AM8" s="339" t="s">
        <v>41</v>
      </c>
      <c r="AN8" s="341" t="s">
        <v>38</v>
      </c>
      <c r="AO8" s="341" t="s">
        <v>14</v>
      </c>
      <c r="AP8" s="341" t="s">
        <v>39</v>
      </c>
      <c r="AQ8" s="341"/>
      <c r="AR8" s="341" t="s">
        <v>50</v>
      </c>
      <c r="AS8" s="341"/>
      <c r="AT8" s="324" t="s">
        <v>40</v>
      </c>
      <c r="AU8" s="55"/>
      <c r="AW8" s="326" t="s">
        <v>28</v>
      </c>
      <c r="AX8" s="329" t="s">
        <v>48</v>
      </c>
      <c r="AY8" s="330"/>
      <c r="AZ8" s="330"/>
      <c r="BA8" s="330"/>
      <c r="BB8" s="330"/>
      <c r="BC8" s="331"/>
      <c r="BD8" s="332" t="s">
        <v>49</v>
      </c>
      <c r="BE8" s="330"/>
      <c r="BF8" s="330"/>
      <c r="BG8" s="330"/>
      <c r="BH8" s="330"/>
      <c r="BI8" s="331"/>
    </row>
    <row r="9" spans="1:62" ht="19.149999999999999" customHeight="1" x14ac:dyDescent="0.35">
      <c r="A9" s="327"/>
      <c r="B9" s="365"/>
      <c r="C9" s="366"/>
      <c r="D9" s="366"/>
      <c r="E9" s="333" t="s">
        <v>6</v>
      </c>
      <c r="F9" s="334"/>
      <c r="G9" s="335" t="s">
        <v>13</v>
      </c>
      <c r="H9" s="334"/>
      <c r="I9" s="323" t="s">
        <v>19</v>
      </c>
      <c r="J9" s="323"/>
      <c r="K9" s="333" t="s">
        <v>6</v>
      </c>
      <c r="L9" s="334"/>
      <c r="M9" s="335" t="s">
        <v>13</v>
      </c>
      <c r="N9" s="334"/>
      <c r="O9" s="323" t="s">
        <v>19</v>
      </c>
      <c r="P9" s="323"/>
      <c r="Q9" s="357"/>
      <c r="R9" s="352"/>
      <c r="S9" s="359"/>
      <c r="T9" s="323"/>
      <c r="U9" s="323"/>
      <c r="V9" s="323"/>
      <c r="W9" s="323"/>
      <c r="X9" s="323"/>
      <c r="Y9" s="323"/>
      <c r="AB9" s="327"/>
      <c r="AC9" s="343"/>
      <c r="AD9" s="343"/>
      <c r="AE9" s="347"/>
      <c r="AF9" s="348"/>
      <c r="AG9" s="351"/>
      <c r="AH9" s="352"/>
      <c r="AI9" s="354"/>
      <c r="AJ9" s="337"/>
      <c r="AK9" s="337"/>
      <c r="AM9" s="340"/>
      <c r="AN9" s="323"/>
      <c r="AO9" s="323"/>
      <c r="AP9" s="8" t="s">
        <v>3</v>
      </c>
      <c r="AQ9" s="8" t="s">
        <v>4</v>
      </c>
      <c r="AR9" s="43" t="s">
        <v>3</v>
      </c>
      <c r="AS9" s="43" t="s">
        <v>4</v>
      </c>
      <c r="AT9" s="325"/>
      <c r="AU9" s="55"/>
      <c r="AW9" s="327"/>
      <c r="AX9" s="314" t="s">
        <v>17</v>
      </c>
      <c r="AY9" s="314" t="s">
        <v>11</v>
      </c>
      <c r="AZ9" s="314" t="s">
        <v>32</v>
      </c>
      <c r="BA9" s="314" t="s">
        <v>37</v>
      </c>
      <c r="BB9" s="314" t="s">
        <v>34</v>
      </c>
      <c r="BC9" s="314" t="s">
        <v>12</v>
      </c>
      <c r="BD9" s="314" t="s">
        <v>33</v>
      </c>
      <c r="BE9" s="314" t="s">
        <v>11</v>
      </c>
      <c r="BF9" s="314" t="s">
        <v>35</v>
      </c>
      <c r="BG9" s="314" t="s">
        <v>37</v>
      </c>
      <c r="BH9" s="314" t="s">
        <v>34</v>
      </c>
      <c r="BI9" s="314" t="s">
        <v>12</v>
      </c>
    </row>
    <row r="10" spans="1:62" ht="53.5" customHeight="1" thickBot="1" x14ac:dyDescent="0.4">
      <c r="A10" s="328"/>
      <c r="B10" s="365"/>
      <c r="C10" s="366"/>
      <c r="D10" s="366"/>
      <c r="E10" s="7" t="s">
        <v>3</v>
      </c>
      <c r="F10" s="8" t="s">
        <v>4</v>
      </c>
      <c r="G10" s="7" t="s">
        <v>3</v>
      </c>
      <c r="H10" s="8" t="s">
        <v>4</v>
      </c>
      <c r="I10" s="8" t="s">
        <v>3</v>
      </c>
      <c r="J10" s="8" t="s">
        <v>4</v>
      </c>
      <c r="K10" s="7" t="s">
        <v>3</v>
      </c>
      <c r="L10" s="8" t="s">
        <v>4</v>
      </c>
      <c r="M10" s="7" t="s">
        <v>3</v>
      </c>
      <c r="N10" s="8" t="s">
        <v>4</v>
      </c>
      <c r="O10" s="8" t="s">
        <v>3</v>
      </c>
      <c r="P10" s="8" t="s">
        <v>4</v>
      </c>
      <c r="Q10" s="9" t="s">
        <v>3</v>
      </c>
      <c r="R10" s="9" t="s">
        <v>4</v>
      </c>
      <c r="S10" s="360"/>
      <c r="T10" s="8" t="s">
        <v>3</v>
      </c>
      <c r="U10" s="8" t="s">
        <v>4</v>
      </c>
      <c r="V10" s="8" t="s">
        <v>3</v>
      </c>
      <c r="W10" s="8" t="s">
        <v>4</v>
      </c>
      <c r="X10" s="8" t="s">
        <v>3</v>
      </c>
      <c r="Y10" s="8" t="s">
        <v>4</v>
      </c>
      <c r="AB10" s="361"/>
      <c r="AC10" s="344"/>
      <c r="AD10" s="344"/>
      <c r="AE10" s="49" t="s">
        <v>3</v>
      </c>
      <c r="AF10" s="50" t="s">
        <v>4</v>
      </c>
      <c r="AG10" s="51" t="s">
        <v>3</v>
      </c>
      <c r="AH10" s="52" t="s">
        <v>4</v>
      </c>
      <c r="AI10" s="355"/>
      <c r="AJ10" s="338"/>
      <c r="AK10" s="338"/>
      <c r="AM10" s="340"/>
      <c r="AN10" s="42" t="str">
        <f>'10'!AN10</f>
        <v>0124W120</v>
      </c>
      <c r="AO10" s="42">
        <f>'10'!AT10</f>
        <v>48</v>
      </c>
      <c r="AP10" s="42"/>
      <c r="AQ10" s="17">
        <f>AP10+'10'!AQ10</f>
        <v>73</v>
      </c>
      <c r="AR10" s="17"/>
      <c r="AS10" s="17">
        <f>AR10+'10'!AS10</f>
        <v>25</v>
      </c>
      <c r="AT10" s="44">
        <f>AO10+AP10-AR10</f>
        <v>48</v>
      </c>
      <c r="AU10" s="56"/>
      <c r="AW10" s="328"/>
      <c r="AX10" s="315"/>
      <c r="AY10" s="315"/>
      <c r="AZ10" s="315"/>
      <c r="BA10" s="315"/>
      <c r="BB10" s="315"/>
      <c r="BC10" s="315"/>
      <c r="BD10" s="315"/>
      <c r="BE10" s="315"/>
      <c r="BF10" s="315"/>
      <c r="BG10" s="315"/>
      <c r="BH10" s="315"/>
      <c r="BI10" s="315"/>
    </row>
    <row r="11" spans="1:62" ht="41.5" customHeight="1" x14ac:dyDescent="0.35">
      <c r="A11" s="5">
        <v>1</v>
      </c>
      <c r="B11" s="26" t="str">
        <f>'10'!B11</f>
        <v>مكتب الصحة</v>
      </c>
      <c r="C11" s="26">
        <f>'10'!C11</f>
        <v>12251</v>
      </c>
      <c r="D11" s="26"/>
      <c r="E11" s="12"/>
      <c r="F11" s="2">
        <f>E11+'10'!F11</f>
        <v>39</v>
      </c>
      <c r="G11" s="2"/>
      <c r="H11" s="2">
        <f>G11+'10'!H11</f>
        <v>1961</v>
      </c>
      <c r="I11" s="2"/>
      <c r="J11" s="2">
        <f>I11+'10'!J11</f>
        <v>5340</v>
      </c>
      <c r="K11" s="2"/>
      <c r="L11" s="2">
        <f>K11+'10'!L11</f>
        <v>0</v>
      </c>
      <c r="M11" s="2"/>
      <c r="N11" s="2">
        <f>M11+'10'!N11</f>
        <v>0</v>
      </c>
      <c r="O11" s="2"/>
      <c r="P11" s="2">
        <f>O11+'10'!P11</f>
        <v>0</v>
      </c>
      <c r="Q11" s="4">
        <f>O11+M11+K11+I11+G11+E11</f>
        <v>0</v>
      </c>
      <c r="R11" s="4">
        <f>Q11+'10'!R11</f>
        <v>7340</v>
      </c>
      <c r="S11" s="27">
        <f>R11/C11</f>
        <v>0.5991347645090197</v>
      </c>
      <c r="T11" s="12"/>
      <c r="U11" s="12">
        <f>T11+'10'!U11</f>
        <v>1397</v>
      </c>
      <c r="V11" s="12"/>
      <c r="W11" s="12">
        <f>V11+'10'!W11</f>
        <v>4</v>
      </c>
      <c r="X11" s="12"/>
      <c r="Y11" s="12">
        <f>X11+'10'!Y11</f>
        <v>1</v>
      </c>
      <c r="AB11" s="48">
        <v>1</v>
      </c>
      <c r="AC11" s="26" t="str">
        <f>'10'!AC11</f>
        <v>مكتب الصحة</v>
      </c>
      <c r="AD11" s="28">
        <f>'10'!AI11</f>
        <v>333</v>
      </c>
      <c r="AE11" s="3"/>
      <c r="AF11" s="28">
        <f>AE11+'10'!AF11</f>
        <v>1082</v>
      </c>
      <c r="AG11" s="4"/>
      <c r="AH11" s="28">
        <f>AG11+'10'!AH11</f>
        <v>749</v>
      </c>
      <c r="AI11" s="4">
        <f>AD11+AE11-AG11</f>
        <v>333</v>
      </c>
      <c r="AJ11" s="11" t="e">
        <f t="shared" ref="AJ11:AJ51" si="0">Q11/AG11</f>
        <v>#DIV/0!</v>
      </c>
      <c r="AK11" s="53">
        <f t="shared" ref="AK11:AK51" si="1">R11/AH11</f>
        <v>9.799732977303071</v>
      </c>
      <c r="AM11" s="340"/>
      <c r="AN11" s="42" t="str">
        <f>'10'!AN11</f>
        <v>420604325A</v>
      </c>
      <c r="AO11" s="42">
        <f>'10'!AT11</f>
        <v>3076</v>
      </c>
      <c r="AP11" s="16"/>
      <c r="AQ11" s="17">
        <f>AP11+'10'!AQ11</f>
        <v>8550</v>
      </c>
      <c r="AR11" s="16"/>
      <c r="AS11" s="17">
        <f>AR11+'10'!AS11</f>
        <v>5474</v>
      </c>
      <c r="AT11" s="44">
        <f>AO11+AP11-AR11</f>
        <v>3076</v>
      </c>
      <c r="AU11" s="56"/>
      <c r="AW11" s="26" t="str">
        <f>'10'!AW11</f>
        <v>مكتب الصحة</v>
      </c>
      <c r="AX11" s="12">
        <f>'10'!AX11</f>
        <v>11</v>
      </c>
      <c r="AY11" s="12">
        <f>'10'!AY11</f>
        <v>8411</v>
      </c>
      <c r="AZ11" s="12"/>
      <c r="BA11" s="12"/>
      <c r="BB11" s="12">
        <f>BA11+'10'!BB11</f>
        <v>5998</v>
      </c>
      <c r="BC11" s="30">
        <f t="shared" ref="BC11:BC51" si="2">BB11/AY11</f>
        <v>0.71311377957436695</v>
      </c>
      <c r="BD11" s="12">
        <f>'10'!BD11</f>
        <v>27</v>
      </c>
      <c r="BE11" s="12">
        <f>'10'!BE11</f>
        <v>1746</v>
      </c>
      <c r="BF11" s="12"/>
      <c r="BG11" s="12"/>
      <c r="BH11" s="12">
        <f>BG11+'10'!BH11</f>
        <v>477</v>
      </c>
      <c r="BI11" s="30">
        <f t="shared" ref="BI11:BI51" si="3">BH11/BE11</f>
        <v>0.27319587628865977</v>
      </c>
    </row>
    <row r="12" spans="1:62" ht="41.5" customHeight="1" x14ac:dyDescent="0.35">
      <c r="A12" s="5">
        <v>2</v>
      </c>
      <c r="B12" s="26" t="str">
        <f>'10'!B12</f>
        <v>شبرابخـــــــــــوم</v>
      </c>
      <c r="C12" s="26">
        <f>'10'!C12</f>
        <v>4445</v>
      </c>
      <c r="D12" s="26"/>
      <c r="E12" s="12"/>
      <c r="F12" s="2">
        <f>E12+'10'!F12</f>
        <v>14</v>
      </c>
      <c r="G12" s="2"/>
      <c r="H12" s="2">
        <f>G12+'10'!H12</f>
        <v>392</v>
      </c>
      <c r="I12" s="2"/>
      <c r="J12" s="2">
        <f>I12+'10'!J12</f>
        <v>1857</v>
      </c>
      <c r="K12" s="2"/>
      <c r="L12" s="2">
        <f>K12+'10'!L12</f>
        <v>0</v>
      </c>
      <c r="M12" s="2"/>
      <c r="N12" s="2">
        <f>M12+'10'!N12</f>
        <v>0</v>
      </c>
      <c r="O12" s="2"/>
      <c r="P12" s="2">
        <f>O12+'10'!P12</f>
        <v>0</v>
      </c>
      <c r="Q12" s="4">
        <f t="shared" ref="Q12:Q50" si="4">O12+M12+K12+I12+G12+E12</f>
        <v>0</v>
      </c>
      <c r="R12" s="4">
        <f>Q12+'10'!R12</f>
        <v>2263</v>
      </c>
      <c r="S12" s="27">
        <f t="shared" ref="S12:S50" si="5">R12/C12</f>
        <v>0.50911136107986499</v>
      </c>
      <c r="T12" s="12"/>
      <c r="U12" s="12">
        <f>T12+'10'!U12</f>
        <v>373</v>
      </c>
      <c r="V12" s="12"/>
      <c r="W12" s="12">
        <f>V12+'10'!W12</f>
        <v>15</v>
      </c>
      <c r="X12" s="12"/>
      <c r="Y12" s="12">
        <f>X12+'10'!Y12</f>
        <v>0</v>
      </c>
      <c r="AB12" s="5">
        <v>2</v>
      </c>
      <c r="AC12" s="26" t="str">
        <f>'10'!AC12</f>
        <v>شبرابخـــــــــــوم</v>
      </c>
      <c r="AD12" s="28">
        <f>'10'!AI12</f>
        <v>158</v>
      </c>
      <c r="AE12" s="3"/>
      <c r="AF12" s="28">
        <f>AE12+'10'!AF12</f>
        <v>390</v>
      </c>
      <c r="AG12" s="4"/>
      <c r="AH12" s="28">
        <f>AG12+'10'!AH12</f>
        <v>232</v>
      </c>
      <c r="AI12" s="4">
        <f>AD12+AE12-AG12</f>
        <v>158</v>
      </c>
      <c r="AJ12" s="11" t="e">
        <f t="shared" si="0"/>
        <v>#DIV/0!</v>
      </c>
      <c r="AK12" s="53">
        <f t="shared" si="1"/>
        <v>9.7543103448275854</v>
      </c>
      <c r="AM12" s="340"/>
      <c r="AN12" s="42" t="str">
        <f>'10'!AN12</f>
        <v>420604225A</v>
      </c>
      <c r="AO12" s="42">
        <f>'10'!AT12</f>
        <v>100</v>
      </c>
      <c r="AP12" s="16"/>
      <c r="AQ12" s="17">
        <f>AP12+'10'!AQ12</f>
        <v>100</v>
      </c>
      <c r="AR12" s="16"/>
      <c r="AS12" s="17">
        <f>AR12+'10'!AS12</f>
        <v>0</v>
      </c>
      <c r="AT12" s="44">
        <f>AO12+AP12-AR12</f>
        <v>100</v>
      </c>
      <c r="AU12" s="56"/>
      <c r="AW12" s="26" t="str">
        <f>'10'!AW12</f>
        <v>شبرابخـــــــــــوم</v>
      </c>
      <c r="AX12" s="12">
        <f>'10'!AX12</f>
        <v>6</v>
      </c>
      <c r="AY12" s="12">
        <f>'10'!AY12</f>
        <v>2215</v>
      </c>
      <c r="AZ12" s="12"/>
      <c r="BA12" s="12"/>
      <c r="BB12" s="12">
        <f>BA12+'10'!BB12</f>
        <v>2306</v>
      </c>
      <c r="BC12" s="30">
        <f t="shared" si="2"/>
        <v>1.0410835214446952</v>
      </c>
      <c r="BD12" s="12">
        <f>'10'!BD12</f>
        <v>16</v>
      </c>
      <c r="BE12" s="12">
        <f>'10'!BE12</f>
        <v>729</v>
      </c>
      <c r="BF12" s="12"/>
      <c r="BG12" s="12"/>
      <c r="BH12" s="12">
        <f>BG12+'10'!BH12</f>
        <v>224</v>
      </c>
      <c r="BI12" s="30">
        <f t="shared" si="3"/>
        <v>0.30727023319615915</v>
      </c>
    </row>
    <row r="13" spans="1:62" ht="41.5" customHeight="1" x14ac:dyDescent="0.35">
      <c r="A13" s="5">
        <v>3</v>
      </c>
      <c r="B13" s="26" t="str">
        <f>'10'!B13</f>
        <v>ميت بره</v>
      </c>
      <c r="C13" s="26">
        <f>'10'!C13</f>
        <v>11614</v>
      </c>
      <c r="D13" s="26"/>
      <c r="E13" s="12"/>
      <c r="F13" s="2">
        <f>E13+'10'!F13</f>
        <v>45</v>
      </c>
      <c r="G13" s="2"/>
      <c r="H13" s="2">
        <f>G13+'10'!H13</f>
        <v>465</v>
      </c>
      <c r="I13" s="2"/>
      <c r="J13" s="2">
        <f>I13+'10'!J13</f>
        <v>3703</v>
      </c>
      <c r="K13" s="2"/>
      <c r="L13" s="2">
        <f>K13+'10'!L13</f>
        <v>0</v>
      </c>
      <c r="M13" s="2"/>
      <c r="N13" s="2">
        <f>M13+'10'!N13</f>
        <v>0</v>
      </c>
      <c r="O13" s="2"/>
      <c r="P13" s="2">
        <f>O13+'10'!P13</f>
        <v>0</v>
      </c>
      <c r="Q13" s="4">
        <f t="shared" si="4"/>
        <v>0</v>
      </c>
      <c r="R13" s="4">
        <f>Q13+'10'!R13</f>
        <v>4213</v>
      </c>
      <c r="S13" s="27">
        <f t="shared" si="5"/>
        <v>0.36275185121405201</v>
      </c>
      <c r="T13" s="12"/>
      <c r="U13" s="12">
        <f>T13+'10'!U13</f>
        <v>641</v>
      </c>
      <c r="V13" s="12"/>
      <c r="W13" s="12">
        <f>V13+'10'!W13</f>
        <v>0</v>
      </c>
      <c r="X13" s="12"/>
      <c r="Y13" s="12">
        <f>X13+'10'!Y13</f>
        <v>0</v>
      </c>
      <c r="AB13" s="5">
        <v>3</v>
      </c>
      <c r="AC13" s="26" t="str">
        <f>'10'!AC13</f>
        <v>ميت بره</v>
      </c>
      <c r="AD13" s="28">
        <f>'10'!AI13</f>
        <v>584</v>
      </c>
      <c r="AE13" s="3"/>
      <c r="AF13" s="28">
        <f>AE13+'10'!AF13</f>
        <v>1020</v>
      </c>
      <c r="AG13" s="4"/>
      <c r="AH13" s="28">
        <f>AG13+'10'!AH13</f>
        <v>436</v>
      </c>
      <c r="AI13" s="4">
        <f t="shared" ref="AI13:AI50" si="6">AD13+AE13-AG13</f>
        <v>584</v>
      </c>
      <c r="AJ13" s="11" t="e">
        <f t="shared" si="0"/>
        <v>#DIV/0!</v>
      </c>
      <c r="AK13" s="53">
        <f t="shared" si="1"/>
        <v>9.6628440366972477</v>
      </c>
      <c r="AM13" s="340"/>
      <c r="AN13" s="46" t="s">
        <v>43</v>
      </c>
      <c r="AO13" s="45">
        <f t="shared" ref="AO13:AT13" si="7">SUM(AO10:AO12)</f>
        <v>3224</v>
      </c>
      <c r="AP13" s="45">
        <f t="shared" si="7"/>
        <v>0</v>
      </c>
      <c r="AQ13" s="45">
        <f t="shared" si="7"/>
        <v>8723</v>
      </c>
      <c r="AR13" s="45">
        <f t="shared" si="7"/>
        <v>0</v>
      </c>
      <c r="AS13" s="45">
        <f t="shared" si="7"/>
        <v>5499</v>
      </c>
      <c r="AT13" s="47">
        <f t="shared" si="7"/>
        <v>3224</v>
      </c>
      <c r="AU13" s="56"/>
      <c r="AW13" s="26" t="str">
        <f>'10'!AW13</f>
        <v>ميت بره</v>
      </c>
      <c r="AX13" s="12">
        <f>'10'!AX13</f>
        <v>8</v>
      </c>
      <c r="AY13" s="12">
        <f>'10'!AY13</f>
        <v>4849</v>
      </c>
      <c r="AZ13" s="12"/>
      <c r="BA13" s="12"/>
      <c r="BB13" s="12">
        <f>BA13+'10'!BB13</f>
        <v>4093</v>
      </c>
      <c r="BC13" s="30">
        <f t="shared" si="2"/>
        <v>0.84409156527118989</v>
      </c>
      <c r="BD13" s="12">
        <f>'10'!BD13</f>
        <v>21</v>
      </c>
      <c r="BE13" s="12">
        <f>'10'!BE13</f>
        <v>1129</v>
      </c>
      <c r="BF13" s="12"/>
      <c r="BG13" s="12"/>
      <c r="BH13" s="12">
        <f>BG13+'10'!BH13</f>
        <v>128</v>
      </c>
      <c r="BI13" s="30">
        <f t="shared" si="3"/>
        <v>0.11337466784765279</v>
      </c>
    </row>
    <row r="14" spans="1:62" ht="41.5" customHeight="1" thickBot="1" x14ac:dyDescent="0.4">
      <c r="A14" s="5">
        <v>4</v>
      </c>
      <c r="B14" s="26" t="str">
        <f>'10'!B14</f>
        <v>أبنــــــــــــــــهس</v>
      </c>
      <c r="C14" s="26">
        <f>'10'!C14</f>
        <v>5029</v>
      </c>
      <c r="D14" s="26"/>
      <c r="E14" s="12"/>
      <c r="F14" s="2">
        <f>E14+'10'!F14</f>
        <v>14</v>
      </c>
      <c r="G14" s="2"/>
      <c r="H14" s="2">
        <f>G14+'10'!H14</f>
        <v>349</v>
      </c>
      <c r="I14" s="2"/>
      <c r="J14" s="2">
        <f>I14+'10'!J14</f>
        <v>2016</v>
      </c>
      <c r="K14" s="2"/>
      <c r="L14" s="2">
        <f>K14+'10'!L14</f>
        <v>0</v>
      </c>
      <c r="M14" s="2"/>
      <c r="N14" s="2">
        <f>M14+'10'!N14</f>
        <v>0</v>
      </c>
      <c r="O14" s="2"/>
      <c r="P14" s="2">
        <f>O14+'10'!P14</f>
        <v>0</v>
      </c>
      <c r="Q14" s="4">
        <f t="shared" si="4"/>
        <v>0</v>
      </c>
      <c r="R14" s="4">
        <f>Q14+'10'!R14</f>
        <v>2379</v>
      </c>
      <c r="S14" s="27">
        <f t="shared" si="5"/>
        <v>0.47305627361304436</v>
      </c>
      <c r="T14" s="12"/>
      <c r="U14" s="12">
        <f>T14+'10'!U14</f>
        <v>341</v>
      </c>
      <c r="V14" s="12"/>
      <c r="W14" s="12">
        <f>V14+'10'!W14</f>
        <v>29</v>
      </c>
      <c r="X14" s="12"/>
      <c r="Y14" s="12">
        <f>X14+'10'!Y14</f>
        <v>0</v>
      </c>
      <c r="AB14" s="5">
        <v>4</v>
      </c>
      <c r="AC14" s="26" t="str">
        <f>'10'!AC14</f>
        <v>أبنــــــــــــــــهس</v>
      </c>
      <c r="AD14" s="28">
        <f>'10'!AI14</f>
        <v>196</v>
      </c>
      <c r="AE14" s="3"/>
      <c r="AF14" s="28">
        <f>AE14+'10'!AF14</f>
        <v>440</v>
      </c>
      <c r="AG14" s="4"/>
      <c r="AH14" s="28">
        <f>AG14+'10'!AH14</f>
        <v>244</v>
      </c>
      <c r="AI14" s="4">
        <f t="shared" si="6"/>
        <v>196</v>
      </c>
      <c r="AJ14" s="11" t="e">
        <f t="shared" si="0"/>
        <v>#DIV/0!</v>
      </c>
      <c r="AK14" s="53">
        <f t="shared" si="1"/>
        <v>9.75</v>
      </c>
      <c r="AM14" s="316" t="s">
        <v>42</v>
      </c>
      <c r="AN14" s="317"/>
      <c r="AO14" s="318"/>
      <c r="AP14" s="319"/>
      <c r="AQ14" s="319"/>
      <c r="AR14" s="319"/>
      <c r="AS14" s="320"/>
      <c r="AT14" s="39">
        <f>AT13+AI51</f>
        <v>6357</v>
      </c>
      <c r="AU14" s="57"/>
      <c r="AW14" s="26" t="str">
        <f>'10'!AW14</f>
        <v>أبنــــــــــــــــهس</v>
      </c>
      <c r="AX14" s="12">
        <f>'10'!AX14</f>
        <v>7</v>
      </c>
      <c r="AY14" s="12">
        <f>'10'!AY14</f>
        <v>2531</v>
      </c>
      <c r="AZ14" s="12"/>
      <c r="BA14" s="12"/>
      <c r="BB14" s="12">
        <f>BA14+'10'!BB14</f>
        <v>2092</v>
      </c>
      <c r="BC14" s="30">
        <f t="shared" si="2"/>
        <v>0.82655077044646386</v>
      </c>
      <c r="BD14" s="12">
        <f>'10'!BD14</f>
        <v>23</v>
      </c>
      <c r="BE14" s="12">
        <f>'10'!BE14</f>
        <v>921</v>
      </c>
      <c r="BF14" s="12"/>
      <c r="BG14" s="12"/>
      <c r="BH14" s="12">
        <f>BG14+'10'!BH14</f>
        <v>287</v>
      </c>
      <c r="BI14" s="30">
        <f t="shared" si="3"/>
        <v>0.31161780673181327</v>
      </c>
    </row>
    <row r="15" spans="1:62" ht="41.5" customHeight="1" x14ac:dyDescent="0.35">
      <c r="A15" s="5">
        <v>5</v>
      </c>
      <c r="B15" s="26" t="str">
        <f>'10'!B15</f>
        <v>ميت ســـــــــراج</v>
      </c>
      <c r="C15" s="26">
        <f>'10'!C15</f>
        <v>2369</v>
      </c>
      <c r="D15" s="26"/>
      <c r="E15" s="12"/>
      <c r="F15" s="2">
        <f>E15+'10'!F15</f>
        <v>4</v>
      </c>
      <c r="G15" s="2"/>
      <c r="H15" s="2">
        <f>G15+'10'!H15</f>
        <v>472</v>
      </c>
      <c r="I15" s="2"/>
      <c r="J15" s="2">
        <f>I15+'10'!J15</f>
        <v>839</v>
      </c>
      <c r="K15" s="2"/>
      <c r="L15" s="2">
        <f>K15+'10'!L15</f>
        <v>0</v>
      </c>
      <c r="M15" s="2"/>
      <c r="N15" s="2">
        <f>M15+'10'!N15</f>
        <v>0</v>
      </c>
      <c r="O15" s="2"/>
      <c r="P15" s="2">
        <f>O15+'10'!P15</f>
        <v>0</v>
      </c>
      <c r="Q15" s="4">
        <f t="shared" si="4"/>
        <v>0</v>
      </c>
      <c r="R15" s="4">
        <f>Q15+'10'!R15</f>
        <v>1315</v>
      </c>
      <c r="S15" s="27">
        <f t="shared" si="5"/>
        <v>0.55508653440270161</v>
      </c>
      <c r="T15" s="12"/>
      <c r="U15" s="12">
        <f>T15+'10'!U15</f>
        <v>105</v>
      </c>
      <c r="V15" s="12"/>
      <c r="W15" s="12">
        <f>V15+'10'!W15</f>
        <v>37</v>
      </c>
      <c r="X15" s="12"/>
      <c r="Y15" s="12">
        <f>X15+'10'!Y15</f>
        <v>0</v>
      </c>
      <c r="AB15" s="5">
        <v>5</v>
      </c>
      <c r="AC15" s="26" t="str">
        <f>'10'!AC15</f>
        <v>ميت ســـــــــراج</v>
      </c>
      <c r="AD15" s="28">
        <f>'10'!AI15</f>
        <v>74</v>
      </c>
      <c r="AE15" s="3"/>
      <c r="AF15" s="28">
        <f>AE15+'10'!AF15</f>
        <v>209</v>
      </c>
      <c r="AG15" s="4"/>
      <c r="AH15" s="28">
        <f>AG15+'10'!AH15</f>
        <v>135</v>
      </c>
      <c r="AI15" s="4">
        <f t="shared" si="6"/>
        <v>74</v>
      </c>
      <c r="AJ15" s="11" t="e">
        <f t="shared" si="0"/>
        <v>#DIV/0!</v>
      </c>
      <c r="AK15" s="53">
        <f t="shared" si="1"/>
        <v>9.7407407407407405</v>
      </c>
      <c r="AW15" s="26" t="str">
        <f>'10'!AW15</f>
        <v>ميت ســـــــــراج</v>
      </c>
      <c r="AX15" s="12">
        <f>'10'!AX15</f>
        <v>2</v>
      </c>
      <c r="AY15" s="12">
        <f>'10'!AY15</f>
        <v>1041</v>
      </c>
      <c r="AZ15" s="12"/>
      <c r="BA15" s="12"/>
      <c r="BB15" s="12">
        <f>BA15+'10'!BB15</f>
        <v>874</v>
      </c>
      <c r="BC15" s="30">
        <f t="shared" si="2"/>
        <v>0.83957732949087416</v>
      </c>
      <c r="BD15" s="12">
        <f>'10'!BD15</f>
        <v>5</v>
      </c>
      <c r="BE15" s="12">
        <f>'10'!BE15</f>
        <v>310</v>
      </c>
      <c r="BF15" s="12"/>
      <c r="BG15" s="12"/>
      <c r="BH15" s="12">
        <f>BG15+'10'!BH15</f>
        <v>385</v>
      </c>
      <c r="BI15" s="30">
        <f t="shared" si="3"/>
        <v>1.2419354838709677</v>
      </c>
    </row>
    <row r="16" spans="1:62" ht="41.5" customHeight="1" x14ac:dyDescent="0.35">
      <c r="A16" s="5">
        <v>6</v>
      </c>
      <c r="B16" s="26" t="str">
        <f>'10'!B16</f>
        <v>أم خــــــــــــــنان</v>
      </c>
      <c r="C16" s="26">
        <f>'10'!C16</f>
        <v>4900</v>
      </c>
      <c r="D16" s="26"/>
      <c r="E16" s="12"/>
      <c r="F16" s="2">
        <f>E16+'10'!F16</f>
        <v>11</v>
      </c>
      <c r="G16" s="2"/>
      <c r="H16" s="2">
        <f>G16+'10'!H16</f>
        <v>280</v>
      </c>
      <c r="I16" s="2"/>
      <c r="J16" s="2">
        <f>I16+'10'!J16</f>
        <v>1942</v>
      </c>
      <c r="K16" s="2"/>
      <c r="L16" s="2">
        <f>K16+'10'!L16</f>
        <v>0</v>
      </c>
      <c r="M16" s="2"/>
      <c r="N16" s="2">
        <f>M16+'10'!N16</f>
        <v>0</v>
      </c>
      <c r="O16" s="2"/>
      <c r="P16" s="2">
        <f>O16+'10'!P16</f>
        <v>0</v>
      </c>
      <c r="Q16" s="4">
        <f t="shared" si="4"/>
        <v>0</v>
      </c>
      <c r="R16" s="4">
        <f>Q16+'10'!R16</f>
        <v>2233</v>
      </c>
      <c r="S16" s="27">
        <f t="shared" si="5"/>
        <v>0.45571428571428574</v>
      </c>
      <c r="T16" s="12"/>
      <c r="U16" s="12">
        <f>T16+'10'!U16</f>
        <v>375</v>
      </c>
      <c r="V16" s="12"/>
      <c r="W16" s="12">
        <f>V16+'10'!W16</f>
        <v>0</v>
      </c>
      <c r="X16" s="12"/>
      <c r="Y16" s="12">
        <f>X16+'10'!Y16</f>
        <v>0</v>
      </c>
      <c r="AB16" s="5">
        <v>6</v>
      </c>
      <c r="AC16" s="26" t="str">
        <f>'10'!AC16</f>
        <v>أم خــــــــــــــنان</v>
      </c>
      <c r="AD16" s="28">
        <f>'10'!AI16</f>
        <v>204</v>
      </c>
      <c r="AE16" s="3"/>
      <c r="AF16" s="28">
        <f>AE16+'10'!AF16</f>
        <v>430</v>
      </c>
      <c r="AG16" s="4"/>
      <c r="AH16" s="28">
        <f>AG16+'10'!AH16</f>
        <v>226</v>
      </c>
      <c r="AI16" s="4">
        <f t="shared" si="6"/>
        <v>204</v>
      </c>
      <c r="AJ16" s="11" t="e">
        <f t="shared" si="0"/>
        <v>#DIV/0!</v>
      </c>
      <c r="AK16" s="53">
        <f t="shared" si="1"/>
        <v>9.8805309734513269</v>
      </c>
      <c r="AW16" s="26" t="str">
        <f>'10'!AW16</f>
        <v>أم خــــــــــــــنان</v>
      </c>
      <c r="AX16" s="12">
        <f>'10'!AX16</f>
        <v>8</v>
      </c>
      <c r="AY16" s="12">
        <f>'10'!AY16</f>
        <v>2981</v>
      </c>
      <c r="AZ16" s="12"/>
      <c r="BA16" s="12"/>
      <c r="BB16" s="12">
        <f>BA16+'10'!BB16</f>
        <v>2132</v>
      </c>
      <c r="BC16" s="30">
        <f t="shared" si="2"/>
        <v>0.71519624287151962</v>
      </c>
      <c r="BD16" s="12">
        <f>'10'!BD16</f>
        <v>12</v>
      </c>
      <c r="BE16" s="12">
        <f>'10'!BE16</f>
        <v>1313</v>
      </c>
      <c r="BF16" s="12"/>
      <c r="BG16" s="12"/>
      <c r="BH16" s="12">
        <f>BG16+'10'!BH16</f>
        <v>0</v>
      </c>
      <c r="BI16" s="30">
        <f t="shared" si="3"/>
        <v>0</v>
      </c>
    </row>
    <row r="17" spans="1:61" ht="41.5" customHeight="1" x14ac:dyDescent="0.35">
      <c r="A17" s="5">
        <v>7</v>
      </c>
      <c r="B17" s="26" t="str">
        <f>'10'!B17</f>
        <v>أجهور الرمل</v>
      </c>
      <c r="C17" s="26">
        <f>'10'!C17</f>
        <v>3590</v>
      </c>
      <c r="D17" s="26"/>
      <c r="E17" s="12"/>
      <c r="F17" s="2">
        <f>E17+'10'!F17</f>
        <v>17</v>
      </c>
      <c r="G17" s="2"/>
      <c r="H17" s="2">
        <f>G17+'10'!H17</f>
        <v>591</v>
      </c>
      <c r="I17" s="2"/>
      <c r="J17" s="2">
        <f>I17+'10'!J17</f>
        <v>1489</v>
      </c>
      <c r="K17" s="2"/>
      <c r="L17" s="2">
        <f>K17+'10'!L17</f>
        <v>0</v>
      </c>
      <c r="M17" s="2"/>
      <c r="N17" s="2">
        <f>M17+'10'!N17</f>
        <v>0</v>
      </c>
      <c r="O17" s="2"/>
      <c r="P17" s="2">
        <f>O17+'10'!P17</f>
        <v>0</v>
      </c>
      <c r="Q17" s="4">
        <f t="shared" si="4"/>
        <v>0</v>
      </c>
      <c r="R17" s="4">
        <f>Q17+'10'!R17</f>
        <v>2097</v>
      </c>
      <c r="S17" s="27">
        <f t="shared" si="5"/>
        <v>0.58412256267409468</v>
      </c>
      <c r="T17" s="12"/>
      <c r="U17" s="12">
        <f>T17+'10'!U17</f>
        <v>360</v>
      </c>
      <c r="V17" s="12"/>
      <c r="W17" s="12">
        <f>V17+'10'!W17</f>
        <v>121</v>
      </c>
      <c r="X17" s="12"/>
      <c r="Y17" s="12">
        <f>X17+'10'!Y17</f>
        <v>0</v>
      </c>
      <c r="AB17" s="5">
        <v>7</v>
      </c>
      <c r="AC17" s="26" t="str">
        <f>'10'!AC17</f>
        <v>أجهور الرمل</v>
      </c>
      <c r="AD17" s="28">
        <f>'10'!AI17</f>
        <v>100</v>
      </c>
      <c r="AE17" s="3"/>
      <c r="AF17" s="28">
        <f>AE17+'10'!AF17</f>
        <v>316</v>
      </c>
      <c r="AG17" s="4"/>
      <c r="AH17" s="28">
        <f>AG17+'10'!AH17</f>
        <v>216</v>
      </c>
      <c r="AI17" s="4">
        <f t="shared" si="6"/>
        <v>100</v>
      </c>
      <c r="AJ17" s="11" t="e">
        <f t="shared" si="0"/>
        <v>#DIV/0!</v>
      </c>
      <c r="AK17" s="53">
        <f t="shared" si="1"/>
        <v>9.7083333333333339</v>
      </c>
      <c r="AW17" s="26" t="str">
        <f>'10'!AW17</f>
        <v>أجهور الرمل</v>
      </c>
      <c r="AX17" s="12">
        <f>'10'!AX17</f>
        <v>4</v>
      </c>
      <c r="AY17" s="12">
        <f>'10'!AY17</f>
        <v>1796</v>
      </c>
      <c r="AZ17" s="12"/>
      <c r="BA17" s="12"/>
      <c r="BB17" s="12">
        <f>BA17+'10'!BB17</f>
        <v>1422</v>
      </c>
      <c r="BC17" s="30">
        <f t="shared" si="2"/>
        <v>0.79175946547884191</v>
      </c>
      <c r="BD17" s="12">
        <f>'10'!BD17</f>
        <v>3</v>
      </c>
      <c r="BE17" s="12">
        <f>'10'!BE17</f>
        <v>100</v>
      </c>
      <c r="BF17" s="12"/>
      <c r="BG17" s="12"/>
      <c r="BH17" s="12">
        <f>BG17+'10'!BH17</f>
        <v>441</v>
      </c>
      <c r="BI17" s="30">
        <f t="shared" si="3"/>
        <v>4.41</v>
      </c>
    </row>
    <row r="18" spans="1:61" ht="41.5" customHeight="1" x14ac:dyDescent="0.35">
      <c r="A18" s="5">
        <v>8</v>
      </c>
      <c r="B18" s="26" t="str">
        <f>'10'!B18</f>
        <v>منشأة دمــــــــــلو</v>
      </c>
      <c r="C18" s="26">
        <f>'10'!C18</f>
        <v>1320</v>
      </c>
      <c r="D18" s="26"/>
      <c r="E18" s="12"/>
      <c r="F18" s="2">
        <f>E18+'10'!F18</f>
        <v>18</v>
      </c>
      <c r="G18" s="2"/>
      <c r="H18" s="2">
        <f>G18+'10'!H18</f>
        <v>528</v>
      </c>
      <c r="I18" s="2"/>
      <c r="J18" s="2">
        <f>I18+'10'!J18</f>
        <v>704</v>
      </c>
      <c r="K18" s="2"/>
      <c r="L18" s="2">
        <f>K18+'10'!L18</f>
        <v>0</v>
      </c>
      <c r="M18" s="2"/>
      <c r="N18" s="2">
        <f>M18+'10'!N18</f>
        <v>0</v>
      </c>
      <c r="O18" s="2"/>
      <c r="P18" s="2">
        <f>O18+'10'!P18</f>
        <v>0</v>
      </c>
      <c r="Q18" s="4">
        <f t="shared" si="4"/>
        <v>0</v>
      </c>
      <c r="R18" s="4">
        <f>Q18+'10'!R18</f>
        <v>1250</v>
      </c>
      <c r="S18" s="27">
        <f t="shared" si="5"/>
        <v>0.94696969696969702</v>
      </c>
      <c r="T18" s="12"/>
      <c r="U18" s="12">
        <f>T18+'10'!U18</f>
        <v>175</v>
      </c>
      <c r="V18" s="12"/>
      <c r="W18" s="12">
        <f>V18+'10'!W18</f>
        <v>38</v>
      </c>
      <c r="X18" s="12"/>
      <c r="Y18" s="12">
        <f>X18+'10'!Y18</f>
        <v>0</v>
      </c>
      <c r="AB18" s="5">
        <v>8</v>
      </c>
      <c r="AC18" s="26" t="str">
        <f>'10'!AC18</f>
        <v>منشأة دمــــــــــلو</v>
      </c>
      <c r="AD18" s="28">
        <f>'10'!AI18</f>
        <v>4</v>
      </c>
      <c r="AE18" s="3"/>
      <c r="AF18" s="28">
        <f>AE18+'10'!AF18</f>
        <v>135</v>
      </c>
      <c r="AG18" s="4"/>
      <c r="AH18" s="28">
        <f>AG18+'10'!AH18</f>
        <v>131</v>
      </c>
      <c r="AI18" s="4">
        <f t="shared" si="6"/>
        <v>4</v>
      </c>
      <c r="AJ18" s="11" t="e">
        <f t="shared" si="0"/>
        <v>#DIV/0!</v>
      </c>
      <c r="AK18" s="53">
        <f t="shared" si="1"/>
        <v>9.5419847328244281</v>
      </c>
      <c r="AW18" s="26" t="str">
        <f>'10'!AW18</f>
        <v>منشأة دمــــــــــلو</v>
      </c>
      <c r="AX18" s="12">
        <f>'10'!AX18</f>
        <v>2</v>
      </c>
      <c r="AY18" s="12">
        <f>'10'!AY18</f>
        <v>896</v>
      </c>
      <c r="AZ18" s="12"/>
      <c r="BA18" s="12"/>
      <c r="BB18" s="12">
        <f>BA18+'10'!BB18</f>
        <v>748</v>
      </c>
      <c r="BC18" s="30">
        <f t="shared" si="2"/>
        <v>0.8348214285714286</v>
      </c>
      <c r="BD18" s="12">
        <f>'10'!BD18</f>
        <v>8</v>
      </c>
      <c r="BE18" s="12">
        <f>'10'!BE18</f>
        <v>340</v>
      </c>
      <c r="BF18" s="12"/>
      <c r="BG18" s="12"/>
      <c r="BH18" s="12">
        <f>BG18+'10'!BH18</f>
        <v>328</v>
      </c>
      <c r="BI18" s="30">
        <f t="shared" si="3"/>
        <v>0.96470588235294119</v>
      </c>
    </row>
    <row r="19" spans="1:61" ht="41.5" customHeight="1" x14ac:dyDescent="0.35">
      <c r="A19" s="5">
        <v>9</v>
      </c>
      <c r="B19" s="26" t="str">
        <f>'10'!B19</f>
        <v>شـــــــــــــرانيس</v>
      </c>
      <c r="C19" s="26">
        <f>'10'!C19</f>
        <v>1414</v>
      </c>
      <c r="D19" s="26"/>
      <c r="E19" s="12"/>
      <c r="F19" s="2">
        <f>E19+'10'!F19</f>
        <v>11</v>
      </c>
      <c r="G19" s="2"/>
      <c r="H19" s="2">
        <f>G19+'10'!H19</f>
        <v>359</v>
      </c>
      <c r="I19" s="2"/>
      <c r="J19" s="2">
        <f>I19+'10'!J19</f>
        <v>618</v>
      </c>
      <c r="K19" s="2"/>
      <c r="L19" s="2">
        <f>K19+'10'!L19</f>
        <v>0</v>
      </c>
      <c r="M19" s="2"/>
      <c r="N19" s="2">
        <f>M19+'10'!N19</f>
        <v>0</v>
      </c>
      <c r="O19" s="2"/>
      <c r="P19" s="2">
        <f>O19+'10'!P19</f>
        <v>0</v>
      </c>
      <c r="Q19" s="4">
        <f t="shared" si="4"/>
        <v>0</v>
      </c>
      <c r="R19" s="4">
        <f>Q19+'10'!R19</f>
        <v>988</v>
      </c>
      <c r="S19" s="27">
        <f t="shared" si="5"/>
        <v>0.69872701555869876</v>
      </c>
      <c r="T19" s="12"/>
      <c r="U19" s="12">
        <f>T19+'10'!U19</f>
        <v>143</v>
      </c>
      <c r="V19" s="12"/>
      <c r="W19" s="12">
        <f>V19+'10'!W19</f>
        <v>0</v>
      </c>
      <c r="X19" s="12"/>
      <c r="Y19" s="12">
        <f>X19+'10'!Y19</f>
        <v>0</v>
      </c>
      <c r="AB19" s="5">
        <v>9</v>
      </c>
      <c r="AC19" s="26" t="str">
        <f>'10'!AC19</f>
        <v>شـــــــــــــرانيس</v>
      </c>
      <c r="AD19" s="28">
        <f>'10'!AI19</f>
        <v>22</v>
      </c>
      <c r="AE19" s="3"/>
      <c r="AF19" s="28">
        <f>AE19+'10'!AF19</f>
        <v>125</v>
      </c>
      <c r="AG19" s="4"/>
      <c r="AH19" s="28">
        <f>AG19+'10'!AH19</f>
        <v>103</v>
      </c>
      <c r="AI19" s="4">
        <f t="shared" si="6"/>
        <v>22</v>
      </c>
      <c r="AJ19" s="11" t="e">
        <f t="shared" si="0"/>
        <v>#DIV/0!</v>
      </c>
      <c r="AK19" s="53">
        <f t="shared" si="1"/>
        <v>9.5922330097087372</v>
      </c>
      <c r="AW19" s="26" t="str">
        <f>'10'!AW19</f>
        <v>شـــــــــــــرانيس</v>
      </c>
      <c r="AX19" s="12">
        <f>'10'!AX19</f>
        <v>2</v>
      </c>
      <c r="AY19" s="12">
        <f>'10'!AY19</f>
        <v>675</v>
      </c>
      <c r="AZ19" s="12"/>
      <c r="BA19" s="12"/>
      <c r="BB19" s="12">
        <f>BA19+'10'!BB19</f>
        <v>569</v>
      </c>
      <c r="BC19" s="30">
        <f t="shared" si="2"/>
        <v>0.84296296296296291</v>
      </c>
      <c r="BD19" s="12">
        <f>'10'!BD19</f>
        <v>2</v>
      </c>
      <c r="BE19" s="12">
        <f>'10'!BE19</f>
        <v>397</v>
      </c>
      <c r="BF19" s="12"/>
      <c r="BG19" s="12"/>
      <c r="BH19" s="12">
        <f>BG19+'10'!BH19</f>
        <v>349</v>
      </c>
      <c r="BI19" s="30">
        <f t="shared" si="3"/>
        <v>0.87909319899244331</v>
      </c>
    </row>
    <row r="20" spans="1:61" ht="41.5" customHeight="1" x14ac:dyDescent="0.35">
      <c r="A20" s="5">
        <v>10</v>
      </c>
      <c r="B20" s="26" t="str">
        <f>'10'!B20</f>
        <v>قويســـــــــنا البلد</v>
      </c>
      <c r="C20" s="26">
        <f>'10'!C20</f>
        <v>4115</v>
      </c>
      <c r="D20" s="26"/>
      <c r="E20" s="12"/>
      <c r="F20" s="2">
        <f>E20+'10'!F20</f>
        <v>27</v>
      </c>
      <c r="G20" s="2"/>
      <c r="H20" s="2">
        <f>G20+'10'!H20</f>
        <v>406</v>
      </c>
      <c r="I20" s="2"/>
      <c r="J20" s="2">
        <f>I20+'10'!J20</f>
        <v>1286</v>
      </c>
      <c r="K20" s="2"/>
      <c r="L20" s="2">
        <f>K20+'10'!L20</f>
        <v>0</v>
      </c>
      <c r="M20" s="2"/>
      <c r="N20" s="2">
        <f>M20+'10'!N20</f>
        <v>0</v>
      </c>
      <c r="O20" s="2"/>
      <c r="P20" s="2">
        <f>O20+'10'!P20</f>
        <v>0</v>
      </c>
      <c r="Q20" s="4">
        <f t="shared" si="4"/>
        <v>0</v>
      </c>
      <c r="R20" s="4">
        <f>Q20+'10'!R20</f>
        <v>1719</v>
      </c>
      <c r="S20" s="27">
        <f t="shared" si="5"/>
        <v>0.41773997569866345</v>
      </c>
      <c r="T20" s="12"/>
      <c r="U20" s="12">
        <f>T20+'10'!U20</f>
        <v>405</v>
      </c>
      <c r="V20" s="12"/>
      <c r="W20" s="12">
        <f>V20+'10'!W20</f>
        <v>144</v>
      </c>
      <c r="X20" s="12"/>
      <c r="Y20" s="12">
        <f>X20+'10'!Y20</f>
        <v>0</v>
      </c>
      <c r="AB20" s="5">
        <v>10</v>
      </c>
      <c r="AC20" s="26" t="str">
        <f>'10'!AC20</f>
        <v>قويســـــــــنا البلد</v>
      </c>
      <c r="AD20" s="28">
        <f>'10'!AI20</f>
        <v>185</v>
      </c>
      <c r="AE20" s="3"/>
      <c r="AF20" s="28">
        <f>AE20+'10'!AF20</f>
        <v>360</v>
      </c>
      <c r="AG20" s="4"/>
      <c r="AH20" s="28">
        <f>AG20+'10'!AH20</f>
        <v>175</v>
      </c>
      <c r="AI20" s="4">
        <f t="shared" si="6"/>
        <v>185</v>
      </c>
      <c r="AJ20" s="11" t="e">
        <f t="shared" si="0"/>
        <v>#DIV/0!</v>
      </c>
      <c r="AK20" s="53">
        <f t="shared" si="1"/>
        <v>9.8228571428571421</v>
      </c>
      <c r="AW20" s="26" t="str">
        <f>'10'!AW20</f>
        <v>قويســـــــــنا البلد</v>
      </c>
      <c r="AX20" s="12">
        <f>'10'!AX20</f>
        <v>2</v>
      </c>
      <c r="AY20" s="12">
        <f>'10'!AY20</f>
        <v>1539</v>
      </c>
      <c r="AZ20" s="12"/>
      <c r="BA20" s="12"/>
      <c r="BB20" s="12">
        <f>BA20+'10'!BB20</f>
        <v>1355</v>
      </c>
      <c r="BC20" s="30">
        <f t="shared" si="2"/>
        <v>0.88044184535412606</v>
      </c>
      <c r="BD20" s="12">
        <f>'10'!BD20</f>
        <v>7</v>
      </c>
      <c r="BE20" s="12">
        <f>'10'!BE20</f>
        <v>580</v>
      </c>
      <c r="BF20" s="12"/>
      <c r="BG20" s="12"/>
      <c r="BH20" s="12">
        <f>BG20+'10'!BH20</f>
        <v>204</v>
      </c>
      <c r="BI20" s="30">
        <f t="shared" si="3"/>
        <v>0.35172413793103446</v>
      </c>
    </row>
    <row r="21" spans="1:61" ht="41.5" customHeight="1" x14ac:dyDescent="0.35">
      <c r="A21" s="5">
        <v>11</v>
      </c>
      <c r="B21" s="26" t="str">
        <f>'10'!B21</f>
        <v>بجيرم</v>
      </c>
      <c r="C21" s="26">
        <f>'10'!C21</f>
        <v>1782</v>
      </c>
      <c r="D21" s="26"/>
      <c r="E21" s="12"/>
      <c r="F21" s="2">
        <f>E21+'10'!F21</f>
        <v>8</v>
      </c>
      <c r="G21" s="2"/>
      <c r="H21" s="2">
        <f>G21+'10'!H21</f>
        <v>406</v>
      </c>
      <c r="I21" s="2"/>
      <c r="J21" s="2">
        <f>I21+'10'!J21</f>
        <v>755</v>
      </c>
      <c r="K21" s="2"/>
      <c r="L21" s="2">
        <f>K21+'10'!L21</f>
        <v>0</v>
      </c>
      <c r="M21" s="2"/>
      <c r="N21" s="2">
        <f>M21+'10'!N21</f>
        <v>0</v>
      </c>
      <c r="O21" s="2"/>
      <c r="P21" s="2">
        <f>O21+'10'!P21</f>
        <v>0</v>
      </c>
      <c r="Q21" s="4">
        <f t="shared" si="4"/>
        <v>0</v>
      </c>
      <c r="R21" s="4">
        <f>Q21+'10'!R21</f>
        <v>1169</v>
      </c>
      <c r="S21" s="27">
        <f t="shared" si="5"/>
        <v>0.65600448933782263</v>
      </c>
      <c r="T21" s="12"/>
      <c r="U21" s="12">
        <f>T21+'10'!U21</f>
        <v>126</v>
      </c>
      <c r="V21" s="12"/>
      <c r="W21" s="12">
        <f>V21+'10'!W21</f>
        <v>44</v>
      </c>
      <c r="X21" s="12"/>
      <c r="Y21" s="12">
        <f>X21+'10'!Y21</f>
        <v>0</v>
      </c>
      <c r="AB21" s="5">
        <v>11</v>
      </c>
      <c r="AC21" s="26" t="str">
        <f>'10'!AC21</f>
        <v>بجيرم</v>
      </c>
      <c r="AD21" s="28">
        <f>'10'!AI21</f>
        <v>37</v>
      </c>
      <c r="AE21" s="3"/>
      <c r="AF21" s="28">
        <f>AE21+'10'!AF21</f>
        <v>157</v>
      </c>
      <c r="AG21" s="4"/>
      <c r="AH21" s="28">
        <f>AG21+'10'!AH21</f>
        <v>120</v>
      </c>
      <c r="AI21" s="4">
        <f t="shared" si="6"/>
        <v>37</v>
      </c>
      <c r="AJ21" s="11" t="e">
        <f t="shared" si="0"/>
        <v>#DIV/0!</v>
      </c>
      <c r="AK21" s="53">
        <f t="shared" si="1"/>
        <v>9.7416666666666671</v>
      </c>
      <c r="AW21" s="26" t="str">
        <f>'10'!AW21</f>
        <v>بجيرم</v>
      </c>
      <c r="AX21" s="12">
        <f>'10'!AX21</f>
        <v>4</v>
      </c>
      <c r="AY21" s="12">
        <f>'10'!AY21</f>
        <v>946</v>
      </c>
      <c r="AZ21" s="12"/>
      <c r="BA21" s="12"/>
      <c r="BB21" s="12">
        <f>BA21+'10'!BB21</f>
        <v>823</v>
      </c>
      <c r="BC21" s="30">
        <f t="shared" si="2"/>
        <v>0.86997885835095135</v>
      </c>
      <c r="BD21" s="12">
        <f>'10'!BD21</f>
        <v>4</v>
      </c>
      <c r="BE21" s="12">
        <f>'10'!BE21</f>
        <v>99</v>
      </c>
      <c r="BF21" s="12"/>
      <c r="BG21" s="12"/>
      <c r="BH21" s="12">
        <f>BG21+'10'!BH21</f>
        <v>99</v>
      </c>
      <c r="BI21" s="30">
        <f t="shared" si="3"/>
        <v>1</v>
      </c>
    </row>
    <row r="22" spans="1:61" ht="30" customHeight="1" x14ac:dyDescent="0.35">
      <c r="A22" s="5">
        <v>12</v>
      </c>
      <c r="B22" s="26" t="str">
        <f>'10'!B22</f>
        <v>كفر بنى غريـــان</v>
      </c>
      <c r="C22" s="26">
        <f>'10'!C22</f>
        <v>2184</v>
      </c>
      <c r="D22" s="26"/>
      <c r="E22" s="12"/>
      <c r="F22" s="2">
        <f>E22+'10'!F22</f>
        <v>12</v>
      </c>
      <c r="G22" s="2"/>
      <c r="H22" s="2">
        <f>G22+'10'!H22</f>
        <v>471</v>
      </c>
      <c r="I22" s="2"/>
      <c r="J22" s="2">
        <f>I22+'10'!J22</f>
        <v>971</v>
      </c>
      <c r="K22" s="2"/>
      <c r="L22" s="2">
        <f>K22+'10'!L22</f>
        <v>0</v>
      </c>
      <c r="M22" s="2"/>
      <c r="N22" s="2">
        <f>M22+'10'!N22</f>
        <v>0</v>
      </c>
      <c r="O22" s="2"/>
      <c r="P22" s="2">
        <f>O22+'10'!P22</f>
        <v>0</v>
      </c>
      <c r="Q22" s="4">
        <f t="shared" si="4"/>
        <v>0</v>
      </c>
      <c r="R22" s="4">
        <f>Q22+'10'!R22</f>
        <v>1454</v>
      </c>
      <c r="S22" s="27">
        <f t="shared" si="5"/>
        <v>0.66575091575091572</v>
      </c>
      <c r="T22" s="12"/>
      <c r="U22" s="12">
        <f>T22+'10'!U22</f>
        <v>174</v>
      </c>
      <c r="V22" s="12"/>
      <c r="W22" s="12">
        <f>V22+'10'!W22</f>
        <v>7</v>
      </c>
      <c r="X22" s="12"/>
      <c r="Y22" s="12">
        <f>X22+'10'!Y22</f>
        <v>0</v>
      </c>
      <c r="AB22" s="5">
        <v>12</v>
      </c>
      <c r="AC22" s="26" t="str">
        <f>'10'!AC22</f>
        <v>كفر بنى غريـــان</v>
      </c>
      <c r="AD22" s="28">
        <f>'10'!AI22</f>
        <v>42</v>
      </c>
      <c r="AE22" s="3"/>
      <c r="AF22" s="28">
        <f>AE22+'10'!AF22</f>
        <v>192</v>
      </c>
      <c r="AG22" s="4"/>
      <c r="AH22" s="28">
        <f>AG22+'10'!AH22</f>
        <v>150</v>
      </c>
      <c r="AI22" s="4">
        <f t="shared" si="6"/>
        <v>42</v>
      </c>
      <c r="AJ22" s="11" t="e">
        <f t="shared" si="0"/>
        <v>#DIV/0!</v>
      </c>
      <c r="AK22" s="53">
        <f t="shared" si="1"/>
        <v>9.6933333333333334</v>
      </c>
      <c r="AW22" s="26" t="str">
        <f>'10'!AW22</f>
        <v>كفر بنى غريـــان</v>
      </c>
      <c r="AX22" s="12">
        <f>'10'!AX22</f>
        <v>3</v>
      </c>
      <c r="AY22" s="12">
        <f>'10'!AY22</f>
        <v>1327</v>
      </c>
      <c r="AZ22" s="12"/>
      <c r="BA22" s="12"/>
      <c r="BB22" s="12">
        <f>BA22+'10'!BB22</f>
        <v>994</v>
      </c>
      <c r="BC22" s="30">
        <f t="shared" si="2"/>
        <v>0.74905802562170309</v>
      </c>
      <c r="BD22" s="12">
        <f>'10'!BD22</f>
        <v>9</v>
      </c>
      <c r="BE22" s="12">
        <f>'10'!BE22</f>
        <v>381</v>
      </c>
      <c r="BF22" s="12"/>
      <c r="BG22" s="12"/>
      <c r="BH22" s="12">
        <f>BG22+'10'!BH22</f>
        <v>387</v>
      </c>
      <c r="BI22" s="30">
        <f t="shared" si="3"/>
        <v>1.015748031496063</v>
      </c>
    </row>
    <row r="23" spans="1:61" ht="30" customHeight="1" x14ac:dyDescent="0.35">
      <c r="A23" s="5">
        <v>13</v>
      </c>
      <c r="B23" s="26" t="str">
        <f>'10'!B23</f>
        <v>بــقســـــــــــــــــا</v>
      </c>
      <c r="C23" s="26">
        <f>'10'!C23</f>
        <v>862</v>
      </c>
      <c r="D23" s="26"/>
      <c r="E23" s="12"/>
      <c r="F23" s="2">
        <f>E23+'10'!F23</f>
        <v>8</v>
      </c>
      <c r="G23" s="2"/>
      <c r="H23" s="2">
        <f>G23+'10'!H23</f>
        <v>160</v>
      </c>
      <c r="I23" s="2"/>
      <c r="J23" s="2">
        <f>I23+'10'!J23</f>
        <v>359</v>
      </c>
      <c r="K23" s="2"/>
      <c r="L23" s="2">
        <f>K23+'10'!L23</f>
        <v>0</v>
      </c>
      <c r="M23" s="2"/>
      <c r="N23" s="2">
        <f>M23+'10'!N23</f>
        <v>0</v>
      </c>
      <c r="O23" s="2"/>
      <c r="P23" s="2">
        <f>O23+'10'!P23</f>
        <v>0</v>
      </c>
      <c r="Q23" s="4">
        <f t="shared" si="4"/>
        <v>0</v>
      </c>
      <c r="R23" s="4">
        <f>Q23+'10'!R23</f>
        <v>527</v>
      </c>
      <c r="S23" s="27">
        <f t="shared" si="5"/>
        <v>0.61136890951276102</v>
      </c>
      <c r="T23" s="12"/>
      <c r="U23" s="12">
        <f>T23+'10'!U23</f>
        <v>36</v>
      </c>
      <c r="V23" s="12"/>
      <c r="W23" s="12">
        <f>V23+'10'!W23</f>
        <v>14</v>
      </c>
      <c r="X23" s="12"/>
      <c r="Y23" s="12">
        <f>X23+'10'!Y23</f>
        <v>0</v>
      </c>
      <c r="AB23" s="5">
        <v>13</v>
      </c>
      <c r="AC23" s="26" t="str">
        <f>'10'!AC23</f>
        <v>بــقســـــــــــــــــا</v>
      </c>
      <c r="AD23" s="28">
        <f>'10'!AI23</f>
        <v>22</v>
      </c>
      <c r="AE23" s="3"/>
      <c r="AF23" s="28">
        <f>AE23+'10'!AF23</f>
        <v>75</v>
      </c>
      <c r="AG23" s="4"/>
      <c r="AH23" s="28">
        <f>AG23+'10'!AH23</f>
        <v>53</v>
      </c>
      <c r="AI23" s="4">
        <f t="shared" si="6"/>
        <v>22</v>
      </c>
      <c r="AJ23" s="11" t="e">
        <f t="shared" si="0"/>
        <v>#DIV/0!</v>
      </c>
      <c r="AK23" s="53">
        <f t="shared" si="1"/>
        <v>9.9433962264150946</v>
      </c>
      <c r="AW23" s="26" t="str">
        <f>'10'!AW23</f>
        <v>بــقســـــــــــــــــا</v>
      </c>
      <c r="AX23" s="12">
        <f>'10'!AX23</f>
        <v>1</v>
      </c>
      <c r="AY23" s="12">
        <f>'10'!AY23</f>
        <v>311</v>
      </c>
      <c r="AZ23" s="12"/>
      <c r="BA23" s="12"/>
      <c r="BB23" s="12">
        <f>BA23+'10'!BB23</f>
        <v>297</v>
      </c>
      <c r="BC23" s="30">
        <f t="shared" si="2"/>
        <v>0.954983922829582</v>
      </c>
      <c r="BD23" s="12">
        <f>'10'!BD23</f>
        <v>1</v>
      </c>
      <c r="BE23" s="12">
        <f>'10'!BE23</f>
        <v>40</v>
      </c>
      <c r="BF23" s="12"/>
      <c r="BG23" s="12"/>
      <c r="BH23" s="12">
        <f>BG23+'10'!BH23</f>
        <v>30</v>
      </c>
      <c r="BI23" s="30">
        <f t="shared" si="3"/>
        <v>0.75</v>
      </c>
    </row>
    <row r="24" spans="1:61" ht="37.15" customHeight="1" x14ac:dyDescent="0.35">
      <c r="A24" s="5">
        <v>14</v>
      </c>
      <c r="B24" s="26" t="str">
        <f>'10'!B24</f>
        <v>كفــــــــر الأكرم</v>
      </c>
      <c r="C24" s="26">
        <f>'10'!C24</f>
        <v>918</v>
      </c>
      <c r="D24" s="26"/>
      <c r="E24" s="12"/>
      <c r="F24" s="2">
        <f>E24+'10'!F24</f>
        <v>3</v>
      </c>
      <c r="G24" s="2"/>
      <c r="H24" s="2">
        <f>G24+'10'!H24</f>
        <v>233</v>
      </c>
      <c r="I24" s="2"/>
      <c r="J24" s="2">
        <f>I24+'10'!J24</f>
        <v>392</v>
      </c>
      <c r="K24" s="2"/>
      <c r="L24" s="2">
        <f>K24+'10'!L24</f>
        <v>0</v>
      </c>
      <c r="M24" s="2"/>
      <c r="N24" s="2">
        <f>M24+'10'!N24</f>
        <v>0</v>
      </c>
      <c r="O24" s="2"/>
      <c r="P24" s="2">
        <f>O24+'10'!P24</f>
        <v>0</v>
      </c>
      <c r="Q24" s="4">
        <f t="shared" si="4"/>
        <v>0</v>
      </c>
      <c r="R24" s="4">
        <f>Q24+'10'!R24</f>
        <v>628</v>
      </c>
      <c r="S24" s="27">
        <f t="shared" si="5"/>
        <v>0.68409586056644878</v>
      </c>
      <c r="T24" s="12"/>
      <c r="U24" s="12">
        <f>T24+'10'!U24</f>
        <v>87</v>
      </c>
      <c r="V24" s="12"/>
      <c r="W24" s="12">
        <f>V24+'10'!W24</f>
        <v>9</v>
      </c>
      <c r="X24" s="12"/>
      <c r="Y24" s="12">
        <f>X24+'10'!Y24</f>
        <v>0</v>
      </c>
      <c r="AB24" s="5">
        <v>14</v>
      </c>
      <c r="AC24" s="26" t="str">
        <f>'10'!AC24</f>
        <v>كفــــــــر الأكرم</v>
      </c>
      <c r="AD24" s="28">
        <f>'10'!AI24</f>
        <v>15</v>
      </c>
      <c r="AE24" s="3"/>
      <c r="AF24" s="28">
        <f>AE24+'10'!AF24</f>
        <v>80</v>
      </c>
      <c r="AG24" s="4"/>
      <c r="AH24" s="28">
        <f>AG24+'10'!AH24</f>
        <v>65</v>
      </c>
      <c r="AI24" s="4">
        <f t="shared" si="6"/>
        <v>15</v>
      </c>
      <c r="AJ24" s="11" t="e">
        <f t="shared" si="0"/>
        <v>#DIV/0!</v>
      </c>
      <c r="AK24" s="53">
        <f t="shared" si="1"/>
        <v>9.661538461538461</v>
      </c>
      <c r="AW24" s="26" t="str">
        <f>'10'!AW24</f>
        <v>كفــــــــر الأكرم</v>
      </c>
      <c r="AX24" s="12">
        <f>'10'!AX24</f>
        <v>2</v>
      </c>
      <c r="AY24" s="12">
        <f>'10'!AY24</f>
        <v>540</v>
      </c>
      <c r="AZ24" s="12"/>
      <c r="BA24" s="12"/>
      <c r="BB24" s="12">
        <f>BA24+'10'!BB24</f>
        <v>380</v>
      </c>
      <c r="BC24" s="30">
        <f t="shared" si="2"/>
        <v>0.70370370370370372</v>
      </c>
      <c r="BD24" s="12">
        <f>'10'!BD24</f>
        <v>2</v>
      </c>
      <c r="BE24" s="12">
        <f>'10'!BE24</f>
        <v>115</v>
      </c>
      <c r="BF24" s="12"/>
      <c r="BG24" s="12"/>
      <c r="BH24" s="12">
        <f>BG24+'10'!BH24</f>
        <v>160</v>
      </c>
      <c r="BI24" s="30">
        <f t="shared" si="3"/>
        <v>1.3913043478260869</v>
      </c>
    </row>
    <row r="25" spans="1:61" ht="28.9" customHeight="1" x14ac:dyDescent="0.35">
      <c r="A25" s="5">
        <v>15</v>
      </c>
      <c r="B25" s="26" t="str">
        <f>'10'!B25</f>
        <v>كفـــــــــر إبنهس</v>
      </c>
      <c r="C25" s="26">
        <f>'10'!C25</f>
        <v>2072</v>
      </c>
      <c r="D25" s="26"/>
      <c r="E25" s="12"/>
      <c r="F25" s="2">
        <f>E25+'10'!F25</f>
        <v>6</v>
      </c>
      <c r="G25" s="2"/>
      <c r="H25" s="2">
        <f>G25+'10'!H25</f>
        <v>345</v>
      </c>
      <c r="I25" s="2"/>
      <c r="J25" s="2">
        <f>I25+'10'!J25</f>
        <v>974</v>
      </c>
      <c r="K25" s="2"/>
      <c r="L25" s="2">
        <f>K25+'10'!L25</f>
        <v>0</v>
      </c>
      <c r="M25" s="2"/>
      <c r="N25" s="2">
        <f>M25+'10'!N25</f>
        <v>0</v>
      </c>
      <c r="O25" s="2"/>
      <c r="P25" s="2">
        <f>O25+'10'!P25</f>
        <v>0</v>
      </c>
      <c r="Q25" s="4">
        <f t="shared" si="4"/>
        <v>0</v>
      </c>
      <c r="R25" s="4">
        <f>Q25+'10'!R25</f>
        <v>1325</v>
      </c>
      <c r="S25" s="27">
        <f t="shared" si="5"/>
        <v>0.63947876447876451</v>
      </c>
      <c r="T25" s="12"/>
      <c r="U25" s="12">
        <f>T25+'10'!U25</f>
        <v>173</v>
      </c>
      <c r="V25" s="12"/>
      <c r="W25" s="12">
        <f>V25+'10'!W25</f>
        <v>50</v>
      </c>
      <c r="X25" s="12"/>
      <c r="Y25" s="12">
        <f>X25+'10'!Y25</f>
        <v>0</v>
      </c>
      <c r="AB25" s="5">
        <v>15</v>
      </c>
      <c r="AC25" s="26" t="str">
        <f>'10'!AC25</f>
        <v>كفـــــــــر إبنهس</v>
      </c>
      <c r="AD25" s="28">
        <f>'10'!AI25</f>
        <v>31</v>
      </c>
      <c r="AE25" s="3"/>
      <c r="AF25" s="28">
        <f>AE25+'10'!AF25</f>
        <v>180</v>
      </c>
      <c r="AG25" s="4"/>
      <c r="AH25" s="28">
        <f>AG25+'10'!AH25</f>
        <v>149</v>
      </c>
      <c r="AI25" s="4">
        <f t="shared" si="6"/>
        <v>31</v>
      </c>
      <c r="AJ25" s="11" t="e">
        <f t="shared" si="0"/>
        <v>#DIV/0!</v>
      </c>
      <c r="AK25" s="53">
        <f t="shared" si="1"/>
        <v>8.8926174496644297</v>
      </c>
      <c r="AW25" s="26" t="str">
        <f>'10'!AW25</f>
        <v>كفـــــــــر إبنهس</v>
      </c>
      <c r="AX25" s="12">
        <f>'10'!AX25</f>
        <v>3</v>
      </c>
      <c r="AY25" s="12">
        <f>'10'!AY25</f>
        <v>1013</v>
      </c>
      <c r="AZ25" s="12"/>
      <c r="BA25" s="12"/>
      <c r="BB25" s="12">
        <f>BA25+'10'!BB25</f>
        <v>838</v>
      </c>
      <c r="BC25" s="30">
        <f t="shared" si="2"/>
        <v>0.82724580454096741</v>
      </c>
      <c r="BD25" s="12">
        <f>'10'!BD25</f>
        <v>4</v>
      </c>
      <c r="BE25" s="12">
        <f>'10'!BE25</f>
        <v>620</v>
      </c>
      <c r="BF25" s="12"/>
      <c r="BG25" s="12"/>
      <c r="BH25" s="12">
        <f>BG25+'10'!BH25</f>
        <v>507</v>
      </c>
      <c r="BI25" s="30">
        <f t="shared" si="3"/>
        <v>0.81774193548387097</v>
      </c>
    </row>
    <row r="26" spans="1:61" ht="28.9" customHeight="1" x14ac:dyDescent="0.35">
      <c r="A26" s="5">
        <v>16</v>
      </c>
      <c r="B26" s="26" t="str">
        <f>'10'!B26</f>
        <v>الرمــــــــــــــالى</v>
      </c>
      <c r="C26" s="26">
        <f>'10'!C26</f>
        <v>2699</v>
      </c>
      <c r="D26" s="26"/>
      <c r="E26" s="12"/>
      <c r="F26" s="2">
        <f>E26+'10'!F26</f>
        <v>27</v>
      </c>
      <c r="G26" s="2"/>
      <c r="H26" s="2">
        <f>G26+'10'!H26</f>
        <v>312</v>
      </c>
      <c r="I26" s="2"/>
      <c r="J26" s="2">
        <f>I26+'10'!J26</f>
        <v>993</v>
      </c>
      <c r="K26" s="2"/>
      <c r="L26" s="2">
        <f>K26+'10'!L26</f>
        <v>0</v>
      </c>
      <c r="M26" s="2"/>
      <c r="N26" s="2">
        <f>M26+'10'!N26</f>
        <v>0</v>
      </c>
      <c r="O26" s="2"/>
      <c r="P26" s="2">
        <f>O26+'10'!P26</f>
        <v>0</v>
      </c>
      <c r="Q26" s="4">
        <f t="shared" si="4"/>
        <v>0</v>
      </c>
      <c r="R26" s="4">
        <f>Q26+'10'!R26</f>
        <v>1332</v>
      </c>
      <c r="S26" s="27">
        <f t="shared" si="5"/>
        <v>0.49351611708040016</v>
      </c>
      <c r="T26" s="12"/>
      <c r="U26" s="12">
        <f>T26+'10'!U26</f>
        <v>114</v>
      </c>
      <c r="V26" s="12"/>
      <c r="W26" s="12">
        <f>V26+'10'!W26</f>
        <v>108</v>
      </c>
      <c r="X26" s="12"/>
      <c r="Y26" s="12">
        <f>X26+'10'!Y26</f>
        <v>1</v>
      </c>
      <c r="Z26" s="38"/>
      <c r="AB26" s="5">
        <v>16</v>
      </c>
      <c r="AC26" s="26" t="str">
        <f>'10'!AC26</f>
        <v>الرمــــــــــــــالى</v>
      </c>
      <c r="AD26" s="28">
        <f>'10'!AI26</f>
        <v>96</v>
      </c>
      <c r="AE26" s="3"/>
      <c r="AF26" s="28">
        <f>AE26+'10'!AF26</f>
        <v>235</v>
      </c>
      <c r="AG26" s="4"/>
      <c r="AH26" s="28">
        <f>AG26+'10'!AH26</f>
        <v>139</v>
      </c>
      <c r="AI26" s="4">
        <f t="shared" si="6"/>
        <v>96</v>
      </c>
      <c r="AJ26" s="11" t="e">
        <f t="shared" si="0"/>
        <v>#DIV/0!</v>
      </c>
      <c r="AK26" s="53">
        <f t="shared" si="1"/>
        <v>9.5827338129496411</v>
      </c>
      <c r="AV26" s="38"/>
      <c r="AW26" s="26" t="str">
        <f>'10'!AW26</f>
        <v>الرمــــــــــــــالى</v>
      </c>
      <c r="AX26" s="12">
        <f>'10'!AX26</f>
        <v>3</v>
      </c>
      <c r="AY26" s="12">
        <f>'10'!AY26</f>
        <v>1486</v>
      </c>
      <c r="AZ26" s="12"/>
      <c r="BA26" s="12"/>
      <c r="BB26" s="12">
        <f>BA26+'10'!BB26</f>
        <v>1149</v>
      </c>
      <c r="BC26" s="30">
        <f t="shared" si="2"/>
        <v>0.77321668909825036</v>
      </c>
      <c r="BD26" s="12">
        <f>'10'!BD26</f>
        <v>3</v>
      </c>
      <c r="BE26" s="12">
        <f>'10'!BE26</f>
        <v>98</v>
      </c>
      <c r="BF26" s="12"/>
      <c r="BG26" s="12"/>
      <c r="BH26" s="12">
        <f>BG26+'10'!BH26</f>
        <v>0</v>
      </c>
      <c r="BI26" s="30">
        <f t="shared" si="3"/>
        <v>0</v>
      </c>
    </row>
    <row r="27" spans="1:61" ht="28.9" customHeight="1" x14ac:dyDescent="0.35">
      <c r="A27" s="5">
        <v>17</v>
      </c>
      <c r="B27" s="26" t="str">
        <f>'10'!B27</f>
        <v>مصطــــــــــــاى</v>
      </c>
      <c r="C27" s="26">
        <f>'10'!C27</f>
        <v>2666</v>
      </c>
      <c r="D27" s="26"/>
      <c r="E27" s="12"/>
      <c r="F27" s="2">
        <f>E27+'10'!F27</f>
        <v>54</v>
      </c>
      <c r="G27" s="2"/>
      <c r="H27" s="2">
        <f>G27+'10'!H27</f>
        <v>364</v>
      </c>
      <c r="I27" s="2"/>
      <c r="J27" s="2">
        <f>I27+'10'!J27</f>
        <v>1154</v>
      </c>
      <c r="K27" s="2"/>
      <c r="L27" s="2">
        <f>K27+'10'!L27</f>
        <v>0</v>
      </c>
      <c r="M27" s="2"/>
      <c r="N27" s="2">
        <f>M27+'10'!N27</f>
        <v>0</v>
      </c>
      <c r="O27" s="2"/>
      <c r="P27" s="2">
        <f>O27+'10'!P27</f>
        <v>0</v>
      </c>
      <c r="Q27" s="4">
        <f t="shared" si="4"/>
        <v>0</v>
      </c>
      <c r="R27" s="4">
        <f>Q27+'10'!R27</f>
        <v>1572</v>
      </c>
      <c r="S27" s="27">
        <f t="shared" si="5"/>
        <v>0.58964741185296321</v>
      </c>
      <c r="T27" s="12"/>
      <c r="U27" s="12">
        <f>T27+'10'!U27</f>
        <v>45</v>
      </c>
      <c r="V27" s="12"/>
      <c r="W27" s="12">
        <f>V27+'10'!W27</f>
        <v>15</v>
      </c>
      <c r="X27" s="12"/>
      <c r="Y27" s="12">
        <f>X27+'10'!Y27</f>
        <v>0</v>
      </c>
      <c r="AB27" s="5">
        <v>17</v>
      </c>
      <c r="AC27" s="26" t="str">
        <f>'10'!AC27</f>
        <v>مصطــــــــــــاى</v>
      </c>
      <c r="AD27" s="28">
        <f>'10'!AI27</f>
        <v>74</v>
      </c>
      <c r="AE27" s="3"/>
      <c r="AF27" s="28">
        <f>AE27+'10'!AF27</f>
        <v>234</v>
      </c>
      <c r="AG27" s="4"/>
      <c r="AH27" s="28">
        <f>AG27+'10'!AH27</f>
        <v>160</v>
      </c>
      <c r="AI27" s="4">
        <f t="shared" si="6"/>
        <v>74</v>
      </c>
      <c r="AJ27" s="11" t="e">
        <f t="shared" si="0"/>
        <v>#DIV/0!</v>
      </c>
      <c r="AK27" s="53">
        <f t="shared" si="1"/>
        <v>9.8249999999999993</v>
      </c>
      <c r="AW27" s="26" t="str">
        <f>'10'!AW27</f>
        <v>مصطــــــــــــاى</v>
      </c>
      <c r="AX27" s="12">
        <f>'10'!AX27</f>
        <v>3</v>
      </c>
      <c r="AY27" s="12">
        <f>'10'!AY27</f>
        <v>1709</v>
      </c>
      <c r="AZ27" s="12"/>
      <c r="BA27" s="12"/>
      <c r="BB27" s="12">
        <f>BA27+'10'!BB27</f>
        <v>1252</v>
      </c>
      <c r="BC27" s="30">
        <f t="shared" si="2"/>
        <v>0.73259215915740195</v>
      </c>
      <c r="BD27" s="12">
        <f>'10'!BD27</f>
        <v>6</v>
      </c>
      <c r="BE27" s="12">
        <f>'10'!BE27</f>
        <v>696</v>
      </c>
      <c r="BF27" s="12"/>
      <c r="BG27" s="12"/>
      <c r="BH27" s="12">
        <f>BG27+'10'!BH27</f>
        <v>120</v>
      </c>
      <c r="BI27" s="30">
        <f t="shared" si="3"/>
        <v>0.17241379310344829</v>
      </c>
    </row>
    <row r="28" spans="1:61" ht="28.9" customHeight="1" x14ac:dyDescent="0.35">
      <c r="A28" s="5">
        <v>18</v>
      </c>
      <c r="B28" s="26" t="str">
        <f>'10'!B28</f>
        <v>كفر طـــــــه شبرا</v>
      </c>
      <c r="C28" s="26">
        <f>'10'!C28</f>
        <v>1795</v>
      </c>
      <c r="D28" s="26"/>
      <c r="E28" s="12"/>
      <c r="F28" s="2">
        <f>E28+'10'!F28</f>
        <v>8</v>
      </c>
      <c r="G28" s="2"/>
      <c r="H28" s="2">
        <f>G28+'10'!H28</f>
        <v>294</v>
      </c>
      <c r="I28" s="2"/>
      <c r="J28" s="2">
        <f>I28+'10'!J28</f>
        <v>940</v>
      </c>
      <c r="K28" s="2"/>
      <c r="L28" s="2">
        <f>K28+'10'!L28</f>
        <v>0</v>
      </c>
      <c r="M28" s="2"/>
      <c r="N28" s="2">
        <f>M28+'10'!N28</f>
        <v>0</v>
      </c>
      <c r="O28" s="2"/>
      <c r="P28" s="2">
        <f>O28+'10'!P28</f>
        <v>0</v>
      </c>
      <c r="Q28" s="4">
        <f t="shared" si="4"/>
        <v>0</v>
      </c>
      <c r="R28" s="4">
        <f>Q28+'10'!R28</f>
        <v>1242</v>
      </c>
      <c r="S28" s="27">
        <f t="shared" si="5"/>
        <v>0.69192200557103067</v>
      </c>
      <c r="T28" s="12"/>
      <c r="U28" s="12">
        <f>T28+'10'!U28</f>
        <v>136</v>
      </c>
      <c r="V28" s="12"/>
      <c r="W28" s="12">
        <f>V28+'10'!W28</f>
        <v>33</v>
      </c>
      <c r="X28" s="12"/>
      <c r="Y28" s="12">
        <f>X28+'10'!Y28</f>
        <v>0</v>
      </c>
      <c r="AB28" s="5">
        <v>18</v>
      </c>
      <c r="AC28" s="26" t="str">
        <f>'10'!AC28</f>
        <v>كفر طـــــــه شبرا</v>
      </c>
      <c r="AD28" s="28">
        <f>'10'!AI28</f>
        <v>28</v>
      </c>
      <c r="AE28" s="3"/>
      <c r="AF28" s="28">
        <f>AE28+'10'!AF28</f>
        <v>158</v>
      </c>
      <c r="AG28" s="4"/>
      <c r="AH28" s="28">
        <f>AG28+'10'!AH28</f>
        <v>130</v>
      </c>
      <c r="AI28" s="4">
        <f t="shared" si="6"/>
        <v>28</v>
      </c>
      <c r="AJ28" s="11" t="e">
        <f t="shared" si="0"/>
        <v>#DIV/0!</v>
      </c>
      <c r="AK28" s="53">
        <f t="shared" si="1"/>
        <v>9.5538461538461537</v>
      </c>
      <c r="AW28" s="26" t="str">
        <f>'10'!AW28</f>
        <v>كفر طـــــــه شبرا</v>
      </c>
      <c r="AX28" s="12">
        <f>'10'!AX28</f>
        <v>4</v>
      </c>
      <c r="AY28" s="12">
        <f>'10'!AY28</f>
        <v>948</v>
      </c>
      <c r="AZ28" s="12"/>
      <c r="BA28" s="12"/>
      <c r="BB28" s="12">
        <f>BA28+'10'!BB28</f>
        <v>827</v>
      </c>
      <c r="BC28" s="30">
        <f t="shared" si="2"/>
        <v>0.87236286919831219</v>
      </c>
      <c r="BD28" s="12">
        <f>'10'!BD28</f>
        <v>7</v>
      </c>
      <c r="BE28" s="12">
        <f>'10'!BE28</f>
        <v>300</v>
      </c>
      <c r="BF28" s="12"/>
      <c r="BG28" s="12"/>
      <c r="BH28" s="12">
        <f>BG28+'10'!BH28</f>
        <v>403</v>
      </c>
      <c r="BI28" s="30">
        <f t="shared" si="3"/>
        <v>1.3433333333333333</v>
      </c>
    </row>
    <row r="29" spans="1:61" ht="28.9" customHeight="1" x14ac:dyDescent="0.35">
      <c r="A29" s="5">
        <v>19</v>
      </c>
      <c r="B29" s="26" t="str">
        <f>'10'!B29</f>
        <v>كفر أبـــو الحسن</v>
      </c>
      <c r="C29" s="26">
        <f>'10'!C29</f>
        <v>1397</v>
      </c>
      <c r="D29" s="26"/>
      <c r="E29" s="12"/>
      <c r="F29" s="2">
        <f>E29+'10'!F29</f>
        <v>4</v>
      </c>
      <c r="G29" s="2"/>
      <c r="H29" s="2">
        <f>G29+'10'!H29</f>
        <v>238</v>
      </c>
      <c r="I29" s="2"/>
      <c r="J29" s="2">
        <f>I29+'10'!J29</f>
        <v>841</v>
      </c>
      <c r="K29" s="2"/>
      <c r="L29" s="2">
        <f>K29+'10'!L29</f>
        <v>0</v>
      </c>
      <c r="M29" s="2"/>
      <c r="N29" s="2">
        <f>M29+'10'!N29</f>
        <v>0</v>
      </c>
      <c r="O29" s="2"/>
      <c r="P29" s="2">
        <f>O29+'10'!P29</f>
        <v>0</v>
      </c>
      <c r="Q29" s="4">
        <f t="shared" si="4"/>
        <v>0</v>
      </c>
      <c r="R29" s="4">
        <f>Q29+'10'!R29</f>
        <v>1083</v>
      </c>
      <c r="S29" s="27">
        <f t="shared" si="5"/>
        <v>0.77523264137437364</v>
      </c>
      <c r="T29" s="12"/>
      <c r="U29" s="12">
        <f>T29+'10'!U29</f>
        <v>205</v>
      </c>
      <c r="V29" s="12"/>
      <c r="W29" s="12">
        <f>V29+'10'!W29</f>
        <v>18</v>
      </c>
      <c r="X29" s="12"/>
      <c r="Y29" s="12">
        <f>X29+'10'!Y29</f>
        <v>0</v>
      </c>
      <c r="AB29" s="5">
        <v>19</v>
      </c>
      <c r="AC29" s="26" t="str">
        <f>'10'!AC29</f>
        <v>كفر أبـــو الحسن</v>
      </c>
      <c r="AD29" s="28">
        <f>'10'!AI29</f>
        <v>22</v>
      </c>
      <c r="AE29" s="3"/>
      <c r="AF29" s="28">
        <f>AE29+'10'!AF29</f>
        <v>133</v>
      </c>
      <c r="AG29" s="4"/>
      <c r="AH29" s="28">
        <f>AG29+'10'!AH29</f>
        <v>111</v>
      </c>
      <c r="AI29" s="4">
        <f t="shared" si="6"/>
        <v>22</v>
      </c>
      <c r="AJ29" s="11" t="e">
        <f t="shared" si="0"/>
        <v>#DIV/0!</v>
      </c>
      <c r="AK29" s="53">
        <f t="shared" si="1"/>
        <v>9.7567567567567561</v>
      </c>
      <c r="AW29" s="26" t="str">
        <f>'10'!AW29</f>
        <v>كفر أبـــو الحسن</v>
      </c>
      <c r="AX29" s="12">
        <f>'10'!AX29</f>
        <v>3</v>
      </c>
      <c r="AY29" s="12">
        <f>'10'!AY29</f>
        <v>912</v>
      </c>
      <c r="AZ29" s="12"/>
      <c r="BA29" s="12"/>
      <c r="BB29" s="12">
        <f>BA29+'10'!BB29</f>
        <v>760</v>
      </c>
      <c r="BC29" s="30">
        <f t="shared" si="2"/>
        <v>0.83333333333333337</v>
      </c>
      <c r="BD29" s="12">
        <f>'10'!BD29</f>
        <v>9</v>
      </c>
      <c r="BE29" s="12">
        <f>'10'!BE29</f>
        <v>258</v>
      </c>
      <c r="BF29" s="12"/>
      <c r="BG29" s="12"/>
      <c r="BH29" s="12">
        <f>BG29+'10'!BH29</f>
        <v>351</v>
      </c>
      <c r="BI29" s="30">
        <f t="shared" si="3"/>
        <v>1.3604651162790697</v>
      </c>
    </row>
    <row r="30" spans="1:61" ht="28.9" customHeight="1" x14ac:dyDescent="0.35">
      <c r="A30" s="5">
        <v>20</v>
      </c>
      <c r="B30" s="26" t="str">
        <f>'10'!B30</f>
        <v>ميت أبـــــوشيخه</v>
      </c>
      <c r="C30" s="26">
        <f>'10'!C30</f>
        <v>1134</v>
      </c>
      <c r="D30" s="26"/>
      <c r="E30" s="12"/>
      <c r="F30" s="2">
        <f>E30+'10'!F30</f>
        <v>10</v>
      </c>
      <c r="G30" s="2"/>
      <c r="H30" s="2">
        <f>G30+'10'!H30</f>
        <v>144</v>
      </c>
      <c r="I30" s="2"/>
      <c r="J30" s="2">
        <f>I30+'10'!J30</f>
        <v>435</v>
      </c>
      <c r="K30" s="2"/>
      <c r="L30" s="2">
        <f>K30+'10'!L30</f>
        <v>0</v>
      </c>
      <c r="M30" s="2"/>
      <c r="N30" s="2">
        <f>M30+'10'!N30</f>
        <v>0</v>
      </c>
      <c r="O30" s="2"/>
      <c r="P30" s="2">
        <f>O30+'10'!P30</f>
        <v>0</v>
      </c>
      <c r="Q30" s="4">
        <f t="shared" si="4"/>
        <v>0</v>
      </c>
      <c r="R30" s="4">
        <f>Q30+'10'!R30</f>
        <v>589</v>
      </c>
      <c r="S30" s="27">
        <f t="shared" si="5"/>
        <v>0.51940035273368612</v>
      </c>
      <c r="T30" s="12"/>
      <c r="U30" s="12">
        <f>T30+'10'!U30</f>
        <v>68</v>
      </c>
      <c r="V30" s="12"/>
      <c r="W30" s="12">
        <f>V30+'10'!W30</f>
        <v>10</v>
      </c>
      <c r="X30" s="12"/>
      <c r="Y30" s="12">
        <f>X30+'10'!Y30</f>
        <v>0</v>
      </c>
      <c r="AB30" s="5">
        <v>20</v>
      </c>
      <c r="AC30" s="26" t="str">
        <f>'10'!AC30</f>
        <v>ميت أبـــــوشيخه</v>
      </c>
      <c r="AD30" s="28">
        <f>'10'!AI30</f>
        <v>40</v>
      </c>
      <c r="AE30" s="3"/>
      <c r="AF30" s="28">
        <f>AE30+'10'!AF30</f>
        <v>100</v>
      </c>
      <c r="AG30" s="4"/>
      <c r="AH30" s="28">
        <f>AG30+'10'!AH30</f>
        <v>60</v>
      </c>
      <c r="AI30" s="4">
        <f t="shared" si="6"/>
        <v>40</v>
      </c>
      <c r="AJ30" s="11" t="e">
        <f t="shared" si="0"/>
        <v>#DIV/0!</v>
      </c>
      <c r="AK30" s="53">
        <f t="shared" si="1"/>
        <v>9.8166666666666664</v>
      </c>
      <c r="AW30" s="26" t="str">
        <f>'10'!AW30</f>
        <v>ميت أبـــــوشيخه</v>
      </c>
      <c r="AX30" s="12">
        <f>'10'!AX30</f>
        <v>2</v>
      </c>
      <c r="AY30" s="12">
        <f>'10'!AY30</f>
        <v>560</v>
      </c>
      <c r="AZ30" s="12"/>
      <c r="BA30" s="12"/>
      <c r="BB30" s="12">
        <f>BA30+'10'!BB30</f>
        <v>459</v>
      </c>
      <c r="BC30" s="30">
        <f t="shared" si="2"/>
        <v>0.81964285714285712</v>
      </c>
      <c r="BD30" s="12">
        <f>'10'!BD30</f>
        <v>2</v>
      </c>
      <c r="BE30" s="12">
        <f>'10'!BE30</f>
        <v>107</v>
      </c>
      <c r="BF30" s="12"/>
      <c r="BG30" s="12"/>
      <c r="BH30" s="12">
        <f>BG30+'10'!BH30</f>
        <v>85</v>
      </c>
      <c r="BI30" s="30">
        <f t="shared" si="3"/>
        <v>0.79439252336448596</v>
      </c>
    </row>
    <row r="31" spans="1:61" ht="28.9" customHeight="1" x14ac:dyDescent="0.35">
      <c r="A31" s="5">
        <v>21</v>
      </c>
      <c r="B31" s="26" t="str">
        <f>'10'!B31</f>
        <v>طــــــــــــه شبرا</v>
      </c>
      <c r="C31" s="26">
        <f>'10'!C31</f>
        <v>5149</v>
      </c>
      <c r="D31" s="26"/>
      <c r="E31" s="12"/>
      <c r="F31" s="2">
        <f>E31+'10'!F31</f>
        <v>22</v>
      </c>
      <c r="G31" s="2"/>
      <c r="H31" s="2">
        <f>G31+'10'!H31</f>
        <v>967</v>
      </c>
      <c r="I31" s="2"/>
      <c r="J31" s="2">
        <f>I31+'10'!J31</f>
        <v>1288</v>
      </c>
      <c r="K31" s="2"/>
      <c r="L31" s="2">
        <f>K31+'10'!L31</f>
        <v>0</v>
      </c>
      <c r="M31" s="2"/>
      <c r="N31" s="2">
        <f>M31+'10'!N31</f>
        <v>0</v>
      </c>
      <c r="O31" s="2"/>
      <c r="P31" s="2">
        <f>O31+'10'!P31</f>
        <v>0</v>
      </c>
      <c r="Q31" s="4">
        <f t="shared" si="4"/>
        <v>0</v>
      </c>
      <c r="R31" s="4">
        <f>Q31+'10'!R31</f>
        <v>2277</v>
      </c>
      <c r="S31" s="27">
        <f t="shared" si="5"/>
        <v>0.442221790638959</v>
      </c>
      <c r="T31" s="12"/>
      <c r="U31" s="12">
        <f>T31+'10'!U31</f>
        <v>277</v>
      </c>
      <c r="V31" s="12"/>
      <c r="W31" s="12">
        <f>V31+'10'!W31</f>
        <v>3</v>
      </c>
      <c r="X31" s="12"/>
      <c r="Y31" s="12">
        <f>X31+'10'!Y31</f>
        <v>0</v>
      </c>
      <c r="AB31" s="5">
        <v>21</v>
      </c>
      <c r="AC31" s="26" t="str">
        <f>'10'!AC31</f>
        <v>طــــــــــــه شبرا</v>
      </c>
      <c r="AD31" s="28">
        <f>'10'!AI31</f>
        <v>216</v>
      </c>
      <c r="AE31" s="3"/>
      <c r="AF31" s="28">
        <f>AE31+'10'!AF31</f>
        <v>452</v>
      </c>
      <c r="AG31" s="4"/>
      <c r="AH31" s="28">
        <f>AG31+'10'!AH31</f>
        <v>236</v>
      </c>
      <c r="AI31" s="4">
        <f t="shared" si="6"/>
        <v>216</v>
      </c>
      <c r="AJ31" s="11" t="e">
        <f t="shared" si="0"/>
        <v>#DIV/0!</v>
      </c>
      <c r="AK31" s="53">
        <f t="shared" si="1"/>
        <v>9.648305084745763</v>
      </c>
      <c r="AW31" s="26" t="str">
        <f>'10'!AW31</f>
        <v>طــــــــــــه شبرا</v>
      </c>
      <c r="AX31" s="12">
        <f>'10'!AX31</f>
        <v>6</v>
      </c>
      <c r="AY31" s="12">
        <f>'10'!AY31</f>
        <v>2219</v>
      </c>
      <c r="AZ31" s="12"/>
      <c r="BA31" s="12"/>
      <c r="BB31" s="12">
        <f>BA31+'10'!BB31</f>
        <v>1367</v>
      </c>
      <c r="BC31" s="30">
        <f t="shared" si="2"/>
        <v>0.61604326273095988</v>
      </c>
      <c r="BD31" s="12">
        <f>'10'!BD31</f>
        <v>8</v>
      </c>
      <c r="BE31" s="12">
        <f>'10'!BE31</f>
        <v>748</v>
      </c>
      <c r="BF31" s="12"/>
      <c r="BG31" s="12"/>
      <c r="BH31" s="12">
        <f>BG31+'10'!BH31</f>
        <v>690</v>
      </c>
      <c r="BI31" s="30">
        <f t="shared" si="3"/>
        <v>0.92245989304812837</v>
      </c>
    </row>
    <row r="32" spans="1:61" ht="28.9" customHeight="1" x14ac:dyDescent="0.35">
      <c r="A32" s="5">
        <v>22</v>
      </c>
      <c r="B32" s="26" t="str">
        <f>'10'!B32</f>
        <v>أشـــــــــــــــــليم</v>
      </c>
      <c r="C32" s="26">
        <f>'10'!C32</f>
        <v>2638</v>
      </c>
      <c r="D32" s="26"/>
      <c r="E32" s="12"/>
      <c r="F32" s="2">
        <f>E32+'10'!F32</f>
        <v>19</v>
      </c>
      <c r="G32" s="2"/>
      <c r="H32" s="2">
        <f>G32+'10'!H32</f>
        <v>606</v>
      </c>
      <c r="I32" s="2"/>
      <c r="J32" s="2">
        <f>I32+'10'!J32</f>
        <v>1522</v>
      </c>
      <c r="K32" s="2"/>
      <c r="L32" s="2">
        <f>K32+'10'!L32</f>
        <v>0</v>
      </c>
      <c r="M32" s="2"/>
      <c r="N32" s="2">
        <f>M32+'10'!N32</f>
        <v>0</v>
      </c>
      <c r="O32" s="2"/>
      <c r="P32" s="2">
        <f>O32+'10'!P32</f>
        <v>0</v>
      </c>
      <c r="Q32" s="4">
        <f t="shared" si="4"/>
        <v>0</v>
      </c>
      <c r="R32" s="4">
        <f>Q32+'10'!R32</f>
        <v>2147</v>
      </c>
      <c r="S32" s="27">
        <f t="shared" si="5"/>
        <v>0.81387414708112205</v>
      </c>
      <c r="T32" s="12"/>
      <c r="U32" s="12">
        <f>T32+'10'!U32</f>
        <v>149</v>
      </c>
      <c r="V32" s="12"/>
      <c r="W32" s="12">
        <f>V32+'10'!W32</f>
        <v>119</v>
      </c>
      <c r="X32" s="12"/>
      <c r="Y32" s="12">
        <f>X32+'10'!Y32</f>
        <v>0</v>
      </c>
      <c r="AB32" s="5">
        <v>22</v>
      </c>
      <c r="AC32" s="26" t="str">
        <f>'10'!AC32</f>
        <v>أشـــــــــــــــــليم</v>
      </c>
      <c r="AD32" s="28">
        <f>'10'!AI32</f>
        <v>31</v>
      </c>
      <c r="AE32" s="3"/>
      <c r="AF32" s="28">
        <f>AE32+'10'!AF32</f>
        <v>252</v>
      </c>
      <c r="AG32" s="4"/>
      <c r="AH32" s="28">
        <f>AG32+'10'!AH32</f>
        <v>221</v>
      </c>
      <c r="AI32" s="4">
        <f t="shared" si="6"/>
        <v>31</v>
      </c>
      <c r="AJ32" s="11" t="e">
        <f t="shared" si="0"/>
        <v>#DIV/0!</v>
      </c>
      <c r="AK32" s="53">
        <f t="shared" si="1"/>
        <v>9.7149321266968318</v>
      </c>
      <c r="AW32" s="26" t="str">
        <f>'10'!AW32</f>
        <v>أشـــــــــــــــــليم</v>
      </c>
      <c r="AX32" s="12">
        <f>'10'!AX32</f>
        <v>8</v>
      </c>
      <c r="AY32" s="12">
        <f>'10'!AY32</f>
        <v>1819</v>
      </c>
      <c r="AZ32" s="12"/>
      <c r="BA32" s="12"/>
      <c r="BB32" s="12">
        <f>BA32+'10'!BB32</f>
        <v>1506</v>
      </c>
      <c r="BC32" s="30">
        <f t="shared" si="2"/>
        <v>0.82792743265530511</v>
      </c>
      <c r="BD32" s="12">
        <f>'10'!BD32</f>
        <v>7</v>
      </c>
      <c r="BE32" s="12">
        <f>'10'!BE32</f>
        <v>176</v>
      </c>
      <c r="BF32" s="12"/>
      <c r="BG32" s="12"/>
      <c r="BH32" s="12">
        <f>BG32+'10'!BH32</f>
        <v>531</v>
      </c>
      <c r="BI32" s="30">
        <f t="shared" si="3"/>
        <v>3.0170454545454546</v>
      </c>
    </row>
    <row r="33" spans="1:61" ht="28.9" customHeight="1" x14ac:dyDescent="0.35">
      <c r="A33" s="5">
        <v>23</v>
      </c>
      <c r="B33" s="26" t="str">
        <f>'10'!B33</f>
        <v>شبرا قبالــــــــــه</v>
      </c>
      <c r="C33" s="26">
        <f>'10'!C33</f>
        <v>2050</v>
      </c>
      <c r="D33" s="26"/>
      <c r="E33" s="12"/>
      <c r="F33" s="2">
        <f>E33+'10'!F33</f>
        <v>23</v>
      </c>
      <c r="G33" s="2"/>
      <c r="H33" s="2">
        <f>G33+'10'!H33</f>
        <v>644</v>
      </c>
      <c r="I33" s="2"/>
      <c r="J33" s="2">
        <f>I33+'10'!J33</f>
        <v>773</v>
      </c>
      <c r="K33" s="2"/>
      <c r="L33" s="2">
        <f>K33+'10'!L33</f>
        <v>0</v>
      </c>
      <c r="M33" s="2"/>
      <c r="N33" s="2">
        <f>M33+'10'!N33</f>
        <v>0</v>
      </c>
      <c r="O33" s="2"/>
      <c r="P33" s="2">
        <f>O33+'10'!P33</f>
        <v>0</v>
      </c>
      <c r="Q33" s="4">
        <f t="shared" si="4"/>
        <v>0</v>
      </c>
      <c r="R33" s="4">
        <f>Q33+'10'!R33</f>
        <v>1440</v>
      </c>
      <c r="S33" s="27">
        <f t="shared" si="5"/>
        <v>0.70243902439024386</v>
      </c>
      <c r="T33" s="12"/>
      <c r="U33" s="12">
        <f>T33+'10'!U33</f>
        <v>96</v>
      </c>
      <c r="V33" s="12"/>
      <c r="W33" s="12">
        <f>V33+'10'!W33</f>
        <v>64</v>
      </c>
      <c r="X33" s="12"/>
      <c r="Y33" s="12">
        <f>X33+'10'!Y33</f>
        <v>0</v>
      </c>
      <c r="AB33" s="5">
        <v>23</v>
      </c>
      <c r="AC33" s="26" t="str">
        <f>'10'!AC33</f>
        <v>شبرا قبالــــــــــه</v>
      </c>
      <c r="AD33" s="28">
        <f>'10'!AI33</f>
        <v>36</v>
      </c>
      <c r="AE33" s="3"/>
      <c r="AF33" s="28">
        <f>AE33+'10'!AF33</f>
        <v>180</v>
      </c>
      <c r="AG33" s="4"/>
      <c r="AH33" s="28">
        <f>AG33+'10'!AH33</f>
        <v>144</v>
      </c>
      <c r="AI33" s="4">
        <f t="shared" si="6"/>
        <v>36</v>
      </c>
      <c r="AJ33" s="11" t="e">
        <f t="shared" si="0"/>
        <v>#DIV/0!</v>
      </c>
      <c r="AK33" s="53">
        <f t="shared" si="1"/>
        <v>10</v>
      </c>
      <c r="AW33" s="26" t="str">
        <f>'10'!AW33</f>
        <v>شبرا قبالــــــــــه</v>
      </c>
      <c r="AX33" s="12">
        <f>'10'!AX33</f>
        <v>1</v>
      </c>
      <c r="AY33" s="12">
        <f>'10'!AY33</f>
        <v>918</v>
      </c>
      <c r="AZ33" s="12"/>
      <c r="BA33" s="12"/>
      <c r="BB33" s="12">
        <f>BA33+'10'!BB33</f>
        <v>780</v>
      </c>
      <c r="BC33" s="30">
        <f t="shared" si="2"/>
        <v>0.84967320261437906</v>
      </c>
      <c r="BD33" s="12">
        <f>'10'!BD33</f>
        <v>5</v>
      </c>
      <c r="BE33" s="12">
        <f>'10'!BE33</f>
        <v>375</v>
      </c>
      <c r="BF33" s="12"/>
      <c r="BG33" s="12"/>
      <c r="BH33" s="12">
        <f>BG33+'10'!BH33</f>
        <v>430</v>
      </c>
      <c r="BI33" s="30">
        <f t="shared" si="3"/>
        <v>1.1466666666666667</v>
      </c>
    </row>
    <row r="34" spans="1:61" ht="28.9" customHeight="1" x14ac:dyDescent="0.35">
      <c r="A34" s="5">
        <v>24</v>
      </c>
      <c r="B34" s="26" t="str">
        <f>'10'!B34</f>
        <v>عرب الرمـــــــل</v>
      </c>
      <c r="C34" s="26">
        <f>'10'!C34</f>
        <v>5755</v>
      </c>
      <c r="D34" s="26"/>
      <c r="E34" s="12"/>
      <c r="F34" s="2">
        <f>E34+'10'!F34</f>
        <v>22</v>
      </c>
      <c r="G34" s="2"/>
      <c r="H34" s="2">
        <f>G34+'10'!H34</f>
        <v>1011</v>
      </c>
      <c r="I34" s="2"/>
      <c r="J34" s="2">
        <f>I34+'10'!J34</f>
        <v>1364</v>
      </c>
      <c r="K34" s="2"/>
      <c r="L34" s="2">
        <f>K34+'10'!L34</f>
        <v>0</v>
      </c>
      <c r="M34" s="2"/>
      <c r="N34" s="2">
        <f>M34+'10'!N34</f>
        <v>0</v>
      </c>
      <c r="O34" s="2"/>
      <c r="P34" s="2">
        <f>O34+'10'!P34</f>
        <v>0</v>
      </c>
      <c r="Q34" s="4">
        <f t="shared" si="4"/>
        <v>0</v>
      </c>
      <c r="R34" s="4">
        <f>Q34+'10'!R34</f>
        <v>2397</v>
      </c>
      <c r="S34" s="27">
        <f t="shared" si="5"/>
        <v>0.41650738488271066</v>
      </c>
      <c r="T34" s="12"/>
      <c r="U34" s="12">
        <f>T34+'10'!U34</f>
        <v>562</v>
      </c>
      <c r="V34" s="12"/>
      <c r="W34" s="12">
        <f>V34+'10'!W34</f>
        <v>41</v>
      </c>
      <c r="X34" s="12"/>
      <c r="Y34" s="12">
        <f>X34+'10'!Y34</f>
        <v>0</v>
      </c>
      <c r="AB34" s="5">
        <v>24</v>
      </c>
      <c r="AC34" s="26" t="str">
        <f>'10'!AC34</f>
        <v>عرب الرمـــــــل</v>
      </c>
      <c r="AD34" s="28">
        <f>'10'!AI34</f>
        <v>263</v>
      </c>
      <c r="AE34" s="3"/>
      <c r="AF34" s="28">
        <f>AE34+'10'!AF34</f>
        <v>505</v>
      </c>
      <c r="AG34" s="4"/>
      <c r="AH34" s="28">
        <f>AG34+'10'!AH34</f>
        <v>242</v>
      </c>
      <c r="AI34" s="4">
        <f t="shared" si="6"/>
        <v>263</v>
      </c>
      <c r="AJ34" s="11" t="e">
        <f t="shared" si="0"/>
        <v>#DIV/0!</v>
      </c>
      <c r="AK34" s="53">
        <f t="shared" si="1"/>
        <v>9.9049586776859506</v>
      </c>
      <c r="AW34" s="26" t="str">
        <f>'10'!AW34</f>
        <v>عرب الرمـــــــل</v>
      </c>
      <c r="AX34" s="12">
        <f>'10'!AX34</f>
        <v>6</v>
      </c>
      <c r="AY34" s="12">
        <f>'10'!AY34</f>
        <v>2210</v>
      </c>
      <c r="AZ34" s="12"/>
      <c r="BA34" s="12"/>
      <c r="BB34" s="12">
        <f>BA34+'10'!BB34</f>
        <v>1456</v>
      </c>
      <c r="BC34" s="30">
        <f t="shared" si="2"/>
        <v>0.6588235294117647</v>
      </c>
      <c r="BD34" s="12">
        <f>'10'!BD34</f>
        <v>9</v>
      </c>
      <c r="BE34" s="12">
        <f>'10'!BE34</f>
        <v>932</v>
      </c>
      <c r="BF34" s="12"/>
      <c r="BG34" s="12"/>
      <c r="BH34" s="12">
        <f>BG34+'10'!BH34</f>
        <v>941</v>
      </c>
      <c r="BI34" s="30">
        <f t="shared" si="3"/>
        <v>1.0096566523605151</v>
      </c>
    </row>
    <row r="35" spans="1:61" ht="28.9" customHeight="1" x14ac:dyDescent="0.35">
      <c r="A35" s="5">
        <v>25</v>
      </c>
      <c r="B35" s="26" t="str">
        <f>'10'!B35</f>
        <v>كفر ميت سراج</v>
      </c>
      <c r="C35" s="26">
        <f>'10'!C35</f>
        <v>1840</v>
      </c>
      <c r="D35" s="26"/>
      <c r="E35" s="12"/>
      <c r="F35" s="2">
        <f>E35+'10'!F35</f>
        <v>8</v>
      </c>
      <c r="G35" s="2"/>
      <c r="H35" s="2">
        <f>G35+'10'!H35</f>
        <v>386</v>
      </c>
      <c r="I35" s="2"/>
      <c r="J35" s="2">
        <f>I35+'10'!J35</f>
        <v>773</v>
      </c>
      <c r="K35" s="2"/>
      <c r="L35" s="2">
        <f>K35+'10'!L35</f>
        <v>0</v>
      </c>
      <c r="M35" s="2"/>
      <c r="N35" s="2">
        <f>M35+'10'!N35</f>
        <v>0</v>
      </c>
      <c r="O35" s="2"/>
      <c r="P35" s="2">
        <f>O35+'10'!P35</f>
        <v>0</v>
      </c>
      <c r="Q35" s="4">
        <f t="shared" si="4"/>
        <v>0</v>
      </c>
      <c r="R35" s="4">
        <f>Q35+'10'!R35</f>
        <v>1167</v>
      </c>
      <c r="S35" s="27">
        <f t="shared" si="5"/>
        <v>0.63423913043478264</v>
      </c>
      <c r="T35" s="12"/>
      <c r="U35" s="12">
        <f>T35+'10'!U35</f>
        <v>174</v>
      </c>
      <c r="V35" s="12"/>
      <c r="W35" s="12">
        <f>V35+'10'!W35</f>
        <v>11</v>
      </c>
      <c r="X35" s="12"/>
      <c r="Y35" s="12">
        <f>X35+'10'!Y35</f>
        <v>0</v>
      </c>
      <c r="AB35" s="5">
        <v>25</v>
      </c>
      <c r="AC35" s="26" t="str">
        <f>'10'!AC35</f>
        <v>كفر ميت سراج</v>
      </c>
      <c r="AD35" s="28">
        <f>'10'!AI35</f>
        <v>41</v>
      </c>
      <c r="AE35" s="3"/>
      <c r="AF35" s="28">
        <f>AE35+'10'!AF35</f>
        <v>162</v>
      </c>
      <c r="AG35" s="4"/>
      <c r="AH35" s="28">
        <f>AG35+'10'!AH35</f>
        <v>121</v>
      </c>
      <c r="AI35" s="4">
        <f t="shared" si="6"/>
        <v>41</v>
      </c>
      <c r="AJ35" s="11" t="e">
        <f t="shared" si="0"/>
        <v>#DIV/0!</v>
      </c>
      <c r="AK35" s="53">
        <f t="shared" si="1"/>
        <v>9.6446280991735538</v>
      </c>
      <c r="AW35" s="26" t="str">
        <f>'10'!AW35</f>
        <v>كفر ميت سراج</v>
      </c>
      <c r="AX35" s="12">
        <f>'10'!AX35</f>
        <v>3</v>
      </c>
      <c r="AY35" s="12">
        <f>'10'!AY35</f>
        <v>1011</v>
      </c>
      <c r="AZ35" s="12"/>
      <c r="BA35" s="12"/>
      <c r="BB35" s="12">
        <f>BA35+'10'!BB35</f>
        <v>773</v>
      </c>
      <c r="BC35" s="30">
        <f t="shared" si="2"/>
        <v>0.76458951533135511</v>
      </c>
      <c r="BD35" s="12">
        <f>'10'!BD35</f>
        <v>4</v>
      </c>
      <c r="BE35" s="12">
        <f>'10'!BE35</f>
        <v>413</v>
      </c>
      <c r="BF35" s="12"/>
      <c r="BG35" s="12"/>
      <c r="BH35" s="12">
        <f>BG35+'10'!BH35</f>
        <v>232</v>
      </c>
      <c r="BI35" s="30">
        <f t="shared" si="3"/>
        <v>0.56174334140435833</v>
      </c>
    </row>
    <row r="36" spans="1:61" ht="28.9" customHeight="1" x14ac:dyDescent="0.35">
      <c r="A36" s="5">
        <v>26</v>
      </c>
      <c r="B36" s="26" t="str">
        <f>'10'!B36</f>
        <v>كفر أبشيش</v>
      </c>
      <c r="C36" s="26">
        <f>'10'!C36</f>
        <v>1345</v>
      </c>
      <c r="D36" s="26"/>
      <c r="E36" s="12"/>
      <c r="F36" s="2">
        <f>E36+'10'!F36</f>
        <v>14</v>
      </c>
      <c r="G36" s="2"/>
      <c r="H36" s="2">
        <f>G36+'10'!H36</f>
        <v>207</v>
      </c>
      <c r="I36" s="2"/>
      <c r="J36" s="2">
        <f>I36+'10'!J36</f>
        <v>725</v>
      </c>
      <c r="K36" s="2"/>
      <c r="L36" s="2">
        <f>K36+'10'!L36</f>
        <v>0</v>
      </c>
      <c r="M36" s="2"/>
      <c r="N36" s="2">
        <f>M36+'10'!N36</f>
        <v>0</v>
      </c>
      <c r="O36" s="2"/>
      <c r="P36" s="2">
        <f>O36+'10'!P36</f>
        <v>0</v>
      </c>
      <c r="Q36" s="4">
        <f t="shared" si="4"/>
        <v>0</v>
      </c>
      <c r="R36" s="4">
        <f>Q36+'10'!R36</f>
        <v>946</v>
      </c>
      <c r="S36" s="27">
        <f t="shared" si="5"/>
        <v>0.70334572490706315</v>
      </c>
      <c r="T36" s="12"/>
      <c r="U36" s="12">
        <f>T36+'10'!U36</f>
        <v>113</v>
      </c>
      <c r="V36" s="12"/>
      <c r="W36" s="12">
        <f>V36+'10'!W36</f>
        <v>4</v>
      </c>
      <c r="X36" s="12"/>
      <c r="Y36" s="12">
        <f>X36+'10'!Y36</f>
        <v>0</v>
      </c>
      <c r="AB36" s="5">
        <v>26</v>
      </c>
      <c r="AC36" s="26" t="str">
        <f>'10'!AC36</f>
        <v>كفر أبشيش</v>
      </c>
      <c r="AD36" s="28">
        <f>'10'!AI36</f>
        <v>24</v>
      </c>
      <c r="AE36" s="3"/>
      <c r="AF36" s="28">
        <f>AE36+'10'!AF36</f>
        <v>119</v>
      </c>
      <c r="AG36" s="4"/>
      <c r="AH36" s="28">
        <f>AG36+'10'!AH36</f>
        <v>95</v>
      </c>
      <c r="AI36" s="4">
        <f t="shared" si="6"/>
        <v>24</v>
      </c>
      <c r="AJ36" s="11" t="e">
        <f t="shared" si="0"/>
        <v>#DIV/0!</v>
      </c>
      <c r="AK36" s="53">
        <f t="shared" si="1"/>
        <v>9.9578947368421051</v>
      </c>
      <c r="AW36" s="26" t="str">
        <f>'10'!AW36</f>
        <v>كفر أبشيش</v>
      </c>
      <c r="AX36" s="12">
        <f>'10'!AX36</f>
        <v>1</v>
      </c>
      <c r="AY36" s="12">
        <f>'10'!AY36</f>
        <v>860</v>
      </c>
      <c r="AZ36" s="12"/>
      <c r="BA36" s="12"/>
      <c r="BB36" s="12">
        <f>BA36+'10'!BB36</f>
        <v>730</v>
      </c>
      <c r="BC36" s="30">
        <f t="shared" si="2"/>
        <v>0.84883720930232553</v>
      </c>
      <c r="BD36" s="12">
        <f>'10'!BD36</f>
        <v>4</v>
      </c>
      <c r="BE36" s="12">
        <f>'10'!BE36</f>
        <v>194</v>
      </c>
      <c r="BF36" s="12"/>
      <c r="BG36" s="12"/>
      <c r="BH36" s="12">
        <f>BG36+'10'!BH36</f>
        <v>0</v>
      </c>
      <c r="BI36" s="30">
        <f t="shared" si="3"/>
        <v>0</v>
      </c>
    </row>
    <row r="37" spans="1:61" ht="28.9" customHeight="1" x14ac:dyDescent="0.35">
      <c r="A37" s="5">
        <v>27</v>
      </c>
      <c r="B37" s="26" t="str">
        <f>'10'!B37</f>
        <v>كفر ميت العبسى</v>
      </c>
      <c r="C37" s="26">
        <f>'10'!C37</f>
        <v>1180</v>
      </c>
      <c r="D37" s="26"/>
      <c r="E37" s="12"/>
      <c r="F37" s="2">
        <f>E37+'10'!F37</f>
        <v>12</v>
      </c>
      <c r="G37" s="2"/>
      <c r="H37" s="2">
        <f>G37+'10'!H37</f>
        <v>248</v>
      </c>
      <c r="I37" s="2"/>
      <c r="J37" s="2">
        <f>I37+'10'!J37</f>
        <v>443</v>
      </c>
      <c r="K37" s="2"/>
      <c r="L37" s="2">
        <f>K37+'10'!L37</f>
        <v>0</v>
      </c>
      <c r="M37" s="2"/>
      <c r="N37" s="2">
        <f>M37+'10'!N37</f>
        <v>0</v>
      </c>
      <c r="O37" s="2"/>
      <c r="P37" s="2">
        <f>O37+'10'!P37</f>
        <v>0</v>
      </c>
      <c r="Q37" s="4">
        <f t="shared" si="4"/>
        <v>0</v>
      </c>
      <c r="R37" s="4">
        <f>Q37+'10'!R37</f>
        <v>703</v>
      </c>
      <c r="S37" s="27">
        <f t="shared" si="5"/>
        <v>0.59576271186440677</v>
      </c>
      <c r="T37" s="12"/>
      <c r="U37" s="12">
        <f>T37+'10'!U37</f>
        <v>53</v>
      </c>
      <c r="V37" s="12"/>
      <c r="W37" s="12">
        <f>V37+'10'!W37</f>
        <v>11</v>
      </c>
      <c r="X37" s="12"/>
      <c r="Y37" s="12">
        <f>X37+'10'!Y37</f>
        <v>0</v>
      </c>
      <c r="AB37" s="5">
        <v>27</v>
      </c>
      <c r="AC37" s="26" t="str">
        <f>'10'!AC37</f>
        <v>كفر ميت العبسى</v>
      </c>
      <c r="AD37" s="28">
        <f>'10'!AI37</f>
        <v>33</v>
      </c>
      <c r="AE37" s="3"/>
      <c r="AF37" s="28">
        <f>AE37+'10'!AF37</f>
        <v>104</v>
      </c>
      <c r="AG37" s="4"/>
      <c r="AH37" s="28">
        <f>AG37+'10'!AH37</f>
        <v>71</v>
      </c>
      <c r="AI37" s="4">
        <f t="shared" si="6"/>
        <v>33</v>
      </c>
      <c r="AJ37" s="11" t="e">
        <f t="shared" si="0"/>
        <v>#DIV/0!</v>
      </c>
      <c r="AK37" s="53">
        <f t="shared" si="1"/>
        <v>9.9014084507042259</v>
      </c>
      <c r="AW37" s="26" t="str">
        <f>'10'!AW37</f>
        <v>كفر ميت العبسى</v>
      </c>
      <c r="AX37" s="12">
        <f>'10'!AX37</f>
        <v>2</v>
      </c>
      <c r="AY37" s="12">
        <f>'10'!AY37</f>
        <v>494</v>
      </c>
      <c r="AZ37" s="12"/>
      <c r="BA37" s="12"/>
      <c r="BB37" s="12">
        <f>BA37+'10'!BB37</f>
        <v>418</v>
      </c>
      <c r="BC37" s="30">
        <f t="shared" si="2"/>
        <v>0.84615384615384615</v>
      </c>
      <c r="BD37" s="12">
        <f>'10'!BD37</f>
        <v>4</v>
      </c>
      <c r="BE37" s="12">
        <f>'10'!BE37</f>
        <v>114</v>
      </c>
      <c r="BF37" s="12"/>
      <c r="BG37" s="12"/>
      <c r="BH37" s="12">
        <f>BG37+'10'!BH37</f>
        <v>73</v>
      </c>
      <c r="BI37" s="30">
        <f t="shared" si="3"/>
        <v>0.64035087719298245</v>
      </c>
    </row>
    <row r="38" spans="1:61" ht="28.9" customHeight="1" x14ac:dyDescent="0.35">
      <c r="A38" s="5">
        <v>28</v>
      </c>
      <c r="B38" s="26" t="str">
        <f>'10'!B38</f>
        <v>كفر وهــــــــــب</v>
      </c>
      <c r="C38" s="26">
        <f>'10'!C38</f>
        <v>1854.9999999999998</v>
      </c>
      <c r="D38" s="26"/>
      <c r="E38" s="12"/>
      <c r="F38" s="2">
        <f>E38+'10'!F38</f>
        <v>7</v>
      </c>
      <c r="G38" s="2"/>
      <c r="H38" s="2">
        <f>G38+'10'!H38</f>
        <v>265</v>
      </c>
      <c r="I38" s="2"/>
      <c r="J38" s="2">
        <f>I38+'10'!J38</f>
        <v>618</v>
      </c>
      <c r="K38" s="2"/>
      <c r="L38" s="2">
        <f>K38+'10'!L38</f>
        <v>0</v>
      </c>
      <c r="M38" s="2"/>
      <c r="N38" s="2">
        <f>M38+'10'!N38</f>
        <v>0</v>
      </c>
      <c r="O38" s="2"/>
      <c r="P38" s="2">
        <f>O38+'10'!P38</f>
        <v>0</v>
      </c>
      <c r="Q38" s="4">
        <f t="shared" si="4"/>
        <v>0</v>
      </c>
      <c r="R38" s="4">
        <f>Q38+'10'!R38</f>
        <v>890</v>
      </c>
      <c r="S38" s="27">
        <f t="shared" si="5"/>
        <v>0.47978436657681944</v>
      </c>
      <c r="T38" s="12"/>
      <c r="U38" s="12">
        <f>T38+'10'!U38</f>
        <v>123</v>
      </c>
      <c r="V38" s="12"/>
      <c r="W38" s="12">
        <f>V38+'10'!W38</f>
        <v>7</v>
      </c>
      <c r="X38" s="12"/>
      <c r="Y38" s="12">
        <f>X38+'10'!Y38</f>
        <v>0</v>
      </c>
      <c r="AB38" s="5">
        <v>28</v>
      </c>
      <c r="AC38" s="26" t="str">
        <f>'10'!AC38</f>
        <v>كفر وهــــــــــب</v>
      </c>
      <c r="AD38" s="28">
        <f>'10'!AI38</f>
        <v>72</v>
      </c>
      <c r="AE38" s="3"/>
      <c r="AF38" s="28">
        <f>AE38+'10'!AF38</f>
        <v>163</v>
      </c>
      <c r="AG38" s="4"/>
      <c r="AH38" s="28">
        <f>AG38+'10'!AH38</f>
        <v>91</v>
      </c>
      <c r="AI38" s="4">
        <f t="shared" si="6"/>
        <v>72</v>
      </c>
      <c r="AJ38" s="11" t="e">
        <f t="shared" si="0"/>
        <v>#DIV/0!</v>
      </c>
      <c r="AK38" s="53">
        <f t="shared" si="1"/>
        <v>9.780219780219781</v>
      </c>
      <c r="AW38" s="26" t="str">
        <f>'10'!AW38</f>
        <v>كفر وهــــــــــب</v>
      </c>
      <c r="AX38" s="12">
        <f>'10'!AX38</f>
        <v>2</v>
      </c>
      <c r="AY38" s="12">
        <f>'10'!AY38</f>
        <v>793</v>
      </c>
      <c r="AZ38" s="12"/>
      <c r="BA38" s="12"/>
      <c r="BB38" s="12">
        <f>BA38+'10'!BB38</f>
        <v>623</v>
      </c>
      <c r="BC38" s="30">
        <f t="shared" si="2"/>
        <v>0.78562421185372</v>
      </c>
      <c r="BD38" s="12">
        <f>'10'!BD38</f>
        <v>3</v>
      </c>
      <c r="BE38" s="12">
        <f>'10'!BE38</f>
        <v>180</v>
      </c>
      <c r="BF38" s="12"/>
      <c r="BG38" s="12"/>
      <c r="BH38" s="12">
        <f>BG38+'10'!BH38</f>
        <v>160</v>
      </c>
      <c r="BI38" s="30">
        <f t="shared" si="3"/>
        <v>0.88888888888888884</v>
      </c>
    </row>
    <row r="39" spans="1:61" ht="28.9" customHeight="1" x14ac:dyDescent="0.35">
      <c r="A39" s="5">
        <v>29</v>
      </c>
      <c r="B39" s="26" t="str">
        <f>'10'!B39</f>
        <v>دمــــــــــــــهوج</v>
      </c>
      <c r="C39" s="26">
        <f>'10'!C39</f>
        <v>2738</v>
      </c>
      <c r="D39" s="26"/>
      <c r="E39" s="12"/>
      <c r="F39" s="2">
        <f>E39+'10'!F39</f>
        <v>11</v>
      </c>
      <c r="G39" s="2"/>
      <c r="H39" s="2">
        <f>G39+'10'!H39</f>
        <v>437</v>
      </c>
      <c r="I39" s="2"/>
      <c r="J39" s="2">
        <f>I39+'10'!J39</f>
        <v>832</v>
      </c>
      <c r="K39" s="2"/>
      <c r="L39" s="2">
        <f>K39+'10'!L39</f>
        <v>0</v>
      </c>
      <c r="M39" s="2"/>
      <c r="N39" s="2">
        <f>M39+'10'!N39</f>
        <v>0</v>
      </c>
      <c r="O39" s="2"/>
      <c r="P39" s="2">
        <f>O39+'10'!P39</f>
        <v>0</v>
      </c>
      <c r="Q39" s="4">
        <f t="shared" si="4"/>
        <v>0</v>
      </c>
      <c r="R39" s="4">
        <f>Q39+'10'!R39</f>
        <v>1280</v>
      </c>
      <c r="S39" s="27">
        <f t="shared" si="5"/>
        <v>0.46749452154857563</v>
      </c>
      <c r="T39" s="12"/>
      <c r="U39" s="12">
        <f>T39+'10'!U39</f>
        <v>158</v>
      </c>
      <c r="V39" s="12"/>
      <c r="W39" s="12">
        <f>V39+'10'!W39</f>
        <v>7</v>
      </c>
      <c r="X39" s="12"/>
      <c r="Y39" s="12">
        <f>X39+'10'!Y39</f>
        <v>0</v>
      </c>
      <c r="AB39" s="5">
        <v>29</v>
      </c>
      <c r="AC39" s="26" t="str">
        <f>'10'!AC39</f>
        <v>دمــــــــــــــهوج</v>
      </c>
      <c r="AD39" s="28">
        <f>'10'!AI39</f>
        <v>109</v>
      </c>
      <c r="AE39" s="3"/>
      <c r="AF39" s="28">
        <f>AE39+'10'!AF39</f>
        <v>240</v>
      </c>
      <c r="AG39" s="4"/>
      <c r="AH39" s="28">
        <f>AG39+'10'!AH39</f>
        <v>131</v>
      </c>
      <c r="AI39" s="4">
        <f t="shared" si="6"/>
        <v>109</v>
      </c>
      <c r="AJ39" s="11" t="e">
        <f t="shared" si="0"/>
        <v>#DIV/0!</v>
      </c>
      <c r="AK39" s="53">
        <f t="shared" si="1"/>
        <v>9.770992366412214</v>
      </c>
      <c r="AW39" s="26" t="str">
        <f>'10'!AW39</f>
        <v>دمــــــــــــــهوج</v>
      </c>
      <c r="AX39" s="12">
        <f>'10'!AX39</f>
        <v>2</v>
      </c>
      <c r="AY39" s="12">
        <f>'10'!AY39</f>
        <v>1086</v>
      </c>
      <c r="AZ39" s="12"/>
      <c r="BA39" s="12"/>
      <c r="BB39" s="12">
        <f>BA39+'10'!BB39</f>
        <v>834</v>
      </c>
      <c r="BC39" s="30">
        <f t="shared" si="2"/>
        <v>0.76795580110497241</v>
      </c>
      <c r="BD39" s="12">
        <f>'10'!BD39</f>
        <v>10</v>
      </c>
      <c r="BE39" s="12">
        <f>'10'!BE39</f>
        <v>455</v>
      </c>
      <c r="BF39" s="12"/>
      <c r="BG39" s="12"/>
      <c r="BH39" s="12">
        <f>BG39+'10'!BH39</f>
        <v>439</v>
      </c>
      <c r="BI39" s="30">
        <f t="shared" si="3"/>
        <v>0.96483516483516485</v>
      </c>
    </row>
    <row r="40" spans="1:61" ht="28.9" customHeight="1" x14ac:dyDescent="0.35">
      <c r="A40" s="5">
        <v>30</v>
      </c>
      <c r="B40" s="26" t="str">
        <f>'10'!B40</f>
        <v>كفر زين الدين</v>
      </c>
      <c r="C40" s="26">
        <f>'10'!C40</f>
        <v>819</v>
      </c>
      <c r="D40" s="26"/>
      <c r="E40" s="12"/>
      <c r="F40" s="2">
        <f>E40+'10'!F40</f>
        <v>9</v>
      </c>
      <c r="G40" s="2"/>
      <c r="H40" s="2">
        <f>G40+'10'!H40</f>
        <v>266</v>
      </c>
      <c r="I40" s="2"/>
      <c r="J40" s="2">
        <f>I40+'10'!J40</f>
        <v>430</v>
      </c>
      <c r="K40" s="2"/>
      <c r="L40" s="2">
        <f>K40+'10'!L40</f>
        <v>0</v>
      </c>
      <c r="M40" s="2"/>
      <c r="N40" s="2">
        <f>M40+'10'!N40</f>
        <v>0</v>
      </c>
      <c r="O40" s="2"/>
      <c r="P40" s="2">
        <f>O40+'10'!P40</f>
        <v>0</v>
      </c>
      <c r="Q40" s="4">
        <f t="shared" si="4"/>
        <v>0</v>
      </c>
      <c r="R40" s="4">
        <f>Q40+'10'!R40</f>
        <v>705</v>
      </c>
      <c r="S40" s="27">
        <f t="shared" si="5"/>
        <v>0.86080586080586086</v>
      </c>
      <c r="T40" s="12"/>
      <c r="U40" s="12">
        <f>T40+'10'!U40</f>
        <v>76</v>
      </c>
      <c r="V40" s="12"/>
      <c r="W40" s="12">
        <f>V40+'10'!W40</f>
        <v>26</v>
      </c>
      <c r="X40" s="12"/>
      <c r="Y40" s="12">
        <f>X40+'10'!Y40</f>
        <v>0</v>
      </c>
      <c r="AB40" s="5">
        <v>30</v>
      </c>
      <c r="AC40" s="26" t="str">
        <f>'10'!AC40</f>
        <v>كفر زين الدين</v>
      </c>
      <c r="AD40" s="28">
        <f>'10'!AI40</f>
        <v>9</v>
      </c>
      <c r="AE40" s="3"/>
      <c r="AF40" s="28">
        <f>AE40+'10'!AF40</f>
        <v>80</v>
      </c>
      <c r="AG40" s="4"/>
      <c r="AH40" s="28">
        <f>AG40+'10'!AH40</f>
        <v>71</v>
      </c>
      <c r="AI40" s="4">
        <f t="shared" si="6"/>
        <v>9</v>
      </c>
      <c r="AJ40" s="11" t="e">
        <f t="shared" si="0"/>
        <v>#DIV/0!</v>
      </c>
      <c r="AK40" s="53">
        <f t="shared" si="1"/>
        <v>9.929577464788732</v>
      </c>
      <c r="AW40" s="26" t="str">
        <f>'10'!AW40</f>
        <v>كفر زين الدين</v>
      </c>
      <c r="AX40" s="12">
        <f>'10'!AX40</f>
        <v>1</v>
      </c>
      <c r="AY40" s="12">
        <f>'10'!AY40</f>
        <v>563</v>
      </c>
      <c r="AZ40" s="12"/>
      <c r="BA40" s="12"/>
      <c r="BB40" s="12">
        <f>BA40+'10'!BB40</f>
        <v>364</v>
      </c>
      <c r="BC40" s="30">
        <f t="shared" si="2"/>
        <v>0.64653641207815271</v>
      </c>
      <c r="BD40" s="12">
        <f>'10'!BD40</f>
        <v>2</v>
      </c>
      <c r="BE40" s="12">
        <f>'10'!BE40</f>
        <v>87</v>
      </c>
      <c r="BF40" s="12"/>
      <c r="BG40" s="12"/>
      <c r="BH40" s="12">
        <f>BG40+'10'!BH40</f>
        <v>166</v>
      </c>
      <c r="BI40" s="30">
        <f t="shared" si="3"/>
        <v>1.9080459770114941</v>
      </c>
    </row>
    <row r="41" spans="1:61" ht="28.9" customHeight="1" x14ac:dyDescent="0.35">
      <c r="A41" s="5">
        <v>31</v>
      </c>
      <c r="B41" s="26" t="str">
        <f>'10'!B41</f>
        <v>عزبــة أبوالنصر</v>
      </c>
      <c r="C41" s="26">
        <f>'10'!C41</f>
        <v>410</v>
      </c>
      <c r="D41" s="26"/>
      <c r="E41" s="12"/>
      <c r="F41" s="2">
        <f>E41+'10'!F41</f>
        <v>10</v>
      </c>
      <c r="G41" s="2"/>
      <c r="H41" s="2">
        <f>G41+'10'!H41</f>
        <v>229</v>
      </c>
      <c r="I41" s="2"/>
      <c r="J41" s="2">
        <f>I41+'10'!J41</f>
        <v>120</v>
      </c>
      <c r="K41" s="2"/>
      <c r="L41" s="2">
        <f>K41+'10'!L41</f>
        <v>0</v>
      </c>
      <c r="M41" s="2"/>
      <c r="N41" s="2">
        <f>M41+'10'!N41</f>
        <v>0</v>
      </c>
      <c r="O41" s="2"/>
      <c r="P41" s="2">
        <f>O41+'10'!P41</f>
        <v>0</v>
      </c>
      <c r="Q41" s="4">
        <f t="shared" si="4"/>
        <v>0</v>
      </c>
      <c r="R41" s="4">
        <f>Q41+'10'!R41</f>
        <v>359</v>
      </c>
      <c r="S41" s="27">
        <f t="shared" si="5"/>
        <v>0.87560975609756098</v>
      </c>
      <c r="T41" s="12"/>
      <c r="U41" s="12">
        <f>T41+'10'!U41</f>
        <v>0</v>
      </c>
      <c r="V41" s="12"/>
      <c r="W41" s="12">
        <f>V41+'10'!W41</f>
        <v>0</v>
      </c>
      <c r="X41" s="12"/>
      <c r="Y41" s="12">
        <f>X41+'10'!Y41</f>
        <v>0</v>
      </c>
      <c r="AB41" s="5">
        <v>31</v>
      </c>
      <c r="AC41" s="26" t="str">
        <f>'10'!AC41</f>
        <v>عزبــة أبوالنصر</v>
      </c>
      <c r="AD41" s="28">
        <f>'10'!AI41</f>
        <v>4</v>
      </c>
      <c r="AE41" s="3"/>
      <c r="AF41" s="28">
        <f>AE41+'10'!AF41</f>
        <v>41</v>
      </c>
      <c r="AG41" s="4"/>
      <c r="AH41" s="28">
        <f>AG41+'10'!AH41</f>
        <v>37</v>
      </c>
      <c r="AI41" s="4">
        <f t="shared" si="6"/>
        <v>4</v>
      </c>
      <c r="AJ41" s="11" t="e">
        <f t="shared" si="0"/>
        <v>#DIV/0!</v>
      </c>
      <c r="AK41" s="53">
        <f t="shared" si="1"/>
        <v>9.7027027027027035</v>
      </c>
      <c r="AW41" s="26" t="str">
        <f>'10'!AW41</f>
        <v>عزبــة أبوالنصر</v>
      </c>
      <c r="AX41" s="12">
        <f>'10'!AX41</f>
        <v>2</v>
      </c>
      <c r="AY41" s="12">
        <f>'10'!AY41</f>
        <v>70</v>
      </c>
      <c r="AZ41" s="12"/>
      <c r="BA41" s="12"/>
      <c r="BB41" s="12">
        <f>BA41+'10'!BB41</f>
        <v>65</v>
      </c>
      <c r="BC41" s="30">
        <f t="shared" si="2"/>
        <v>0.9285714285714286</v>
      </c>
      <c r="BD41" s="12">
        <f>'10'!BD41</f>
        <v>3</v>
      </c>
      <c r="BE41" s="12">
        <f>'10'!BE41</f>
        <v>75</v>
      </c>
      <c r="BF41" s="12"/>
      <c r="BG41" s="12"/>
      <c r="BH41" s="12">
        <f>BG41+'10'!BH41</f>
        <v>36</v>
      </c>
      <c r="BI41" s="30">
        <f t="shared" si="3"/>
        <v>0.48</v>
      </c>
    </row>
    <row r="42" spans="1:61" ht="28.9" customHeight="1" x14ac:dyDescent="0.35">
      <c r="A42" s="5">
        <v>32</v>
      </c>
      <c r="B42" s="26" t="str">
        <f>'10'!B42</f>
        <v>شمنديــــــــــــــل</v>
      </c>
      <c r="C42" s="26">
        <f>'10'!C42</f>
        <v>880</v>
      </c>
      <c r="D42" s="26"/>
      <c r="E42" s="12"/>
      <c r="F42" s="2">
        <f>E42+'10'!F42</f>
        <v>7</v>
      </c>
      <c r="G42" s="2"/>
      <c r="H42" s="2">
        <f>G42+'10'!H42</f>
        <v>219</v>
      </c>
      <c r="I42" s="2"/>
      <c r="J42" s="2">
        <f>I42+'10'!J42</f>
        <v>421</v>
      </c>
      <c r="K42" s="2"/>
      <c r="L42" s="2">
        <f>K42+'10'!L42</f>
        <v>0</v>
      </c>
      <c r="M42" s="2"/>
      <c r="N42" s="2">
        <f>M42+'10'!N42</f>
        <v>0</v>
      </c>
      <c r="O42" s="2"/>
      <c r="P42" s="2">
        <f>O42+'10'!P42</f>
        <v>0</v>
      </c>
      <c r="Q42" s="4">
        <f t="shared" si="4"/>
        <v>0</v>
      </c>
      <c r="R42" s="4">
        <f>Q42+'10'!R42</f>
        <v>647</v>
      </c>
      <c r="S42" s="27">
        <f t="shared" si="5"/>
        <v>0.73522727272727273</v>
      </c>
      <c r="T42" s="12"/>
      <c r="U42" s="12">
        <f>T42+'10'!U42</f>
        <v>69</v>
      </c>
      <c r="V42" s="12"/>
      <c r="W42" s="12">
        <f>V42+'10'!W42</f>
        <v>11</v>
      </c>
      <c r="X42" s="12"/>
      <c r="Y42" s="12">
        <f>X42+'10'!Y42</f>
        <v>0</v>
      </c>
      <c r="AB42" s="5">
        <v>32</v>
      </c>
      <c r="AC42" s="26" t="str">
        <f>'10'!AC42</f>
        <v>شمنديــــــــــــــل</v>
      </c>
      <c r="AD42" s="28">
        <f>'10'!AI42</f>
        <v>9</v>
      </c>
      <c r="AE42" s="3"/>
      <c r="AF42" s="28">
        <f>AE42+'10'!AF42</f>
        <v>78</v>
      </c>
      <c r="AG42" s="4"/>
      <c r="AH42" s="28">
        <f>AG42+'10'!AH42</f>
        <v>69</v>
      </c>
      <c r="AI42" s="4">
        <f t="shared" si="6"/>
        <v>9</v>
      </c>
      <c r="AJ42" s="11" t="e">
        <f t="shared" si="0"/>
        <v>#DIV/0!</v>
      </c>
      <c r="AK42" s="53">
        <f t="shared" si="1"/>
        <v>9.3768115942028984</v>
      </c>
      <c r="AW42" s="26" t="str">
        <f>'10'!AW42</f>
        <v>شمنديــــــــــــــل</v>
      </c>
      <c r="AX42" s="12">
        <f>'10'!AX42</f>
        <v>2</v>
      </c>
      <c r="AY42" s="12">
        <f>'10'!AY42</f>
        <v>569</v>
      </c>
      <c r="AZ42" s="12"/>
      <c r="BA42" s="12"/>
      <c r="BB42" s="12">
        <f>BA42+'10'!BB42</f>
        <v>453</v>
      </c>
      <c r="BC42" s="30">
        <f t="shared" si="2"/>
        <v>0.79613356766256593</v>
      </c>
      <c r="BD42" s="12">
        <f>'10'!BD42</f>
        <v>1</v>
      </c>
      <c r="BE42" s="12">
        <f>'10'!BE42</f>
        <v>39</v>
      </c>
      <c r="BF42" s="12"/>
      <c r="BG42" s="12"/>
      <c r="BH42" s="12">
        <f>BG42+'10'!BH42</f>
        <v>82</v>
      </c>
      <c r="BI42" s="30">
        <f t="shared" si="3"/>
        <v>2.1025641025641026</v>
      </c>
    </row>
    <row r="43" spans="1:61" ht="28.9" customHeight="1" x14ac:dyDescent="0.35">
      <c r="A43" s="5">
        <v>33</v>
      </c>
      <c r="B43" s="26" t="str">
        <f>'10'!B43</f>
        <v>كفور الرمل</v>
      </c>
      <c r="C43" s="26">
        <f>'10'!C43</f>
        <v>1721</v>
      </c>
      <c r="D43" s="26"/>
      <c r="E43" s="12"/>
      <c r="F43" s="2">
        <f>E43+'10'!F43</f>
        <v>17</v>
      </c>
      <c r="G43" s="2"/>
      <c r="H43" s="2">
        <f>G43+'10'!H43</f>
        <v>505</v>
      </c>
      <c r="I43" s="2"/>
      <c r="J43" s="2">
        <f>I43+'10'!J43</f>
        <v>718</v>
      </c>
      <c r="K43" s="2"/>
      <c r="L43" s="2">
        <f>K43+'10'!L43</f>
        <v>0</v>
      </c>
      <c r="M43" s="2"/>
      <c r="N43" s="2">
        <f>M43+'10'!N43</f>
        <v>0</v>
      </c>
      <c r="O43" s="2"/>
      <c r="P43" s="2">
        <f>O43+'10'!P43</f>
        <v>0</v>
      </c>
      <c r="Q43" s="4">
        <f t="shared" si="4"/>
        <v>0</v>
      </c>
      <c r="R43" s="4">
        <f>Q43+'10'!R43</f>
        <v>1240</v>
      </c>
      <c r="S43" s="27">
        <f t="shared" si="5"/>
        <v>0.72051133062173156</v>
      </c>
      <c r="T43" s="12"/>
      <c r="U43" s="12">
        <f>T43+'10'!U43</f>
        <v>192</v>
      </c>
      <c r="V43" s="12"/>
      <c r="W43" s="12">
        <f>V43+'10'!W43</f>
        <v>100</v>
      </c>
      <c r="X43" s="12"/>
      <c r="Y43" s="12">
        <f>X43+'10'!Y43</f>
        <v>0</v>
      </c>
      <c r="AB43" s="5">
        <v>33</v>
      </c>
      <c r="AC43" s="26" t="str">
        <f>'10'!AC43</f>
        <v>كفور الرمل</v>
      </c>
      <c r="AD43" s="28">
        <f>'10'!AI43</f>
        <v>15</v>
      </c>
      <c r="AE43" s="3"/>
      <c r="AF43" s="28">
        <f>AE43+'10'!AF43</f>
        <v>150</v>
      </c>
      <c r="AG43" s="4"/>
      <c r="AH43" s="28">
        <f>AG43+'10'!AH43</f>
        <v>135</v>
      </c>
      <c r="AI43" s="4">
        <f t="shared" si="6"/>
        <v>15</v>
      </c>
      <c r="AJ43" s="11" t="e">
        <f t="shared" si="0"/>
        <v>#DIV/0!</v>
      </c>
      <c r="AK43" s="53">
        <f t="shared" si="1"/>
        <v>9.1851851851851851</v>
      </c>
      <c r="AW43" s="26" t="str">
        <f>'10'!AW43</f>
        <v>كفور الرمل</v>
      </c>
      <c r="AX43" s="12">
        <f>'10'!AX43</f>
        <v>4</v>
      </c>
      <c r="AY43" s="12">
        <f>'10'!AY43</f>
        <v>1335</v>
      </c>
      <c r="AZ43" s="12"/>
      <c r="BA43" s="12"/>
      <c r="BB43" s="12">
        <f>BA43+'10'!BB43</f>
        <v>918</v>
      </c>
      <c r="BC43" s="30">
        <f t="shared" si="2"/>
        <v>0.68764044943820224</v>
      </c>
      <c r="BD43" s="12">
        <f>'10'!BD43</f>
        <v>7</v>
      </c>
      <c r="BE43" s="12">
        <f>'10'!BE43</f>
        <v>753</v>
      </c>
      <c r="BF43" s="12"/>
      <c r="BG43" s="12"/>
      <c r="BH43" s="12">
        <f>BG43+'10'!BH43</f>
        <v>414</v>
      </c>
      <c r="BI43" s="30">
        <f t="shared" si="3"/>
        <v>0.54980079681274896</v>
      </c>
    </row>
    <row r="44" spans="1:61" ht="28.9" customHeight="1" x14ac:dyDescent="0.35">
      <c r="A44" s="5">
        <v>34</v>
      </c>
      <c r="B44" s="26" t="str">
        <f>'10'!B44</f>
        <v>منشأة أم خنان</v>
      </c>
      <c r="C44" s="26">
        <f>'10'!C44</f>
        <v>510</v>
      </c>
      <c r="D44" s="26"/>
      <c r="E44" s="12"/>
      <c r="F44" s="2">
        <f>E44+'10'!F44</f>
        <v>12</v>
      </c>
      <c r="G44" s="2"/>
      <c r="H44" s="2">
        <f>G44+'10'!H44</f>
        <v>194</v>
      </c>
      <c r="I44" s="2"/>
      <c r="J44" s="2">
        <f>I44+'10'!J44</f>
        <v>291</v>
      </c>
      <c r="K44" s="2"/>
      <c r="L44" s="2">
        <f>K44+'10'!L44</f>
        <v>0</v>
      </c>
      <c r="M44" s="2"/>
      <c r="N44" s="2">
        <f>M44+'10'!N44</f>
        <v>0</v>
      </c>
      <c r="O44" s="2"/>
      <c r="P44" s="2">
        <f>O44+'10'!P44</f>
        <v>0</v>
      </c>
      <c r="Q44" s="4">
        <f t="shared" si="4"/>
        <v>0</v>
      </c>
      <c r="R44" s="4">
        <f>Q44+'10'!R44</f>
        <v>497</v>
      </c>
      <c r="S44" s="27">
        <f t="shared" si="5"/>
        <v>0.97450980392156861</v>
      </c>
      <c r="T44" s="12"/>
      <c r="U44" s="12">
        <f>T44+'10'!U44</f>
        <v>11</v>
      </c>
      <c r="V44" s="12"/>
      <c r="W44" s="12">
        <f>V44+'10'!W44</f>
        <v>7</v>
      </c>
      <c r="X44" s="12"/>
      <c r="Y44" s="12">
        <f>X44+'10'!Y44</f>
        <v>0</v>
      </c>
      <c r="AB44" s="5">
        <v>34</v>
      </c>
      <c r="AC44" s="26" t="str">
        <f>'10'!AC44</f>
        <v>منشأة أم خنان</v>
      </c>
      <c r="AD44" s="28">
        <f>'10'!AI44</f>
        <v>4</v>
      </c>
      <c r="AE44" s="3"/>
      <c r="AF44" s="28">
        <f>AE44+'10'!AF44</f>
        <v>55</v>
      </c>
      <c r="AG44" s="4"/>
      <c r="AH44" s="28">
        <f>AG44+'10'!AH44</f>
        <v>51</v>
      </c>
      <c r="AI44" s="4">
        <f t="shared" si="6"/>
        <v>4</v>
      </c>
      <c r="AJ44" s="11" t="e">
        <f t="shared" si="0"/>
        <v>#DIV/0!</v>
      </c>
      <c r="AK44" s="53">
        <f t="shared" si="1"/>
        <v>9.7450980392156854</v>
      </c>
      <c r="AW44" s="26" t="str">
        <f>'10'!AW44</f>
        <v>منشأة أم خنان</v>
      </c>
      <c r="AX44" s="12">
        <f>'10'!AX44</f>
        <v>1</v>
      </c>
      <c r="AY44" s="12">
        <f>'10'!AY44</f>
        <v>277</v>
      </c>
      <c r="AZ44" s="12"/>
      <c r="BA44" s="12"/>
      <c r="BB44" s="12">
        <f>BA44+'10'!BB44</f>
        <v>269</v>
      </c>
      <c r="BC44" s="30">
        <f t="shared" si="2"/>
        <v>0.97111913357400725</v>
      </c>
      <c r="BD44" s="12">
        <f>'10'!BD44</f>
        <v>3</v>
      </c>
      <c r="BE44" s="12">
        <f>'10'!BE44</f>
        <v>170</v>
      </c>
      <c r="BF44" s="12"/>
      <c r="BG44" s="12"/>
      <c r="BH44" s="12">
        <f>BG44+'10'!BH44</f>
        <v>115</v>
      </c>
      <c r="BI44" s="30">
        <f t="shared" si="3"/>
        <v>0.67647058823529416</v>
      </c>
    </row>
    <row r="45" spans="1:61" ht="28.9" customHeight="1" x14ac:dyDescent="0.35">
      <c r="A45" s="5">
        <v>35</v>
      </c>
      <c r="B45" s="26">
        <f>'10'!B45</f>
        <v>0</v>
      </c>
      <c r="C45" s="26">
        <f>'10'!C45</f>
        <v>0</v>
      </c>
      <c r="D45" s="26"/>
      <c r="E45" s="12"/>
      <c r="F45" s="2">
        <f>E45+'10'!F45</f>
        <v>0</v>
      </c>
      <c r="G45" s="2"/>
      <c r="H45" s="2">
        <f>G45+'10'!H45</f>
        <v>0</v>
      </c>
      <c r="I45" s="2"/>
      <c r="J45" s="2">
        <f>I45+'10'!J45</f>
        <v>0</v>
      </c>
      <c r="K45" s="2"/>
      <c r="L45" s="2">
        <f>K45+'10'!L45</f>
        <v>0</v>
      </c>
      <c r="M45" s="2"/>
      <c r="N45" s="2">
        <f>M45+'10'!N45</f>
        <v>0</v>
      </c>
      <c r="O45" s="2"/>
      <c r="P45" s="2">
        <f>O45+'10'!P45</f>
        <v>0</v>
      </c>
      <c r="Q45" s="4">
        <f t="shared" si="4"/>
        <v>0</v>
      </c>
      <c r="R45" s="4">
        <f>Q45+'10'!R45</f>
        <v>0</v>
      </c>
      <c r="S45" s="27" t="e">
        <f t="shared" si="5"/>
        <v>#DIV/0!</v>
      </c>
      <c r="T45" s="12"/>
      <c r="U45" s="12">
        <f>T45+'10'!U45</f>
        <v>0</v>
      </c>
      <c r="V45" s="12"/>
      <c r="W45" s="12">
        <f>V45+'10'!W45</f>
        <v>0</v>
      </c>
      <c r="X45" s="12"/>
      <c r="Y45" s="12">
        <f>X45+'10'!Y45</f>
        <v>0</v>
      </c>
      <c r="AB45" s="5">
        <v>35</v>
      </c>
      <c r="AC45" s="26">
        <f>'10'!AC45</f>
        <v>0</v>
      </c>
      <c r="AD45" s="28">
        <f>'10'!AI45</f>
        <v>0</v>
      </c>
      <c r="AE45" s="3"/>
      <c r="AF45" s="28">
        <f>AE45+'10'!AF45</f>
        <v>0</v>
      </c>
      <c r="AG45" s="4"/>
      <c r="AH45" s="28">
        <f>AG45+'10'!AH45</f>
        <v>0</v>
      </c>
      <c r="AI45" s="4">
        <f t="shared" si="6"/>
        <v>0</v>
      </c>
      <c r="AJ45" s="11" t="e">
        <f t="shared" si="0"/>
        <v>#DIV/0!</v>
      </c>
      <c r="AK45" s="53" t="e">
        <f t="shared" si="1"/>
        <v>#DIV/0!</v>
      </c>
      <c r="AW45" s="26">
        <f>'10'!AW45</f>
        <v>0</v>
      </c>
      <c r="AX45" s="12">
        <f>'10'!AX45</f>
        <v>0</v>
      </c>
      <c r="AY45" s="12">
        <f>'10'!AY45</f>
        <v>0</v>
      </c>
      <c r="AZ45" s="12"/>
      <c r="BA45" s="12"/>
      <c r="BB45" s="12">
        <f>BA45+'10'!BB45</f>
        <v>0</v>
      </c>
      <c r="BC45" s="30" t="e">
        <f t="shared" si="2"/>
        <v>#DIV/0!</v>
      </c>
      <c r="BD45" s="12">
        <f>'10'!BD45</f>
        <v>0</v>
      </c>
      <c r="BE45" s="12">
        <f>'10'!BE45</f>
        <v>0</v>
      </c>
      <c r="BF45" s="12"/>
      <c r="BG45" s="12"/>
      <c r="BH45" s="12">
        <f>BG45+'10'!BH45</f>
        <v>0</v>
      </c>
      <c r="BI45" s="30" t="e">
        <f t="shared" si="3"/>
        <v>#DIV/0!</v>
      </c>
    </row>
    <row r="46" spans="1:61" ht="28.9" customHeight="1" x14ac:dyDescent="0.35">
      <c r="A46" s="5">
        <v>36</v>
      </c>
      <c r="B46" s="26">
        <f>'10'!B46</f>
        <v>0</v>
      </c>
      <c r="C46" s="26">
        <f>'10'!C46</f>
        <v>0</v>
      </c>
      <c r="D46" s="26"/>
      <c r="E46" s="12"/>
      <c r="F46" s="2">
        <f>E46+'10'!F46</f>
        <v>0</v>
      </c>
      <c r="G46" s="2"/>
      <c r="H46" s="2">
        <f>G46+'10'!H46</f>
        <v>0</v>
      </c>
      <c r="I46" s="2"/>
      <c r="J46" s="2">
        <f>I46+'10'!J46</f>
        <v>0</v>
      </c>
      <c r="K46" s="2"/>
      <c r="L46" s="2">
        <f>K46+'10'!L46</f>
        <v>0</v>
      </c>
      <c r="M46" s="2"/>
      <c r="N46" s="2">
        <f>M46+'10'!N46</f>
        <v>0</v>
      </c>
      <c r="O46" s="2"/>
      <c r="P46" s="2">
        <f>O46+'10'!P46</f>
        <v>0</v>
      </c>
      <c r="Q46" s="4">
        <f t="shared" si="4"/>
        <v>0</v>
      </c>
      <c r="R46" s="4">
        <f>Q46+'10'!R46</f>
        <v>0</v>
      </c>
      <c r="S46" s="27" t="e">
        <f t="shared" si="5"/>
        <v>#DIV/0!</v>
      </c>
      <c r="T46" s="12"/>
      <c r="U46" s="12">
        <f>T46+'10'!U46</f>
        <v>0</v>
      </c>
      <c r="V46" s="12"/>
      <c r="W46" s="12">
        <f>V46+'10'!W46</f>
        <v>0</v>
      </c>
      <c r="X46" s="12"/>
      <c r="Y46" s="12">
        <f>X46+'10'!Y46</f>
        <v>0</v>
      </c>
      <c r="AB46" s="5">
        <v>36</v>
      </c>
      <c r="AC46" s="26">
        <f>'10'!AC46</f>
        <v>0</v>
      </c>
      <c r="AD46" s="28">
        <f>'10'!AI46</f>
        <v>0</v>
      </c>
      <c r="AE46" s="3"/>
      <c r="AF46" s="28">
        <f>AE46+'10'!AF46</f>
        <v>0</v>
      </c>
      <c r="AG46" s="4"/>
      <c r="AH46" s="28">
        <f>AG46+'10'!AH46</f>
        <v>0</v>
      </c>
      <c r="AI46" s="4">
        <f t="shared" si="6"/>
        <v>0</v>
      </c>
      <c r="AJ46" s="11" t="e">
        <f t="shared" si="0"/>
        <v>#DIV/0!</v>
      </c>
      <c r="AK46" s="53" t="e">
        <f t="shared" si="1"/>
        <v>#DIV/0!</v>
      </c>
      <c r="AW46" s="26">
        <f>'10'!AW46</f>
        <v>0</v>
      </c>
      <c r="AX46" s="12">
        <f>'10'!AX46</f>
        <v>0</v>
      </c>
      <c r="AY46" s="12">
        <f>'10'!AY46</f>
        <v>0</v>
      </c>
      <c r="AZ46" s="12"/>
      <c r="BA46" s="12"/>
      <c r="BB46" s="12">
        <f>BA46+'10'!BB46</f>
        <v>0</v>
      </c>
      <c r="BC46" s="30" t="e">
        <f t="shared" si="2"/>
        <v>#DIV/0!</v>
      </c>
      <c r="BD46" s="12">
        <f>'10'!BD46</f>
        <v>0</v>
      </c>
      <c r="BE46" s="12">
        <f>'10'!BE46</f>
        <v>0</v>
      </c>
      <c r="BF46" s="12"/>
      <c r="BG46" s="12"/>
      <c r="BH46" s="12">
        <f>BG46+'10'!BH46</f>
        <v>0</v>
      </c>
      <c r="BI46" s="30" t="e">
        <f t="shared" si="3"/>
        <v>#DIV/0!</v>
      </c>
    </row>
    <row r="47" spans="1:61" ht="28.9" customHeight="1" x14ac:dyDescent="0.35">
      <c r="A47" s="5">
        <v>37</v>
      </c>
      <c r="B47" s="26">
        <f>'10'!B47</f>
        <v>0</v>
      </c>
      <c r="C47" s="26">
        <f>'10'!C47</f>
        <v>0</v>
      </c>
      <c r="D47" s="26"/>
      <c r="E47" s="12"/>
      <c r="F47" s="2">
        <f>E47+'10'!F47</f>
        <v>0</v>
      </c>
      <c r="G47" s="2"/>
      <c r="H47" s="2">
        <f>G47+'10'!H47</f>
        <v>0</v>
      </c>
      <c r="I47" s="2"/>
      <c r="J47" s="2">
        <f>I47+'10'!J47</f>
        <v>0</v>
      </c>
      <c r="K47" s="2"/>
      <c r="L47" s="2">
        <f>K47+'10'!L47</f>
        <v>0</v>
      </c>
      <c r="M47" s="2"/>
      <c r="N47" s="2">
        <f>M47+'10'!N47</f>
        <v>0</v>
      </c>
      <c r="O47" s="2"/>
      <c r="P47" s="2">
        <f>O47+'10'!P47</f>
        <v>0</v>
      </c>
      <c r="Q47" s="4">
        <f t="shared" si="4"/>
        <v>0</v>
      </c>
      <c r="R47" s="4">
        <f>Q47+'10'!R47</f>
        <v>0</v>
      </c>
      <c r="S47" s="27" t="e">
        <f t="shared" si="5"/>
        <v>#DIV/0!</v>
      </c>
      <c r="T47" s="12"/>
      <c r="U47" s="12">
        <f>T47+'10'!U47</f>
        <v>0</v>
      </c>
      <c r="V47" s="12"/>
      <c r="W47" s="12">
        <f>V47+'10'!W47</f>
        <v>0</v>
      </c>
      <c r="X47" s="12"/>
      <c r="Y47" s="12">
        <f>X47+'10'!Y47</f>
        <v>0</v>
      </c>
      <c r="AB47" s="5">
        <v>37</v>
      </c>
      <c r="AC47" s="26">
        <f>'10'!AC47</f>
        <v>0</v>
      </c>
      <c r="AD47" s="28">
        <f>'10'!AI47</f>
        <v>0</v>
      </c>
      <c r="AE47" s="3"/>
      <c r="AF47" s="28">
        <f>AE47+'10'!AF47</f>
        <v>0</v>
      </c>
      <c r="AG47" s="4"/>
      <c r="AH47" s="28">
        <f>AG47+'10'!AH47</f>
        <v>0</v>
      </c>
      <c r="AI47" s="4">
        <f t="shared" si="6"/>
        <v>0</v>
      </c>
      <c r="AJ47" s="11" t="e">
        <f t="shared" si="0"/>
        <v>#DIV/0!</v>
      </c>
      <c r="AK47" s="53" t="e">
        <f t="shared" si="1"/>
        <v>#DIV/0!</v>
      </c>
      <c r="AW47" s="26">
        <f>'10'!AW47</f>
        <v>0</v>
      </c>
      <c r="AX47" s="12">
        <f>'10'!AX47</f>
        <v>0</v>
      </c>
      <c r="AY47" s="12">
        <f>'10'!AY47</f>
        <v>0</v>
      </c>
      <c r="AZ47" s="12"/>
      <c r="BA47" s="12"/>
      <c r="BB47" s="12">
        <f>BA47+'10'!BB47</f>
        <v>0</v>
      </c>
      <c r="BC47" s="30" t="e">
        <f t="shared" si="2"/>
        <v>#DIV/0!</v>
      </c>
      <c r="BD47" s="12">
        <f>'10'!BD47</f>
        <v>0</v>
      </c>
      <c r="BE47" s="12">
        <f>'10'!BE47</f>
        <v>0</v>
      </c>
      <c r="BF47" s="12"/>
      <c r="BG47" s="12"/>
      <c r="BH47" s="12">
        <f>BG47+'10'!BH47</f>
        <v>0</v>
      </c>
      <c r="BI47" s="30" t="e">
        <f t="shared" si="3"/>
        <v>#DIV/0!</v>
      </c>
    </row>
    <row r="48" spans="1:61" ht="28.9" customHeight="1" x14ac:dyDescent="0.35">
      <c r="A48" s="5">
        <v>38</v>
      </c>
      <c r="B48" s="26">
        <f>'10'!B48</f>
        <v>0</v>
      </c>
      <c r="C48" s="26">
        <f>'10'!C48</f>
        <v>0</v>
      </c>
      <c r="D48" s="26"/>
      <c r="E48" s="12"/>
      <c r="F48" s="2">
        <f>E48+'10'!F48</f>
        <v>0</v>
      </c>
      <c r="G48" s="2"/>
      <c r="H48" s="2">
        <f>G48+'10'!H48</f>
        <v>0</v>
      </c>
      <c r="I48" s="2"/>
      <c r="J48" s="2">
        <f>I48+'10'!J48</f>
        <v>0</v>
      </c>
      <c r="K48" s="2"/>
      <c r="L48" s="2">
        <f>K48+'10'!L48</f>
        <v>0</v>
      </c>
      <c r="M48" s="2"/>
      <c r="N48" s="2">
        <f>M48+'10'!N48</f>
        <v>0</v>
      </c>
      <c r="O48" s="2"/>
      <c r="P48" s="2">
        <f>O48+'10'!P48</f>
        <v>0</v>
      </c>
      <c r="Q48" s="4">
        <f t="shared" si="4"/>
        <v>0</v>
      </c>
      <c r="R48" s="4">
        <f>Q48+'10'!R48</f>
        <v>0</v>
      </c>
      <c r="S48" s="27" t="e">
        <f t="shared" si="5"/>
        <v>#DIV/0!</v>
      </c>
      <c r="T48" s="12"/>
      <c r="U48" s="12">
        <f>T48+'10'!U48</f>
        <v>0</v>
      </c>
      <c r="V48" s="12"/>
      <c r="W48" s="12">
        <f>V48+'10'!W48</f>
        <v>0</v>
      </c>
      <c r="X48" s="12"/>
      <c r="Y48" s="12">
        <f>X48+'10'!Y48</f>
        <v>0</v>
      </c>
      <c r="AB48" s="5">
        <v>38</v>
      </c>
      <c r="AC48" s="26">
        <f>'10'!AC48</f>
        <v>0</v>
      </c>
      <c r="AD48" s="28">
        <f>'10'!AI48</f>
        <v>0</v>
      </c>
      <c r="AE48" s="3"/>
      <c r="AF48" s="28">
        <f>AE48+'10'!AF48</f>
        <v>0</v>
      </c>
      <c r="AG48" s="4"/>
      <c r="AH48" s="28">
        <f>AG48+'10'!AH48</f>
        <v>0</v>
      </c>
      <c r="AI48" s="4">
        <f t="shared" si="6"/>
        <v>0</v>
      </c>
      <c r="AJ48" s="11" t="e">
        <f t="shared" si="0"/>
        <v>#DIV/0!</v>
      </c>
      <c r="AK48" s="53" t="e">
        <f t="shared" si="1"/>
        <v>#DIV/0!</v>
      </c>
      <c r="AW48" s="26">
        <f>'10'!AW48</f>
        <v>0</v>
      </c>
      <c r="AX48" s="12">
        <f>'10'!AX48</f>
        <v>0</v>
      </c>
      <c r="AY48" s="12">
        <f>'10'!AY48</f>
        <v>0</v>
      </c>
      <c r="AZ48" s="12"/>
      <c r="BA48" s="12"/>
      <c r="BB48" s="12">
        <f>BA48+'10'!BB48</f>
        <v>0</v>
      </c>
      <c r="BC48" s="30" t="e">
        <f t="shared" si="2"/>
        <v>#DIV/0!</v>
      </c>
      <c r="BD48" s="12">
        <f>'10'!BD48</f>
        <v>0</v>
      </c>
      <c r="BE48" s="12">
        <f>'10'!BE48</f>
        <v>0</v>
      </c>
      <c r="BF48" s="12"/>
      <c r="BG48" s="12"/>
      <c r="BH48" s="12">
        <f>BG48+'10'!BH48</f>
        <v>0</v>
      </c>
      <c r="BI48" s="30" t="e">
        <f t="shared" si="3"/>
        <v>#DIV/0!</v>
      </c>
    </row>
    <row r="49" spans="1:61" ht="28.9" customHeight="1" x14ac:dyDescent="0.35">
      <c r="A49" s="5">
        <v>39</v>
      </c>
      <c r="B49" s="26">
        <f>'10'!B49</f>
        <v>0</v>
      </c>
      <c r="C49" s="26">
        <f>'10'!C49</f>
        <v>0</v>
      </c>
      <c r="D49" s="26"/>
      <c r="E49" s="12"/>
      <c r="F49" s="2">
        <f>E49+'10'!F49</f>
        <v>0</v>
      </c>
      <c r="G49" s="2"/>
      <c r="H49" s="2">
        <f>G49+'10'!H49</f>
        <v>0</v>
      </c>
      <c r="I49" s="2"/>
      <c r="J49" s="2">
        <f>I49+'10'!J49</f>
        <v>0</v>
      </c>
      <c r="K49" s="2"/>
      <c r="L49" s="2">
        <f>K49+'10'!L49</f>
        <v>0</v>
      </c>
      <c r="M49" s="2"/>
      <c r="N49" s="2">
        <f>M49+'10'!N49</f>
        <v>0</v>
      </c>
      <c r="O49" s="2"/>
      <c r="P49" s="2">
        <f>O49+'10'!P49</f>
        <v>0</v>
      </c>
      <c r="Q49" s="4">
        <f t="shared" si="4"/>
        <v>0</v>
      </c>
      <c r="R49" s="4">
        <f>Q49+'10'!R49</f>
        <v>0</v>
      </c>
      <c r="S49" s="27" t="e">
        <f t="shared" si="5"/>
        <v>#DIV/0!</v>
      </c>
      <c r="T49" s="12"/>
      <c r="U49" s="12">
        <f>T49+'10'!U49</f>
        <v>0</v>
      </c>
      <c r="V49" s="12"/>
      <c r="W49" s="12">
        <f>V49+'10'!W49</f>
        <v>0</v>
      </c>
      <c r="X49" s="12"/>
      <c r="Y49" s="12">
        <f>X49+'10'!Y49</f>
        <v>0</v>
      </c>
      <c r="AB49" s="5">
        <v>39</v>
      </c>
      <c r="AC49" s="26">
        <f>'10'!AC49</f>
        <v>0</v>
      </c>
      <c r="AD49" s="28">
        <f>'10'!AI49</f>
        <v>0</v>
      </c>
      <c r="AE49" s="3"/>
      <c r="AF49" s="28">
        <f>AE49+'10'!AF49</f>
        <v>0</v>
      </c>
      <c r="AG49" s="4"/>
      <c r="AH49" s="28">
        <f>AG49+'10'!AH49</f>
        <v>0</v>
      </c>
      <c r="AI49" s="4">
        <f t="shared" si="6"/>
        <v>0</v>
      </c>
      <c r="AJ49" s="11" t="e">
        <f t="shared" si="0"/>
        <v>#DIV/0!</v>
      </c>
      <c r="AK49" s="53" t="e">
        <f t="shared" si="1"/>
        <v>#DIV/0!</v>
      </c>
      <c r="AW49" s="26">
        <f>'10'!AW49</f>
        <v>0</v>
      </c>
      <c r="AX49" s="12">
        <f>'10'!AX49</f>
        <v>0</v>
      </c>
      <c r="AY49" s="12">
        <f>'10'!AY49</f>
        <v>0</v>
      </c>
      <c r="AZ49" s="12"/>
      <c r="BA49" s="12"/>
      <c r="BB49" s="12">
        <f>BA49+'10'!BB49</f>
        <v>0</v>
      </c>
      <c r="BC49" s="30" t="e">
        <f t="shared" si="2"/>
        <v>#DIV/0!</v>
      </c>
      <c r="BD49" s="12">
        <f>'10'!BD49</f>
        <v>0</v>
      </c>
      <c r="BE49" s="12">
        <f>'10'!BE49</f>
        <v>0</v>
      </c>
      <c r="BF49" s="12"/>
      <c r="BG49" s="12"/>
      <c r="BH49" s="12">
        <f>BG49+'10'!BH49</f>
        <v>0</v>
      </c>
      <c r="BI49" s="30" t="e">
        <f t="shared" si="3"/>
        <v>#DIV/0!</v>
      </c>
    </row>
    <row r="50" spans="1:61" ht="28.9" customHeight="1" x14ac:dyDescent="0.35">
      <c r="A50" s="5">
        <v>40</v>
      </c>
      <c r="B50" s="26">
        <f>'10'!B50</f>
        <v>0</v>
      </c>
      <c r="C50" s="26">
        <f>'10'!C50</f>
        <v>0</v>
      </c>
      <c r="D50" s="26"/>
      <c r="E50" s="12"/>
      <c r="F50" s="2">
        <f>E50+'10'!F50</f>
        <v>0</v>
      </c>
      <c r="G50" s="2"/>
      <c r="H50" s="2">
        <f>G50+'10'!H50</f>
        <v>0</v>
      </c>
      <c r="I50" s="2"/>
      <c r="J50" s="2">
        <f>I50+'10'!J50</f>
        <v>0</v>
      </c>
      <c r="K50" s="2"/>
      <c r="L50" s="2">
        <f>K50+'10'!L50</f>
        <v>0</v>
      </c>
      <c r="M50" s="2"/>
      <c r="N50" s="2">
        <f>M50+'10'!N50</f>
        <v>0</v>
      </c>
      <c r="O50" s="2"/>
      <c r="P50" s="2">
        <f>O50+'10'!P50</f>
        <v>0</v>
      </c>
      <c r="Q50" s="4">
        <f t="shared" si="4"/>
        <v>0</v>
      </c>
      <c r="R50" s="4">
        <f>Q50+'10'!R50</f>
        <v>0</v>
      </c>
      <c r="S50" s="27" t="e">
        <f t="shared" si="5"/>
        <v>#DIV/0!</v>
      </c>
      <c r="T50" s="12"/>
      <c r="U50" s="12">
        <f>T50+'10'!U50</f>
        <v>0</v>
      </c>
      <c r="V50" s="12"/>
      <c r="W50" s="12">
        <f>V50+'10'!W50</f>
        <v>0</v>
      </c>
      <c r="X50" s="12"/>
      <c r="Y50" s="12">
        <f>X50+'10'!Y50</f>
        <v>0</v>
      </c>
      <c r="AB50" s="5">
        <v>40</v>
      </c>
      <c r="AC50" s="26">
        <f>'10'!AC50</f>
        <v>0</v>
      </c>
      <c r="AD50" s="28">
        <f>'10'!AI50</f>
        <v>0</v>
      </c>
      <c r="AE50" s="3"/>
      <c r="AF50" s="28">
        <f>AE50+'10'!AF50</f>
        <v>0</v>
      </c>
      <c r="AG50" s="4"/>
      <c r="AH50" s="28">
        <f>AG50+'10'!AH50</f>
        <v>0</v>
      </c>
      <c r="AI50" s="4">
        <f t="shared" si="6"/>
        <v>0</v>
      </c>
      <c r="AJ50" s="11" t="e">
        <f t="shared" si="0"/>
        <v>#DIV/0!</v>
      </c>
      <c r="AK50" s="53" t="e">
        <f t="shared" si="1"/>
        <v>#DIV/0!</v>
      </c>
      <c r="AW50" s="26">
        <f>'10'!AW50</f>
        <v>0</v>
      </c>
      <c r="AX50" s="12">
        <f>'10'!AX50</f>
        <v>0</v>
      </c>
      <c r="AY50" s="12">
        <f>'10'!AY50</f>
        <v>0</v>
      </c>
      <c r="AZ50" s="12"/>
      <c r="BA50" s="12"/>
      <c r="BB50" s="12">
        <f>BA50+'10'!BB50</f>
        <v>0</v>
      </c>
      <c r="BC50" s="30" t="e">
        <f t="shared" si="2"/>
        <v>#DIV/0!</v>
      </c>
      <c r="BD50" s="12">
        <f>'10'!BD50</f>
        <v>0</v>
      </c>
      <c r="BE50" s="12">
        <f>'10'!BE50</f>
        <v>0</v>
      </c>
      <c r="BF50" s="12"/>
      <c r="BG50" s="12"/>
      <c r="BH50" s="12">
        <f>BG50+'10'!BH50</f>
        <v>0</v>
      </c>
      <c r="BI50" s="30" t="e">
        <f t="shared" si="3"/>
        <v>#DIV/0!</v>
      </c>
    </row>
    <row r="51" spans="1:61" ht="25.5" thickBot="1" x14ac:dyDescent="0.4">
      <c r="A51" s="321" t="s">
        <v>26</v>
      </c>
      <c r="B51" s="321"/>
      <c r="C51" s="35">
        <f>SUM(C11:C50)</f>
        <v>97446</v>
      </c>
      <c r="D51" s="35">
        <f>SUM(D11:D50)</f>
        <v>0</v>
      </c>
      <c r="E51" s="6">
        <f>SUM(E11:E50)</f>
        <v>0</v>
      </c>
      <c r="F51" s="6">
        <f>SUM(F11:F50)</f>
        <v>533</v>
      </c>
      <c r="G51" s="6">
        <f t="shared" ref="G51:R51" si="8">SUM(G11:G50)</f>
        <v>0</v>
      </c>
      <c r="H51" s="6">
        <f t="shared" si="8"/>
        <v>14954</v>
      </c>
      <c r="I51" s="6">
        <f t="shared" si="8"/>
        <v>0</v>
      </c>
      <c r="J51" s="6">
        <f t="shared" si="8"/>
        <v>37926</v>
      </c>
      <c r="K51" s="6">
        <f t="shared" si="8"/>
        <v>0</v>
      </c>
      <c r="L51" s="6">
        <f t="shared" si="8"/>
        <v>0</v>
      </c>
      <c r="M51" s="6">
        <f t="shared" si="8"/>
        <v>0</v>
      </c>
      <c r="N51" s="6">
        <f t="shared" si="8"/>
        <v>0</v>
      </c>
      <c r="O51" s="6">
        <f t="shared" si="8"/>
        <v>0</v>
      </c>
      <c r="P51" s="6">
        <f t="shared" si="8"/>
        <v>0</v>
      </c>
      <c r="Q51" s="6">
        <f t="shared" si="8"/>
        <v>0</v>
      </c>
      <c r="R51" s="6">
        <f t="shared" si="8"/>
        <v>53413</v>
      </c>
      <c r="S51" s="10">
        <f>R51/C51</f>
        <v>0.54812922028610722</v>
      </c>
      <c r="T51" s="23">
        <f t="shared" ref="T51:Y51" si="9">SUM(T11:T50)</f>
        <v>0</v>
      </c>
      <c r="U51" s="23">
        <f t="shared" si="9"/>
        <v>7532</v>
      </c>
      <c r="V51" s="23">
        <f t="shared" si="9"/>
        <v>0</v>
      </c>
      <c r="W51" s="23">
        <f t="shared" si="9"/>
        <v>1107</v>
      </c>
      <c r="X51" s="23">
        <f t="shared" si="9"/>
        <v>0</v>
      </c>
      <c r="Y51" s="23">
        <f t="shared" si="9"/>
        <v>2</v>
      </c>
      <c r="AB51" s="37" t="s">
        <v>29</v>
      </c>
      <c r="AC51" s="37"/>
      <c r="AD51" s="34">
        <f t="shared" ref="AD51:AI51" si="10">SUM(AD11:AD50)</f>
        <v>3133</v>
      </c>
      <c r="AE51" s="23">
        <f t="shared" si="10"/>
        <v>0</v>
      </c>
      <c r="AF51" s="14">
        <f t="shared" si="10"/>
        <v>8632</v>
      </c>
      <c r="AG51" s="14">
        <f t="shared" si="10"/>
        <v>0</v>
      </c>
      <c r="AH51" s="14">
        <f t="shared" si="10"/>
        <v>5499</v>
      </c>
      <c r="AI51" s="14">
        <f t="shared" si="10"/>
        <v>3133</v>
      </c>
      <c r="AJ51" s="11" t="e">
        <f t="shared" si="0"/>
        <v>#DIV/0!</v>
      </c>
      <c r="AK51" s="53">
        <f t="shared" si="1"/>
        <v>9.713220585561011</v>
      </c>
      <c r="AW51" s="33" t="s">
        <v>26</v>
      </c>
      <c r="AX51" s="13">
        <f>SUM(AX11:AX50)</f>
        <v>121</v>
      </c>
      <c r="AY51" s="13">
        <f>SUM(AY11:AY50)</f>
        <v>50910</v>
      </c>
      <c r="AZ51" s="13">
        <f>SUM(AZ11:AZ50)</f>
        <v>0</v>
      </c>
      <c r="BA51" s="13">
        <f>SUM(BA11:BA50)</f>
        <v>0</v>
      </c>
      <c r="BB51" s="13">
        <f>SUM(BB11:BB50)</f>
        <v>39924</v>
      </c>
      <c r="BC51" s="31">
        <f t="shared" si="2"/>
        <v>0.78420742486741313</v>
      </c>
      <c r="BD51" s="32">
        <f>SUM(BD11:BD50)</f>
        <v>241</v>
      </c>
      <c r="BE51" s="32">
        <f>SUM(BE11:BE50)</f>
        <v>14990</v>
      </c>
      <c r="BF51" s="32">
        <f>SUM(BF11:BF50)</f>
        <v>0</v>
      </c>
      <c r="BG51" s="32">
        <f>SUM(BG11:BG50)</f>
        <v>0</v>
      </c>
      <c r="BH51" s="32">
        <f>SUM(BH11:BH50)</f>
        <v>9274</v>
      </c>
      <c r="BI51" s="31">
        <f t="shared" si="3"/>
        <v>0.61867911941294196</v>
      </c>
    </row>
    <row r="52" spans="1:61" ht="17.5" x14ac:dyDescent="0.35">
      <c r="AB52" s="36"/>
      <c r="AC52" s="36"/>
      <c r="AD52" s="36"/>
      <c r="AE52" s="36"/>
      <c r="AF52" s="40"/>
      <c r="AG52" s="40"/>
      <c r="AH52" s="40"/>
      <c r="AI52" s="41"/>
      <c r="AJ52" s="15"/>
      <c r="AK52" s="15"/>
    </row>
    <row r="54" spans="1:61" ht="18.5" x14ac:dyDescent="0.45">
      <c r="G54" s="322" t="s">
        <v>36</v>
      </c>
      <c r="H54" s="322"/>
      <c r="I54" s="322"/>
      <c r="J54" s="322"/>
      <c r="K54" s="322"/>
      <c r="L54" s="322"/>
      <c r="M54" s="322"/>
      <c r="N54" s="322"/>
      <c r="O54" s="322"/>
      <c r="P54" s="322"/>
      <c r="Q54" s="322"/>
      <c r="R54" s="322"/>
      <c r="S54" s="322"/>
      <c r="AB54" s="313" t="s">
        <v>44</v>
      </c>
      <c r="AC54" s="313"/>
      <c r="AD54" s="313"/>
      <c r="AE54" s="313"/>
      <c r="AF54" s="313"/>
      <c r="AG54" s="313"/>
      <c r="AH54" s="313"/>
      <c r="AI54" s="313"/>
      <c r="AJ54" s="313"/>
      <c r="AK54" s="313"/>
      <c r="AL54" s="313"/>
      <c r="AM54" s="313"/>
      <c r="AN54" s="313"/>
    </row>
    <row r="55" spans="1:61" ht="18.5" x14ac:dyDescent="0.45">
      <c r="AX55" s="313" t="s">
        <v>44</v>
      </c>
      <c r="AY55" s="313"/>
      <c r="AZ55" s="313"/>
      <c r="BA55" s="313"/>
      <c r="BB55" s="313"/>
      <c r="BC55" s="313"/>
      <c r="BD55" s="313"/>
      <c r="BE55" s="313"/>
      <c r="BF55" s="313"/>
      <c r="BG55" s="313"/>
      <c r="BH55" s="313"/>
      <c r="BI55" s="313"/>
    </row>
    <row r="56" spans="1:61" ht="15.5" x14ac:dyDescent="0.35">
      <c r="AG56" s="38"/>
      <c r="AH56" s="38"/>
      <c r="AI56" s="38"/>
    </row>
  </sheetData>
  <mergeCells count="56">
    <mergeCell ref="A6:Y6"/>
    <mergeCell ref="AF6:AN6"/>
    <mergeCell ref="AY6:BI6"/>
    <mergeCell ref="A7:Y7"/>
    <mergeCell ref="A8:A10"/>
    <mergeCell ref="B8:B10"/>
    <mergeCell ref="C8:C10"/>
    <mergeCell ref="D8:D10"/>
    <mergeCell ref="E8:J8"/>
    <mergeCell ref="K8:P8"/>
    <mergeCell ref="Q8:R9"/>
    <mergeCell ref="S8:S10"/>
    <mergeCell ref="T8:U9"/>
    <mergeCell ref="V8:W9"/>
    <mergeCell ref="X8:Y9"/>
    <mergeCell ref="AB8:AB10"/>
    <mergeCell ref="AN8:AN9"/>
    <mergeCell ref="AO8:AO9"/>
    <mergeCell ref="AP8:AQ8"/>
    <mergeCell ref="AR8:AS8"/>
    <mergeCell ref="AC8:AC10"/>
    <mergeCell ref="AD8:AD10"/>
    <mergeCell ref="AE8:AF9"/>
    <mergeCell ref="AG8:AH9"/>
    <mergeCell ref="AI8:AI10"/>
    <mergeCell ref="AJ8:AJ10"/>
    <mergeCell ref="AW8:AW10"/>
    <mergeCell ref="AX8:BC8"/>
    <mergeCell ref="BD8:BI8"/>
    <mergeCell ref="E9:F9"/>
    <mergeCell ref="G9:H9"/>
    <mergeCell ref="I9:J9"/>
    <mergeCell ref="K9:L9"/>
    <mergeCell ref="M9:N9"/>
    <mergeCell ref="AK8:AK10"/>
    <mergeCell ref="AM8:AM13"/>
    <mergeCell ref="BF9:BF10"/>
    <mergeCell ref="BG9:BG10"/>
    <mergeCell ref="BH9:BH10"/>
    <mergeCell ref="O9:P9"/>
    <mergeCell ref="AX9:AX10"/>
    <mergeCell ref="AY9:AY10"/>
    <mergeCell ref="AZ9:AZ10"/>
    <mergeCell ref="BA9:BA10"/>
    <mergeCell ref="BB9:BB10"/>
    <mergeCell ref="AT8:AT9"/>
    <mergeCell ref="AX55:BI55"/>
    <mergeCell ref="BI9:BI10"/>
    <mergeCell ref="AM14:AN14"/>
    <mergeCell ref="AO14:AS14"/>
    <mergeCell ref="A51:B51"/>
    <mergeCell ref="G54:S54"/>
    <mergeCell ref="AB54:AN54"/>
    <mergeCell ref="BC9:BC10"/>
    <mergeCell ref="BD9:BD10"/>
    <mergeCell ref="BE9:BE10"/>
  </mergeCells>
  <pageMargins left="0.7" right="0.7" top="0.75" bottom="0.75" header="0.3" footer="0.3"/>
  <pageSetup paperSize="9" scale="17" orientation="landscape" r:id="rId1"/>
  <colBreaks count="2" manualBreakCount="2">
    <brk id="26" max="55" man="1"/>
    <brk id="47" max="5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A8D6F-C1B0-4BE1-8252-F04188659BB3}">
  <dimension ref="A1:BJ56"/>
  <sheetViews>
    <sheetView rightToLeft="1" view="pageBreakPreview" topLeftCell="Y1" zoomScale="55" zoomScaleNormal="29" zoomScalePageLayoutView="40" workbookViewId="0">
      <selection activeCell="AU1" sqref="AU1:AU65536"/>
    </sheetView>
  </sheetViews>
  <sheetFormatPr defaultRowHeight="14.5" x14ac:dyDescent="0.35"/>
  <cols>
    <col min="1" max="1" width="11.26953125" style="1" customWidth="1"/>
    <col min="2" max="4" width="18.7265625" style="1" customWidth="1"/>
    <col min="5" max="6" width="15.26953125" customWidth="1"/>
    <col min="7" max="7" width="18.453125" customWidth="1"/>
    <col min="8" max="8" width="16.81640625" customWidth="1"/>
    <col min="9" max="9" width="15.26953125" customWidth="1"/>
    <col min="10" max="10" width="15.54296875" customWidth="1"/>
    <col min="11" max="23" width="15.26953125" customWidth="1"/>
    <col min="24" max="25" width="12.54296875" customWidth="1"/>
    <col min="27" max="27" width="19.1796875" customWidth="1"/>
    <col min="28" max="30" width="15.26953125" customWidth="1"/>
    <col min="31" max="32" width="13.7265625" customWidth="1"/>
    <col min="33" max="33" width="14.1796875" customWidth="1"/>
    <col min="34" max="34" width="13" customWidth="1"/>
    <col min="35" max="35" width="18.26953125" customWidth="1"/>
    <col min="36" max="40" width="15" customWidth="1"/>
    <col min="41" max="41" width="16.7265625" customWidth="1"/>
    <col min="42" max="42" width="18" customWidth="1"/>
    <col min="43" max="46" width="15" customWidth="1"/>
    <col min="47" max="47" width="14" style="1" customWidth="1"/>
    <col min="49" max="49" width="15.1796875" customWidth="1"/>
    <col min="50" max="50" width="22.26953125" customWidth="1"/>
    <col min="51" max="51" width="16.26953125" customWidth="1"/>
    <col min="52" max="52" width="13.453125" customWidth="1"/>
    <col min="53" max="53" width="14" customWidth="1"/>
    <col min="54" max="54" width="11.7265625" customWidth="1"/>
    <col min="55" max="55" width="14.26953125" customWidth="1"/>
    <col min="56" max="56" width="17.7265625" customWidth="1"/>
    <col min="57" max="57" width="22.453125" customWidth="1"/>
    <col min="58" max="58" width="17.7265625" customWidth="1"/>
    <col min="59" max="59" width="11.7265625" customWidth="1"/>
    <col min="60" max="60" width="16.81640625" customWidth="1"/>
    <col min="61" max="61" width="12.81640625" customWidth="1"/>
    <col min="62" max="62" width="15.26953125" customWidth="1"/>
  </cols>
  <sheetData>
    <row r="1" spans="1:62" s="21" customFormat="1" ht="23.5" x14ac:dyDescent="0.55000000000000004">
      <c r="A1" s="22" t="s">
        <v>0</v>
      </c>
      <c r="B1" s="22"/>
      <c r="C1" s="22"/>
      <c r="D1" s="18"/>
      <c r="E1" s="18"/>
      <c r="F1" s="18"/>
      <c r="G1" s="18"/>
      <c r="H1" s="18"/>
      <c r="I1" s="18"/>
      <c r="J1" s="18"/>
      <c r="K1" s="18"/>
      <c r="L1" s="18"/>
      <c r="M1" s="18"/>
      <c r="N1" s="19"/>
      <c r="O1" s="19"/>
      <c r="P1" s="18"/>
      <c r="Q1" s="18"/>
      <c r="R1" s="18"/>
      <c r="S1" s="18"/>
      <c r="T1" s="18"/>
      <c r="U1" s="18"/>
      <c r="V1" s="18"/>
      <c r="W1" s="18"/>
      <c r="X1" s="18"/>
      <c r="Y1" s="18"/>
      <c r="AA1" s="29"/>
      <c r="AB1" s="22" t="s">
        <v>0</v>
      </c>
      <c r="AC1" s="22"/>
      <c r="AD1" s="29"/>
      <c r="AE1" s="29"/>
      <c r="AF1" s="29"/>
      <c r="AU1" s="54"/>
      <c r="AW1" s="22" t="s">
        <v>0</v>
      </c>
      <c r="AX1" s="22"/>
      <c r="AY1" s="22"/>
      <c r="AZ1" s="18"/>
      <c r="BA1" s="18"/>
      <c r="BB1" s="18"/>
      <c r="BC1" s="18"/>
      <c r="BD1" s="18"/>
      <c r="BE1" s="20"/>
      <c r="BF1" s="19"/>
      <c r="BI1" s="29"/>
      <c r="BJ1" s="29"/>
    </row>
    <row r="2" spans="1:62" s="21" customFormat="1" ht="23.5" x14ac:dyDescent="0.55000000000000004">
      <c r="A2" s="22" t="s">
        <v>21</v>
      </c>
      <c r="B2" s="22"/>
      <c r="C2" s="22"/>
      <c r="D2" s="18"/>
      <c r="E2" s="18"/>
      <c r="F2" s="18"/>
      <c r="G2" s="18"/>
      <c r="H2" s="18"/>
      <c r="I2" s="18"/>
      <c r="J2" s="18"/>
      <c r="K2" s="18"/>
      <c r="L2" s="18"/>
      <c r="M2" s="18"/>
      <c r="N2" s="19"/>
      <c r="O2" s="19"/>
      <c r="P2" s="18"/>
      <c r="Q2" s="18"/>
      <c r="R2" s="18"/>
      <c r="S2" s="18"/>
      <c r="T2" s="18"/>
      <c r="U2" s="18"/>
      <c r="V2" s="18"/>
      <c r="W2" s="18"/>
      <c r="X2" s="18"/>
      <c r="Y2" s="18"/>
      <c r="AA2" s="29"/>
      <c r="AB2" s="22" t="s">
        <v>21</v>
      </c>
      <c r="AC2" s="22"/>
      <c r="AD2" s="29"/>
      <c r="AE2" s="29"/>
      <c r="AF2" s="29"/>
      <c r="AU2" s="54"/>
      <c r="AW2" s="22" t="s">
        <v>21</v>
      </c>
      <c r="AX2" s="22"/>
      <c r="AY2" s="22"/>
      <c r="AZ2" s="18"/>
      <c r="BA2" s="18"/>
      <c r="BB2" s="18"/>
      <c r="BC2" s="18"/>
      <c r="BD2" s="18"/>
      <c r="BE2" s="20"/>
      <c r="BF2" s="19"/>
      <c r="BI2" s="29"/>
      <c r="BJ2" s="29"/>
    </row>
    <row r="3" spans="1:62" s="21" customFormat="1" ht="23.5" x14ac:dyDescent="0.55000000000000004">
      <c r="A3" s="22" t="s">
        <v>22</v>
      </c>
      <c r="B3" s="22"/>
      <c r="C3" s="22"/>
      <c r="D3" s="18"/>
      <c r="E3" s="18"/>
      <c r="F3" s="18"/>
      <c r="G3" s="18"/>
      <c r="H3" s="18"/>
      <c r="I3" s="18"/>
      <c r="J3" s="18"/>
      <c r="K3" s="18"/>
      <c r="L3" s="18"/>
      <c r="M3" s="18"/>
      <c r="N3" s="19"/>
      <c r="O3" s="19"/>
      <c r="P3" s="18"/>
      <c r="Q3" s="18"/>
      <c r="R3" s="18"/>
      <c r="S3" s="18"/>
      <c r="T3" s="18"/>
      <c r="U3" s="18"/>
      <c r="V3" s="18"/>
      <c r="W3" s="18"/>
      <c r="X3" s="18"/>
      <c r="Y3" s="18"/>
      <c r="AA3" s="29"/>
      <c r="AB3" s="22" t="s">
        <v>22</v>
      </c>
      <c r="AC3" s="22"/>
      <c r="AD3" s="29"/>
      <c r="AE3" s="29"/>
      <c r="AF3" s="29"/>
      <c r="AU3" s="54"/>
      <c r="AW3" s="22" t="s">
        <v>22</v>
      </c>
      <c r="AX3" s="22"/>
      <c r="AY3" s="22"/>
      <c r="AZ3" s="18"/>
      <c r="BA3" s="18"/>
      <c r="BB3" s="18"/>
      <c r="BC3" s="18"/>
      <c r="BD3" s="18"/>
      <c r="BE3" s="20"/>
      <c r="BF3" s="19"/>
      <c r="BI3" s="29"/>
      <c r="BJ3" s="29"/>
    </row>
    <row r="4" spans="1:62" s="21" customFormat="1" ht="23.5" x14ac:dyDescent="0.55000000000000004">
      <c r="A4" s="22" t="s">
        <v>23</v>
      </c>
      <c r="B4" s="22"/>
      <c r="C4" s="22"/>
      <c r="D4" s="19"/>
      <c r="E4" s="20"/>
      <c r="F4" s="20"/>
      <c r="G4" s="20"/>
      <c r="H4" s="20"/>
      <c r="I4" s="18"/>
      <c r="J4" s="18"/>
      <c r="K4" s="18"/>
      <c r="L4" s="18"/>
      <c r="M4" s="18"/>
      <c r="N4" s="19"/>
      <c r="O4" s="19"/>
      <c r="P4" s="18"/>
      <c r="Q4" s="18"/>
      <c r="R4" s="18"/>
      <c r="S4" s="18"/>
      <c r="T4" s="18"/>
      <c r="U4" s="18"/>
      <c r="V4" s="18"/>
      <c r="W4" s="18"/>
      <c r="X4" s="18"/>
      <c r="Y4" s="18"/>
      <c r="AB4" s="22" t="s">
        <v>23</v>
      </c>
      <c r="AC4" s="22"/>
      <c r="AU4" s="54"/>
      <c r="AW4" s="22" t="s">
        <v>23</v>
      </c>
      <c r="AX4" s="22"/>
      <c r="AY4" s="22"/>
      <c r="AZ4" s="19"/>
      <c r="BA4" s="18"/>
      <c r="BB4" s="18"/>
      <c r="BC4" s="18"/>
      <c r="BD4" s="18"/>
      <c r="BE4" s="20"/>
      <c r="BF4" s="19"/>
    </row>
    <row r="5" spans="1:62" s="21" customFormat="1" ht="23.5" x14ac:dyDescent="0.55000000000000004">
      <c r="A5" s="22" t="s">
        <v>1</v>
      </c>
      <c r="B5" s="22"/>
      <c r="C5" s="22"/>
      <c r="D5" s="19"/>
      <c r="E5" s="18"/>
      <c r="F5" s="18"/>
      <c r="G5" s="18"/>
      <c r="H5" s="18"/>
      <c r="I5" s="18"/>
      <c r="J5" s="18"/>
      <c r="K5" s="18"/>
      <c r="L5" s="18"/>
      <c r="M5" s="18"/>
      <c r="N5" s="19"/>
      <c r="O5" s="19"/>
      <c r="P5" s="18"/>
      <c r="Q5" s="18"/>
      <c r="R5" s="18"/>
      <c r="S5" s="18"/>
      <c r="T5" s="18"/>
      <c r="U5" s="18"/>
      <c r="V5" s="18"/>
      <c r="W5" s="18"/>
      <c r="X5" s="18"/>
      <c r="Y5" s="18"/>
      <c r="AB5" s="22" t="s">
        <v>1</v>
      </c>
      <c r="AC5" s="22"/>
      <c r="AU5" s="54"/>
      <c r="AW5" s="22" t="s">
        <v>1</v>
      </c>
      <c r="AX5" s="22"/>
      <c r="AY5" s="22"/>
      <c r="AZ5" s="19"/>
      <c r="BA5" s="18"/>
      <c r="BB5" s="18"/>
      <c r="BC5" s="18"/>
      <c r="BD5" s="18"/>
      <c r="BE5" s="20"/>
      <c r="BF5" s="19"/>
    </row>
    <row r="6" spans="1:62" ht="20" x14ac:dyDescent="0.4">
      <c r="A6" s="362" t="s">
        <v>18</v>
      </c>
      <c r="B6" s="362"/>
      <c r="C6" s="362"/>
      <c r="D6" s="362"/>
      <c r="E6" s="362"/>
      <c r="F6" s="362"/>
      <c r="G6" s="362"/>
      <c r="H6" s="362"/>
      <c r="I6" s="362"/>
      <c r="J6" s="362"/>
      <c r="K6" s="362"/>
      <c r="L6" s="362"/>
      <c r="M6" s="362"/>
      <c r="N6" s="362"/>
      <c r="O6" s="362"/>
      <c r="P6" s="362"/>
      <c r="Q6" s="362"/>
      <c r="R6" s="362"/>
      <c r="S6" s="362"/>
      <c r="T6" s="362"/>
      <c r="U6" s="362"/>
      <c r="V6" s="362"/>
      <c r="W6" s="362"/>
      <c r="X6" s="362"/>
      <c r="Y6" s="362"/>
      <c r="AF6" s="362" t="s">
        <v>16</v>
      </c>
      <c r="AG6" s="362"/>
      <c r="AH6" s="362"/>
      <c r="AI6" s="362"/>
      <c r="AJ6" s="362"/>
      <c r="AK6" s="362"/>
      <c r="AL6" s="362"/>
      <c r="AM6" s="362"/>
      <c r="AN6" s="362"/>
      <c r="AO6" s="24"/>
      <c r="AP6" s="24"/>
      <c r="AQ6" s="24"/>
      <c r="AR6" s="24"/>
      <c r="AS6" s="24"/>
      <c r="AT6" s="24"/>
      <c r="AY6" s="362" t="s">
        <v>30</v>
      </c>
      <c r="AZ6" s="362"/>
      <c r="BA6" s="362"/>
      <c r="BB6" s="362"/>
      <c r="BC6" s="362"/>
      <c r="BD6" s="362"/>
      <c r="BE6" s="362"/>
      <c r="BF6" s="362"/>
      <c r="BG6" s="362"/>
      <c r="BH6" s="362"/>
      <c r="BI6" s="362"/>
    </row>
    <row r="7" spans="1:62" ht="20.5" thickBot="1" x14ac:dyDescent="0.45">
      <c r="A7" s="363" t="s">
        <v>27</v>
      </c>
      <c r="B7" s="364"/>
      <c r="C7" s="364"/>
      <c r="D7" s="364"/>
      <c r="E7" s="363"/>
      <c r="F7" s="363"/>
      <c r="G7" s="363"/>
      <c r="H7" s="363"/>
      <c r="I7" s="363"/>
      <c r="J7" s="363"/>
      <c r="K7" s="363"/>
      <c r="L7" s="363"/>
      <c r="M7" s="363"/>
      <c r="N7" s="363"/>
      <c r="O7" s="363"/>
      <c r="P7" s="363"/>
      <c r="Q7" s="363"/>
      <c r="R7" s="363"/>
      <c r="S7" s="363"/>
      <c r="T7" s="364"/>
      <c r="U7" s="364"/>
      <c r="V7" s="364"/>
      <c r="W7" s="364"/>
      <c r="X7" s="364"/>
      <c r="Y7" s="364"/>
      <c r="AJ7" s="25" t="s">
        <v>31</v>
      </c>
      <c r="AK7" s="25"/>
      <c r="AL7" s="25"/>
      <c r="AN7" s="25"/>
      <c r="AO7" s="25"/>
      <c r="AP7" s="25"/>
      <c r="AQ7" s="25"/>
      <c r="AS7" s="25"/>
      <c r="AT7" s="25"/>
      <c r="BC7" s="25" t="s">
        <v>31</v>
      </c>
      <c r="BD7" s="25"/>
      <c r="BF7" s="25"/>
      <c r="BG7" s="25"/>
      <c r="BH7" s="25"/>
      <c r="BI7" s="25"/>
      <c r="BJ7" s="25"/>
    </row>
    <row r="8" spans="1:62" ht="41.5" customHeight="1" x14ac:dyDescent="0.35">
      <c r="A8" s="326" t="s">
        <v>24</v>
      </c>
      <c r="B8" s="365" t="s">
        <v>25</v>
      </c>
      <c r="C8" s="366" t="s">
        <v>11</v>
      </c>
      <c r="D8" s="366" t="s">
        <v>15</v>
      </c>
      <c r="E8" s="330" t="s">
        <v>5</v>
      </c>
      <c r="F8" s="330"/>
      <c r="G8" s="330"/>
      <c r="H8" s="330"/>
      <c r="I8" s="330"/>
      <c r="J8" s="330"/>
      <c r="K8" s="330" t="s">
        <v>7</v>
      </c>
      <c r="L8" s="330"/>
      <c r="M8" s="330"/>
      <c r="N8" s="330"/>
      <c r="O8" s="330"/>
      <c r="P8" s="330"/>
      <c r="Q8" s="356" t="s">
        <v>2</v>
      </c>
      <c r="R8" s="350"/>
      <c r="S8" s="358" t="s">
        <v>12</v>
      </c>
      <c r="T8" s="323" t="s">
        <v>8</v>
      </c>
      <c r="U8" s="323"/>
      <c r="V8" s="323" t="s">
        <v>9</v>
      </c>
      <c r="W8" s="323"/>
      <c r="X8" s="323" t="s">
        <v>20</v>
      </c>
      <c r="Y8" s="323"/>
      <c r="AB8" s="326" t="s">
        <v>24</v>
      </c>
      <c r="AC8" s="342" t="s">
        <v>28</v>
      </c>
      <c r="AD8" s="342" t="s">
        <v>14</v>
      </c>
      <c r="AE8" s="345" t="s">
        <v>45</v>
      </c>
      <c r="AF8" s="346"/>
      <c r="AG8" s="349" t="s">
        <v>10</v>
      </c>
      <c r="AH8" s="350"/>
      <c r="AI8" s="353" t="s">
        <v>46</v>
      </c>
      <c r="AJ8" s="336" t="s">
        <v>51</v>
      </c>
      <c r="AK8" s="336" t="s">
        <v>47</v>
      </c>
      <c r="AM8" s="339" t="s">
        <v>41</v>
      </c>
      <c r="AN8" s="341" t="s">
        <v>38</v>
      </c>
      <c r="AO8" s="341" t="s">
        <v>14</v>
      </c>
      <c r="AP8" s="341" t="s">
        <v>39</v>
      </c>
      <c r="AQ8" s="341"/>
      <c r="AR8" s="341" t="s">
        <v>50</v>
      </c>
      <c r="AS8" s="341"/>
      <c r="AT8" s="324" t="s">
        <v>40</v>
      </c>
      <c r="AU8" s="55"/>
      <c r="AW8" s="326" t="s">
        <v>28</v>
      </c>
      <c r="AX8" s="329" t="s">
        <v>48</v>
      </c>
      <c r="AY8" s="330"/>
      <c r="AZ8" s="330"/>
      <c r="BA8" s="330"/>
      <c r="BB8" s="330"/>
      <c r="BC8" s="331"/>
      <c r="BD8" s="332" t="s">
        <v>49</v>
      </c>
      <c r="BE8" s="330"/>
      <c r="BF8" s="330"/>
      <c r="BG8" s="330"/>
      <c r="BH8" s="330"/>
      <c r="BI8" s="331"/>
    </row>
    <row r="9" spans="1:62" ht="19.149999999999999" customHeight="1" x14ac:dyDescent="0.35">
      <c r="A9" s="327"/>
      <c r="B9" s="365"/>
      <c r="C9" s="366"/>
      <c r="D9" s="366"/>
      <c r="E9" s="333" t="s">
        <v>6</v>
      </c>
      <c r="F9" s="334"/>
      <c r="G9" s="335" t="s">
        <v>13</v>
      </c>
      <c r="H9" s="334"/>
      <c r="I9" s="323" t="s">
        <v>19</v>
      </c>
      <c r="J9" s="323"/>
      <c r="K9" s="333" t="s">
        <v>6</v>
      </c>
      <c r="L9" s="334"/>
      <c r="M9" s="335" t="s">
        <v>13</v>
      </c>
      <c r="N9" s="334"/>
      <c r="O9" s="323" t="s">
        <v>19</v>
      </c>
      <c r="P9" s="323"/>
      <c r="Q9" s="357"/>
      <c r="R9" s="352"/>
      <c r="S9" s="359"/>
      <c r="T9" s="323"/>
      <c r="U9" s="323"/>
      <c r="V9" s="323"/>
      <c r="W9" s="323"/>
      <c r="X9" s="323"/>
      <c r="Y9" s="323"/>
      <c r="AB9" s="327"/>
      <c r="AC9" s="343"/>
      <c r="AD9" s="343"/>
      <c r="AE9" s="347"/>
      <c r="AF9" s="348"/>
      <c r="AG9" s="351"/>
      <c r="AH9" s="352"/>
      <c r="AI9" s="354"/>
      <c r="AJ9" s="337"/>
      <c r="AK9" s="337"/>
      <c r="AM9" s="340"/>
      <c r="AN9" s="323"/>
      <c r="AO9" s="323"/>
      <c r="AP9" s="8" t="s">
        <v>3</v>
      </c>
      <c r="AQ9" s="8" t="s">
        <v>4</v>
      </c>
      <c r="AR9" s="43" t="s">
        <v>3</v>
      </c>
      <c r="AS9" s="43" t="s">
        <v>4</v>
      </c>
      <c r="AT9" s="325"/>
      <c r="AU9" s="55"/>
      <c r="AW9" s="327"/>
      <c r="AX9" s="314" t="s">
        <v>17</v>
      </c>
      <c r="AY9" s="314" t="s">
        <v>11</v>
      </c>
      <c r="AZ9" s="314" t="s">
        <v>32</v>
      </c>
      <c r="BA9" s="314" t="s">
        <v>37</v>
      </c>
      <c r="BB9" s="314" t="s">
        <v>34</v>
      </c>
      <c r="BC9" s="314" t="s">
        <v>12</v>
      </c>
      <c r="BD9" s="314" t="s">
        <v>33</v>
      </c>
      <c r="BE9" s="314" t="s">
        <v>11</v>
      </c>
      <c r="BF9" s="314" t="s">
        <v>35</v>
      </c>
      <c r="BG9" s="314" t="s">
        <v>37</v>
      </c>
      <c r="BH9" s="314" t="s">
        <v>34</v>
      </c>
      <c r="BI9" s="314" t="s">
        <v>12</v>
      </c>
    </row>
    <row r="10" spans="1:62" ht="53.5" customHeight="1" thickBot="1" x14ac:dyDescent="0.4">
      <c r="A10" s="328"/>
      <c r="B10" s="365"/>
      <c r="C10" s="366"/>
      <c r="D10" s="366"/>
      <c r="E10" s="7" t="s">
        <v>3</v>
      </c>
      <c r="F10" s="8" t="s">
        <v>4</v>
      </c>
      <c r="G10" s="7" t="s">
        <v>3</v>
      </c>
      <c r="H10" s="8" t="s">
        <v>4</v>
      </c>
      <c r="I10" s="8" t="s">
        <v>3</v>
      </c>
      <c r="J10" s="8" t="s">
        <v>4</v>
      </c>
      <c r="K10" s="7" t="s">
        <v>3</v>
      </c>
      <c r="L10" s="8" t="s">
        <v>4</v>
      </c>
      <c r="M10" s="7" t="s">
        <v>3</v>
      </c>
      <c r="N10" s="8" t="s">
        <v>4</v>
      </c>
      <c r="O10" s="8" t="s">
        <v>3</v>
      </c>
      <c r="P10" s="8" t="s">
        <v>4</v>
      </c>
      <c r="Q10" s="9" t="s">
        <v>3</v>
      </c>
      <c r="R10" s="9" t="s">
        <v>4</v>
      </c>
      <c r="S10" s="360"/>
      <c r="T10" s="8" t="s">
        <v>3</v>
      </c>
      <c r="U10" s="8" t="s">
        <v>4</v>
      </c>
      <c r="V10" s="8" t="s">
        <v>3</v>
      </c>
      <c r="W10" s="8" t="s">
        <v>4</v>
      </c>
      <c r="X10" s="8" t="s">
        <v>3</v>
      </c>
      <c r="Y10" s="8" t="s">
        <v>4</v>
      </c>
      <c r="AB10" s="361"/>
      <c r="AC10" s="344"/>
      <c r="AD10" s="344"/>
      <c r="AE10" s="49" t="s">
        <v>3</v>
      </c>
      <c r="AF10" s="50" t="s">
        <v>4</v>
      </c>
      <c r="AG10" s="51" t="s">
        <v>3</v>
      </c>
      <c r="AH10" s="52" t="s">
        <v>4</v>
      </c>
      <c r="AI10" s="355"/>
      <c r="AJ10" s="338"/>
      <c r="AK10" s="338"/>
      <c r="AM10" s="340"/>
      <c r="AN10" s="42" t="str">
        <f>'11'!AN10</f>
        <v>0124W120</v>
      </c>
      <c r="AO10" s="42">
        <f>'11'!AT10</f>
        <v>48</v>
      </c>
      <c r="AP10" s="42"/>
      <c r="AQ10" s="17">
        <f>AP10+'11'!AQ10</f>
        <v>73</v>
      </c>
      <c r="AR10" s="17"/>
      <c r="AS10" s="17">
        <f>AR10+'11'!AS10</f>
        <v>25</v>
      </c>
      <c r="AT10" s="44">
        <f>AO10+AP10-AR10</f>
        <v>48</v>
      </c>
      <c r="AU10" s="56"/>
      <c r="AW10" s="328"/>
      <c r="AX10" s="315"/>
      <c r="AY10" s="315"/>
      <c r="AZ10" s="315"/>
      <c r="BA10" s="315"/>
      <c r="BB10" s="315"/>
      <c r="BC10" s="315"/>
      <c r="BD10" s="315"/>
      <c r="BE10" s="315"/>
      <c r="BF10" s="315"/>
      <c r="BG10" s="315"/>
      <c r="BH10" s="315"/>
      <c r="BI10" s="315"/>
    </row>
    <row r="11" spans="1:62" ht="41.5" customHeight="1" x14ac:dyDescent="0.35">
      <c r="A11" s="5">
        <v>1</v>
      </c>
      <c r="B11" s="26" t="str">
        <f>'11'!B11</f>
        <v>مكتب الصحة</v>
      </c>
      <c r="C11" s="26">
        <f>'11'!C11</f>
        <v>12251</v>
      </c>
      <c r="D11" s="26"/>
      <c r="E11" s="12"/>
      <c r="F11" s="2">
        <f>E11+'11'!F11</f>
        <v>39</v>
      </c>
      <c r="G11" s="2"/>
      <c r="H11" s="2">
        <f>G11+'11'!H11</f>
        <v>1961</v>
      </c>
      <c r="I11" s="2"/>
      <c r="J11" s="2">
        <f>I11+'11'!J11</f>
        <v>5340</v>
      </c>
      <c r="K11" s="2"/>
      <c r="L11" s="2">
        <f>K11+'11'!L11</f>
        <v>0</v>
      </c>
      <c r="M11" s="2"/>
      <c r="N11" s="2">
        <f>M11+'11'!N11</f>
        <v>0</v>
      </c>
      <c r="O11" s="2"/>
      <c r="P11" s="2">
        <f>O11+'11'!P11</f>
        <v>0</v>
      </c>
      <c r="Q11" s="4">
        <f>O11+M11+K11+I11+G11+E11</f>
        <v>0</v>
      </c>
      <c r="R11" s="4">
        <f>Q11+'11'!R11</f>
        <v>7340</v>
      </c>
      <c r="S11" s="27">
        <f>R11/C11</f>
        <v>0.5991347645090197</v>
      </c>
      <c r="T11" s="12"/>
      <c r="U11" s="12">
        <f>T11+'11'!U11</f>
        <v>1397</v>
      </c>
      <c r="V11" s="12"/>
      <c r="W11" s="12">
        <f>V11+'11'!W11</f>
        <v>4</v>
      </c>
      <c r="X11" s="12"/>
      <c r="Y11" s="12">
        <f>X11+'11'!Y11</f>
        <v>1</v>
      </c>
      <c r="AB11" s="48">
        <v>1</v>
      </c>
      <c r="AC11" s="26" t="str">
        <f>'11'!AC11</f>
        <v>مكتب الصحة</v>
      </c>
      <c r="AD11" s="28">
        <f>'11'!AI11</f>
        <v>333</v>
      </c>
      <c r="AE11" s="3"/>
      <c r="AF11" s="28">
        <f>AE11+'11'!AF11</f>
        <v>1082</v>
      </c>
      <c r="AG11" s="4"/>
      <c r="AH11" s="28">
        <f>AG11+'11'!AH11</f>
        <v>749</v>
      </c>
      <c r="AI11" s="4">
        <f>AD11+AE11-AG11</f>
        <v>333</v>
      </c>
      <c r="AJ11" s="11" t="e">
        <f t="shared" ref="AJ11:AJ51" si="0">Q11/AG11</f>
        <v>#DIV/0!</v>
      </c>
      <c r="AK11" s="53">
        <f t="shared" ref="AK11:AK51" si="1">R11/AH11</f>
        <v>9.799732977303071</v>
      </c>
      <c r="AM11" s="340"/>
      <c r="AN11" s="42" t="str">
        <f>'11'!AN11</f>
        <v>420604325A</v>
      </c>
      <c r="AO11" s="42">
        <f>'11'!AT11</f>
        <v>3076</v>
      </c>
      <c r="AP11" s="16"/>
      <c r="AQ11" s="17">
        <f>AP11+'11'!AQ11</f>
        <v>8550</v>
      </c>
      <c r="AR11" s="16"/>
      <c r="AS11" s="17">
        <f>AR11+'11'!AS11</f>
        <v>5474</v>
      </c>
      <c r="AT11" s="44">
        <f>AO11+AP11-AR11</f>
        <v>3076</v>
      </c>
      <c r="AU11" s="56"/>
      <c r="AW11" s="26" t="str">
        <f>'11'!AW11</f>
        <v>مكتب الصحة</v>
      </c>
      <c r="AX11" s="12">
        <f>'11'!AX11</f>
        <v>11</v>
      </c>
      <c r="AY11" s="12">
        <f>'11'!AY11</f>
        <v>8411</v>
      </c>
      <c r="AZ11" s="12"/>
      <c r="BA11" s="12"/>
      <c r="BB11" s="12">
        <f>BA11+'11'!BB11</f>
        <v>5998</v>
      </c>
      <c r="BC11" s="30">
        <f t="shared" ref="BC11:BC51" si="2">BB11/AY11</f>
        <v>0.71311377957436695</v>
      </c>
      <c r="BD11" s="12">
        <f>'11'!BD11</f>
        <v>27</v>
      </c>
      <c r="BE11" s="12">
        <f>'11'!BE11</f>
        <v>1746</v>
      </c>
      <c r="BF11" s="12"/>
      <c r="BG11" s="12"/>
      <c r="BH11" s="12">
        <f>BG11+'11'!BH11</f>
        <v>477</v>
      </c>
      <c r="BI11" s="30">
        <f t="shared" ref="BI11:BI51" si="3">BH11/BE11</f>
        <v>0.27319587628865977</v>
      </c>
    </row>
    <row r="12" spans="1:62" ht="41.5" customHeight="1" x14ac:dyDescent="0.35">
      <c r="A12" s="5">
        <v>2</v>
      </c>
      <c r="B12" s="26" t="str">
        <f>'11'!B12</f>
        <v>شبرابخـــــــــــوم</v>
      </c>
      <c r="C12" s="26">
        <f>'11'!C12</f>
        <v>4445</v>
      </c>
      <c r="D12" s="26"/>
      <c r="E12" s="12"/>
      <c r="F12" s="2">
        <f>E12+'11'!F12</f>
        <v>14</v>
      </c>
      <c r="G12" s="2"/>
      <c r="H12" s="2">
        <f>G12+'11'!H12</f>
        <v>392</v>
      </c>
      <c r="I12" s="2"/>
      <c r="J12" s="2">
        <f>I12+'11'!J12</f>
        <v>1857</v>
      </c>
      <c r="K12" s="2"/>
      <c r="L12" s="2">
        <f>K12+'11'!L12</f>
        <v>0</v>
      </c>
      <c r="M12" s="2"/>
      <c r="N12" s="2">
        <f>M12+'11'!N12</f>
        <v>0</v>
      </c>
      <c r="O12" s="2"/>
      <c r="P12" s="2">
        <f>O12+'11'!P12</f>
        <v>0</v>
      </c>
      <c r="Q12" s="4">
        <f t="shared" ref="Q12:Q50" si="4">O12+M12+K12+I12+G12+E12</f>
        <v>0</v>
      </c>
      <c r="R12" s="4">
        <f>Q12+'11'!R12</f>
        <v>2263</v>
      </c>
      <c r="S12" s="27">
        <f t="shared" ref="S12:S50" si="5">R12/C12</f>
        <v>0.50911136107986499</v>
      </c>
      <c r="T12" s="12"/>
      <c r="U12" s="12">
        <f>T12+'11'!U12</f>
        <v>373</v>
      </c>
      <c r="V12" s="12"/>
      <c r="W12" s="12">
        <f>V12+'11'!W12</f>
        <v>15</v>
      </c>
      <c r="X12" s="12"/>
      <c r="Y12" s="12">
        <f>X12+'11'!Y12</f>
        <v>0</v>
      </c>
      <c r="AB12" s="5">
        <v>2</v>
      </c>
      <c r="AC12" s="26" t="str">
        <f>'11'!AC12</f>
        <v>شبرابخـــــــــــوم</v>
      </c>
      <c r="AD12" s="28">
        <f>'11'!AI12</f>
        <v>158</v>
      </c>
      <c r="AE12" s="3"/>
      <c r="AF12" s="28">
        <f>AE12+'11'!AF12</f>
        <v>390</v>
      </c>
      <c r="AG12" s="4"/>
      <c r="AH12" s="28">
        <f>AG12+'11'!AH12</f>
        <v>232</v>
      </c>
      <c r="AI12" s="4">
        <f>AD12+AE12-AG12</f>
        <v>158</v>
      </c>
      <c r="AJ12" s="11" t="e">
        <f t="shared" si="0"/>
        <v>#DIV/0!</v>
      </c>
      <c r="AK12" s="53">
        <f t="shared" si="1"/>
        <v>9.7543103448275854</v>
      </c>
      <c r="AM12" s="340"/>
      <c r="AN12" s="42" t="str">
        <f>'11'!AN12</f>
        <v>420604225A</v>
      </c>
      <c r="AO12" s="42">
        <f>'11'!AT12</f>
        <v>100</v>
      </c>
      <c r="AP12" s="16"/>
      <c r="AQ12" s="17">
        <f>AP12+'11'!AQ12</f>
        <v>100</v>
      </c>
      <c r="AR12" s="16"/>
      <c r="AS12" s="17">
        <f>AR12+'11'!AS12</f>
        <v>0</v>
      </c>
      <c r="AT12" s="44">
        <f>AO12+AP12-AR12</f>
        <v>100</v>
      </c>
      <c r="AU12" s="56"/>
      <c r="AW12" s="26" t="str">
        <f>'11'!AW12</f>
        <v>شبرابخـــــــــــوم</v>
      </c>
      <c r="AX12" s="12">
        <f>'11'!AX12</f>
        <v>6</v>
      </c>
      <c r="AY12" s="12">
        <f>'11'!AY12</f>
        <v>2215</v>
      </c>
      <c r="AZ12" s="12"/>
      <c r="BA12" s="12"/>
      <c r="BB12" s="12">
        <f>BA12+'11'!BB12</f>
        <v>2306</v>
      </c>
      <c r="BC12" s="30">
        <f t="shared" si="2"/>
        <v>1.0410835214446952</v>
      </c>
      <c r="BD12" s="12">
        <f>'11'!BD12</f>
        <v>16</v>
      </c>
      <c r="BE12" s="12">
        <f>'11'!BE12</f>
        <v>729</v>
      </c>
      <c r="BF12" s="12"/>
      <c r="BG12" s="12"/>
      <c r="BH12" s="12">
        <f>BG12+'11'!BH12</f>
        <v>224</v>
      </c>
      <c r="BI12" s="30">
        <f t="shared" si="3"/>
        <v>0.30727023319615915</v>
      </c>
    </row>
    <row r="13" spans="1:62" ht="41.5" customHeight="1" x14ac:dyDescent="0.35">
      <c r="A13" s="5">
        <v>3</v>
      </c>
      <c r="B13" s="26" t="str">
        <f>'11'!B13</f>
        <v>ميت بره</v>
      </c>
      <c r="C13" s="26">
        <f>'11'!C13</f>
        <v>11614</v>
      </c>
      <c r="D13" s="26"/>
      <c r="E13" s="12"/>
      <c r="F13" s="2">
        <f>E13+'11'!F13</f>
        <v>45</v>
      </c>
      <c r="G13" s="2"/>
      <c r="H13" s="2">
        <f>G13+'11'!H13</f>
        <v>465</v>
      </c>
      <c r="I13" s="2"/>
      <c r="J13" s="2">
        <f>I13+'11'!J13</f>
        <v>3703</v>
      </c>
      <c r="K13" s="2"/>
      <c r="L13" s="2">
        <f>K13+'11'!L13</f>
        <v>0</v>
      </c>
      <c r="M13" s="2"/>
      <c r="N13" s="2">
        <f>M13+'11'!N13</f>
        <v>0</v>
      </c>
      <c r="O13" s="2"/>
      <c r="P13" s="2">
        <f>O13+'11'!P13</f>
        <v>0</v>
      </c>
      <c r="Q13" s="4">
        <f t="shared" si="4"/>
        <v>0</v>
      </c>
      <c r="R13" s="4">
        <f>Q13+'11'!R13</f>
        <v>4213</v>
      </c>
      <c r="S13" s="27">
        <f t="shared" si="5"/>
        <v>0.36275185121405201</v>
      </c>
      <c r="T13" s="12"/>
      <c r="U13" s="12">
        <f>T13+'11'!U13</f>
        <v>641</v>
      </c>
      <c r="V13" s="12"/>
      <c r="W13" s="12">
        <f>V13+'11'!W13</f>
        <v>0</v>
      </c>
      <c r="X13" s="12"/>
      <c r="Y13" s="12">
        <f>X13+'11'!Y13</f>
        <v>0</v>
      </c>
      <c r="AB13" s="5">
        <v>3</v>
      </c>
      <c r="AC13" s="26" t="str">
        <f>'11'!AC13</f>
        <v>ميت بره</v>
      </c>
      <c r="AD13" s="28">
        <f>'11'!AI13</f>
        <v>584</v>
      </c>
      <c r="AE13" s="3"/>
      <c r="AF13" s="28">
        <f>AE13+'11'!AF13</f>
        <v>1020</v>
      </c>
      <c r="AG13" s="4"/>
      <c r="AH13" s="28">
        <f>AG13+'11'!AH13</f>
        <v>436</v>
      </c>
      <c r="AI13" s="4">
        <f t="shared" ref="AI13:AI50" si="6">AD13+AE13-AG13</f>
        <v>584</v>
      </c>
      <c r="AJ13" s="11" t="e">
        <f t="shared" si="0"/>
        <v>#DIV/0!</v>
      </c>
      <c r="AK13" s="53">
        <f t="shared" si="1"/>
        <v>9.6628440366972477</v>
      </c>
      <c r="AM13" s="340"/>
      <c r="AN13" s="46" t="s">
        <v>43</v>
      </c>
      <c r="AO13" s="45">
        <f t="shared" ref="AO13:AT13" si="7">SUM(AO10:AO12)</f>
        <v>3224</v>
      </c>
      <c r="AP13" s="45">
        <f t="shared" si="7"/>
        <v>0</v>
      </c>
      <c r="AQ13" s="45">
        <f t="shared" si="7"/>
        <v>8723</v>
      </c>
      <c r="AR13" s="45">
        <f t="shared" si="7"/>
        <v>0</v>
      </c>
      <c r="AS13" s="45">
        <f t="shared" si="7"/>
        <v>5499</v>
      </c>
      <c r="AT13" s="47">
        <f t="shared" si="7"/>
        <v>3224</v>
      </c>
      <c r="AU13" s="56"/>
      <c r="AW13" s="26" t="str">
        <f>'11'!AW13</f>
        <v>ميت بره</v>
      </c>
      <c r="AX13" s="12">
        <f>'11'!AX13</f>
        <v>8</v>
      </c>
      <c r="AY13" s="12">
        <f>'11'!AY13</f>
        <v>4849</v>
      </c>
      <c r="AZ13" s="12"/>
      <c r="BA13" s="12"/>
      <c r="BB13" s="12">
        <f>BA13+'11'!BB13</f>
        <v>4093</v>
      </c>
      <c r="BC13" s="30">
        <f t="shared" si="2"/>
        <v>0.84409156527118989</v>
      </c>
      <c r="BD13" s="12">
        <f>'11'!BD13</f>
        <v>21</v>
      </c>
      <c r="BE13" s="12">
        <f>'11'!BE13</f>
        <v>1129</v>
      </c>
      <c r="BF13" s="12"/>
      <c r="BG13" s="12"/>
      <c r="BH13" s="12">
        <f>BG13+'11'!BH13</f>
        <v>128</v>
      </c>
      <c r="BI13" s="30">
        <f t="shared" si="3"/>
        <v>0.11337466784765279</v>
      </c>
    </row>
    <row r="14" spans="1:62" ht="41.5" customHeight="1" thickBot="1" x14ac:dyDescent="0.4">
      <c r="A14" s="5">
        <v>4</v>
      </c>
      <c r="B14" s="26" t="str">
        <f>'11'!B14</f>
        <v>أبنــــــــــــــــهس</v>
      </c>
      <c r="C14" s="26">
        <f>'11'!C14</f>
        <v>5029</v>
      </c>
      <c r="D14" s="26"/>
      <c r="E14" s="12"/>
      <c r="F14" s="2">
        <f>E14+'11'!F14</f>
        <v>14</v>
      </c>
      <c r="G14" s="2"/>
      <c r="H14" s="2">
        <f>G14+'11'!H14</f>
        <v>349</v>
      </c>
      <c r="I14" s="2"/>
      <c r="J14" s="2">
        <f>I14+'11'!J14</f>
        <v>2016</v>
      </c>
      <c r="K14" s="2"/>
      <c r="L14" s="2">
        <f>K14+'11'!L14</f>
        <v>0</v>
      </c>
      <c r="M14" s="2"/>
      <c r="N14" s="2">
        <f>M14+'11'!N14</f>
        <v>0</v>
      </c>
      <c r="O14" s="2"/>
      <c r="P14" s="2">
        <f>O14+'11'!P14</f>
        <v>0</v>
      </c>
      <c r="Q14" s="4">
        <f t="shared" si="4"/>
        <v>0</v>
      </c>
      <c r="R14" s="4">
        <f>Q14+'11'!R14</f>
        <v>2379</v>
      </c>
      <c r="S14" s="27">
        <f t="shared" si="5"/>
        <v>0.47305627361304436</v>
      </c>
      <c r="T14" s="12"/>
      <c r="U14" s="12">
        <f>T14+'11'!U14</f>
        <v>341</v>
      </c>
      <c r="V14" s="12"/>
      <c r="W14" s="12">
        <f>V14+'11'!W14</f>
        <v>29</v>
      </c>
      <c r="X14" s="12"/>
      <c r="Y14" s="12">
        <f>X14+'11'!Y14</f>
        <v>0</v>
      </c>
      <c r="AB14" s="5">
        <v>4</v>
      </c>
      <c r="AC14" s="26" t="str">
        <f>'11'!AC14</f>
        <v>أبنــــــــــــــــهس</v>
      </c>
      <c r="AD14" s="28">
        <f>'11'!AI14</f>
        <v>196</v>
      </c>
      <c r="AE14" s="3"/>
      <c r="AF14" s="28">
        <f>AE14+'11'!AF14</f>
        <v>440</v>
      </c>
      <c r="AG14" s="4"/>
      <c r="AH14" s="28">
        <f>AG14+'11'!AH14</f>
        <v>244</v>
      </c>
      <c r="AI14" s="4">
        <f t="shared" si="6"/>
        <v>196</v>
      </c>
      <c r="AJ14" s="11" t="e">
        <f t="shared" si="0"/>
        <v>#DIV/0!</v>
      </c>
      <c r="AK14" s="53">
        <f t="shared" si="1"/>
        <v>9.75</v>
      </c>
      <c r="AM14" s="316" t="s">
        <v>42</v>
      </c>
      <c r="AN14" s="317"/>
      <c r="AO14" s="318"/>
      <c r="AP14" s="319"/>
      <c r="AQ14" s="319"/>
      <c r="AR14" s="319"/>
      <c r="AS14" s="320"/>
      <c r="AT14" s="39">
        <f>AT13+AI51</f>
        <v>6357</v>
      </c>
      <c r="AU14" s="57"/>
      <c r="AW14" s="26" t="str">
        <f>'11'!AW14</f>
        <v>أبنــــــــــــــــهس</v>
      </c>
      <c r="AX14" s="12">
        <f>'11'!AX14</f>
        <v>7</v>
      </c>
      <c r="AY14" s="12">
        <f>'11'!AY14</f>
        <v>2531</v>
      </c>
      <c r="AZ14" s="12"/>
      <c r="BA14" s="12"/>
      <c r="BB14" s="12">
        <f>BA14+'11'!BB14</f>
        <v>2092</v>
      </c>
      <c r="BC14" s="30">
        <f t="shared" si="2"/>
        <v>0.82655077044646386</v>
      </c>
      <c r="BD14" s="12">
        <f>'11'!BD14</f>
        <v>23</v>
      </c>
      <c r="BE14" s="12">
        <f>'11'!BE14</f>
        <v>921</v>
      </c>
      <c r="BF14" s="12"/>
      <c r="BG14" s="12"/>
      <c r="BH14" s="12">
        <f>BG14+'11'!BH14</f>
        <v>287</v>
      </c>
      <c r="BI14" s="30">
        <f t="shared" si="3"/>
        <v>0.31161780673181327</v>
      </c>
    </row>
    <row r="15" spans="1:62" ht="41.5" customHeight="1" x14ac:dyDescent="0.35">
      <c r="A15" s="5">
        <v>5</v>
      </c>
      <c r="B15" s="26" t="str">
        <f>'11'!B15</f>
        <v>ميت ســـــــــراج</v>
      </c>
      <c r="C15" s="26">
        <f>'11'!C15</f>
        <v>2369</v>
      </c>
      <c r="D15" s="26"/>
      <c r="E15" s="12"/>
      <c r="F15" s="2">
        <f>E15+'11'!F15</f>
        <v>4</v>
      </c>
      <c r="G15" s="2"/>
      <c r="H15" s="2">
        <f>G15+'11'!H15</f>
        <v>472</v>
      </c>
      <c r="I15" s="2"/>
      <c r="J15" s="2">
        <f>I15+'11'!J15</f>
        <v>839</v>
      </c>
      <c r="K15" s="2"/>
      <c r="L15" s="2">
        <f>K15+'11'!L15</f>
        <v>0</v>
      </c>
      <c r="M15" s="2"/>
      <c r="N15" s="2">
        <f>M15+'11'!N15</f>
        <v>0</v>
      </c>
      <c r="O15" s="2"/>
      <c r="P15" s="2">
        <f>O15+'11'!P15</f>
        <v>0</v>
      </c>
      <c r="Q15" s="4">
        <f t="shared" si="4"/>
        <v>0</v>
      </c>
      <c r="R15" s="4">
        <f>Q15+'11'!R15</f>
        <v>1315</v>
      </c>
      <c r="S15" s="27">
        <f t="shared" si="5"/>
        <v>0.55508653440270161</v>
      </c>
      <c r="T15" s="12"/>
      <c r="U15" s="12">
        <f>T15+'11'!U15</f>
        <v>105</v>
      </c>
      <c r="V15" s="12"/>
      <c r="W15" s="12">
        <f>V15+'11'!W15</f>
        <v>37</v>
      </c>
      <c r="X15" s="12"/>
      <c r="Y15" s="12">
        <f>X15+'11'!Y15</f>
        <v>0</v>
      </c>
      <c r="AB15" s="5">
        <v>5</v>
      </c>
      <c r="AC15" s="26" t="str">
        <f>'11'!AC15</f>
        <v>ميت ســـــــــراج</v>
      </c>
      <c r="AD15" s="28">
        <f>'11'!AI15</f>
        <v>74</v>
      </c>
      <c r="AE15" s="3"/>
      <c r="AF15" s="28">
        <f>AE15+'11'!AF15</f>
        <v>209</v>
      </c>
      <c r="AG15" s="4"/>
      <c r="AH15" s="28">
        <f>AG15+'11'!AH15</f>
        <v>135</v>
      </c>
      <c r="AI15" s="4">
        <f t="shared" si="6"/>
        <v>74</v>
      </c>
      <c r="AJ15" s="11" t="e">
        <f t="shared" si="0"/>
        <v>#DIV/0!</v>
      </c>
      <c r="AK15" s="53">
        <f t="shared" si="1"/>
        <v>9.7407407407407405</v>
      </c>
      <c r="AW15" s="26" t="str">
        <f>'11'!AW15</f>
        <v>ميت ســـــــــراج</v>
      </c>
      <c r="AX15" s="12">
        <f>'11'!AX15</f>
        <v>2</v>
      </c>
      <c r="AY15" s="12">
        <f>'11'!AY15</f>
        <v>1041</v>
      </c>
      <c r="AZ15" s="12"/>
      <c r="BA15" s="12"/>
      <c r="BB15" s="12">
        <f>BA15+'11'!BB15</f>
        <v>874</v>
      </c>
      <c r="BC15" s="30">
        <f t="shared" si="2"/>
        <v>0.83957732949087416</v>
      </c>
      <c r="BD15" s="12">
        <f>'11'!BD15</f>
        <v>5</v>
      </c>
      <c r="BE15" s="12">
        <f>'11'!BE15</f>
        <v>310</v>
      </c>
      <c r="BF15" s="12"/>
      <c r="BG15" s="12"/>
      <c r="BH15" s="12">
        <f>BG15+'11'!BH15</f>
        <v>385</v>
      </c>
      <c r="BI15" s="30">
        <f t="shared" si="3"/>
        <v>1.2419354838709677</v>
      </c>
    </row>
    <row r="16" spans="1:62" ht="41.5" customHeight="1" x14ac:dyDescent="0.35">
      <c r="A16" s="5">
        <v>6</v>
      </c>
      <c r="B16" s="26" t="str">
        <f>'11'!B16</f>
        <v>أم خــــــــــــــنان</v>
      </c>
      <c r="C16" s="26">
        <f>'11'!C16</f>
        <v>4900</v>
      </c>
      <c r="D16" s="26"/>
      <c r="E16" s="12"/>
      <c r="F16" s="2">
        <f>E16+'11'!F16</f>
        <v>11</v>
      </c>
      <c r="G16" s="2"/>
      <c r="H16" s="2">
        <f>G16+'11'!H16</f>
        <v>280</v>
      </c>
      <c r="I16" s="2"/>
      <c r="J16" s="2">
        <f>I16+'11'!J16</f>
        <v>1942</v>
      </c>
      <c r="K16" s="2"/>
      <c r="L16" s="2">
        <f>K16+'11'!L16</f>
        <v>0</v>
      </c>
      <c r="M16" s="2"/>
      <c r="N16" s="2">
        <f>M16+'11'!N16</f>
        <v>0</v>
      </c>
      <c r="O16" s="2"/>
      <c r="P16" s="2">
        <f>O16+'11'!P16</f>
        <v>0</v>
      </c>
      <c r="Q16" s="4">
        <f t="shared" si="4"/>
        <v>0</v>
      </c>
      <c r="R16" s="4">
        <f>Q16+'11'!R16</f>
        <v>2233</v>
      </c>
      <c r="S16" s="27">
        <f t="shared" si="5"/>
        <v>0.45571428571428574</v>
      </c>
      <c r="T16" s="12"/>
      <c r="U16" s="12">
        <f>T16+'11'!U16</f>
        <v>375</v>
      </c>
      <c r="V16" s="12"/>
      <c r="W16" s="12">
        <f>V16+'11'!W16</f>
        <v>0</v>
      </c>
      <c r="X16" s="12"/>
      <c r="Y16" s="12">
        <f>X16+'11'!Y16</f>
        <v>0</v>
      </c>
      <c r="AB16" s="5">
        <v>6</v>
      </c>
      <c r="AC16" s="26" t="str">
        <f>'11'!AC16</f>
        <v>أم خــــــــــــــنان</v>
      </c>
      <c r="AD16" s="28">
        <f>'11'!AI16</f>
        <v>204</v>
      </c>
      <c r="AE16" s="3"/>
      <c r="AF16" s="28">
        <f>AE16+'11'!AF16</f>
        <v>430</v>
      </c>
      <c r="AG16" s="4"/>
      <c r="AH16" s="28">
        <f>AG16+'11'!AH16</f>
        <v>226</v>
      </c>
      <c r="AI16" s="4">
        <f t="shared" si="6"/>
        <v>204</v>
      </c>
      <c r="AJ16" s="11" t="e">
        <f t="shared" si="0"/>
        <v>#DIV/0!</v>
      </c>
      <c r="AK16" s="53">
        <f t="shared" si="1"/>
        <v>9.8805309734513269</v>
      </c>
      <c r="AW16" s="26" t="str">
        <f>'11'!AW16</f>
        <v>أم خــــــــــــــنان</v>
      </c>
      <c r="AX16" s="12">
        <f>'11'!AX16</f>
        <v>8</v>
      </c>
      <c r="AY16" s="12">
        <f>'11'!AY16</f>
        <v>2981</v>
      </c>
      <c r="AZ16" s="12"/>
      <c r="BA16" s="12"/>
      <c r="BB16" s="12">
        <f>BA16+'11'!BB16</f>
        <v>2132</v>
      </c>
      <c r="BC16" s="30">
        <f t="shared" si="2"/>
        <v>0.71519624287151962</v>
      </c>
      <c r="BD16" s="12">
        <f>'11'!BD16</f>
        <v>12</v>
      </c>
      <c r="BE16" s="12">
        <f>'11'!BE16</f>
        <v>1313</v>
      </c>
      <c r="BF16" s="12"/>
      <c r="BG16" s="12"/>
      <c r="BH16" s="12">
        <f>BG16+'11'!BH16</f>
        <v>0</v>
      </c>
      <c r="BI16" s="30">
        <f t="shared" si="3"/>
        <v>0</v>
      </c>
    </row>
    <row r="17" spans="1:61" ht="41.5" customHeight="1" x14ac:dyDescent="0.35">
      <c r="A17" s="5">
        <v>7</v>
      </c>
      <c r="B17" s="26" t="str">
        <f>'11'!B17</f>
        <v>أجهور الرمل</v>
      </c>
      <c r="C17" s="26">
        <f>'11'!C17</f>
        <v>3590</v>
      </c>
      <c r="D17" s="26"/>
      <c r="E17" s="12"/>
      <c r="F17" s="2">
        <f>E17+'11'!F17</f>
        <v>17</v>
      </c>
      <c r="G17" s="2"/>
      <c r="H17" s="2">
        <f>G17+'11'!H17</f>
        <v>591</v>
      </c>
      <c r="I17" s="2"/>
      <c r="J17" s="2">
        <f>I17+'11'!J17</f>
        <v>1489</v>
      </c>
      <c r="K17" s="2"/>
      <c r="L17" s="2">
        <f>K17+'11'!L17</f>
        <v>0</v>
      </c>
      <c r="M17" s="2"/>
      <c r="N17" s="2">
        <f>M17+'11'!N17</f>
        <v>0</v>
      </c>
      <c r="O17" s="2"/>
      <c r="P17" s="2">
        <f>O17+'11'!P17</f>
        <v>0</v>
      </c>
      <c r="Q17" s="4">
        <f t="shared" si="4"/>
        <v>0</v>
      </c>
      <c r="R17" s="4">
        <f>Q17+'11'!R17</f>
        <v>2097</v>
      </c>
      <c r="S17" s="27">
        <f t="shared" si="5"/>
        <v>0.58412256267409468</v>
      </c>
      <c r="T17" s="12"/>
      <c r="U17" s="12">
        <f>T17+'11'!U17</f>
        <v>360</v>
      </c>
      <c r="V17" s="12"/>
      <c r="W17" s="12">
        <f>V17+'11'!W17</f>
        <v>121</v>
      </c>
      <c r="X17" s="12"/>
      <c r="Y17" s="12">
        <f>X17+'11'!Y17</f>
        <v>0</v>
      </c>
      <c r="AB17" s="5">
        <v>7</v>
      </c>
      <c r="AC17" s="26" t="str">
        <f>'11'!AC17</f>
        <v>أجهور الرمل</v>
      </c>
      <c r="AD17" s="28">
        <f>'11'!AI17</f>
        <v>100</v>
      </c>
      <c r="AE17" s="3"/>
      <c r="AF17" s="28">
        <f>AE17+'11'!AF17</f>
        <v>316</v>
      </c>
      <c r="AG17" s="4"/>
      <c r="AH17" s="28">
        <f>AG17+'11'!AH17</f>
        <v>216</v>
      </c>
      <c r="AI17" s="4">
        <f t="shared" si="6"/>
        <v>100</v>
      </c>
      <c r="AJ17" s="11" t="e">
        <f t="shared" si="0"/>
        <v>#DIV/0!</v>
      </c>
      <c r="AK17" s="53">
        <f t="shared" si="1"/>
        <v>9.7083333333333339</v>
      </c>
      <c r="AW17" s="26" t="str">
        <f>'11'!AW17</f>
        <v>أجهور الرمل</v>
      </c>
      <c r="AX17" s="12">
        <f>'11'!AX17</f>
        <v>4</v>
      </c>
      <c r="AY17" s="12">
        <f>'11'!AY17</f>
        <v>1796</v>
      </c>
      <c r="AZ17" s="12"/>
      <c r="BA17" s="12"/>
      <c r="BB17" s="12">
        <f>BA17+'11'!BB17</f>
        <v>1422</v>
      </c>
      <c r="BC17" s="30">
        <f t="shared" si="2"/>
        <v>0.79175946547884191</v>
      </c>
      <c r="BD17" s="12">
        <f>'11'!BD17</f>
        <v>3</v>
      </c>
      <c r="BE17" s="12">
        <f>'11'!BE17</f>
        <v>100</v>
      </c>
      <c r="BF17" s="12"/>
      <c r="BG17" s="12"/>
      <c r="BH17" s="12">
        <f>BG17+'11'!BH17</f>
        <v>441</v>
      </c>
      <c r="BI17" s="30">
        <f t="shared" si="3"/>
        <v>4.41</v>
      </c>
    </row>
    <row r="18" spans="1:61" ht="41.5" customHeight="1" x14ac:dyDescent="0.35">
      <c r="A18" s="5">
        <v>8</v>
      </c>
      <c r="B18" s="26" t="str">
        <f>'11'!B18</f>
        <v>منشأة دمــــــــــلو</v>
      </c>
      <c r="C18" s="26">
        <f>'11'!C18</f>
        <v>1320</v>
      </c>
      <c r="D18" s="26"/>
      <c r="E18" s="12"/>
      <c r="F18" s="2">
        <f>E18+'11'!F18</f>
        <v>18</v>
      </c>
      <c r="G18" s="2"/>
      <c r="H18" s="2">
        <f>G18+'11'!H18</f>
        <v>528</v>
      </c>
      <c r="I18" s="2"/>
      <c r="J18" s="2">
        <f>I18+'11'!J18</f>
        <v>704</v>
      </c>
      <c r="K18" s="2"/>
      <c r="L18" s="2">
        <f>K18+'11'!L18</f>
        <v>0</v>
      </c>
      <c r="M18" s="2"/>
      <c r="N18" s="2">
        <f>M18+'11'!N18</f>
        <v>0</v>
      </c>
      <c r="O18" s="2"/>
      <c r="P18" s="2">
        <f>O18+'11'!P18</f>
        <v>0</v>
      </c>
      <c r="Q18" s="4">
        <f t="shared" si="4"/>
        <v>0</v>
      </c>
      <c r="R18" s="4">
        <f>Q18+'11'!R18</f>
        <v>1250</v>
      </c>
      <c r="S18" s="27">
        <f t="shared" si="5"/>
        <v>0.94696969696969702</v>
      </c>
      <c r="T18" s="12"/>
      <c r="U18" s="12">
        <f>T18+'11'!U18</f>
        <v>175</v>
      </c>
      <c r="V18" s="12"/>
      <c r="W18" s="12">
        <f>V18+'11'!W18</f>
        <v>38</v>
      </c>
      <c r="X18" s="12"/>
      <c r="Y18" s="12">
        <f>X18+'11'!Y18</f>
        <v>0</v>
      </c>
      <c r="AB18" s="5">
        <v>8</v>
      </c>
      <c r="AC18" s="26" t="str">
        <f>'11'!AC18</f>
        <v>منشأة دمــــــــــلو</v>
      </c>
      <c r="AD18" s="28">
        <f>'11'!AI18</f>
        <v>4</v>
      </c>
      <c r="AE18" s="3"/>
      <c r="AF18" s="28">
        <f>AE18+'11'!AF18</f>
        <v>135</v>
      </c>
      <c r="AG18" s="4"/>
      <c r="AH18" s="28">
        <f>AG18+'11'!AH18</f>
        <v>131</v>
      </c>
      <c r="AI18" s="4">
        <f t="shared" si="6"/>
        <v>4</v>
      </c>
      <c r="AJ18" s="11" t="e">
        <f t="shared" si="0"/>
        <v>#DIV/0!</v>
      </c>
      <c r="AK18" s="53">
        <f t="shared" si="1"/>
        <v>9.5419847328244281</v>
      </c>
      <c r="AW18" s="26" t="str">
        <f>'11'!AW18</f>
        <v>منشأة دمــــــــــلو</v>
      </c>
      <c r="AX18" s="12">
        <f>'11'!AX18</f>
        <v>2</v>
      </c>
      <c r="AY18" s="12">
        <f>'11'!AY18</f>
        <v>896</v>
      </c>
      <c r="AZ18" s="12"/>
      <c r="BA18" s="12"/>
      <c r="BB18" s="12">
        <f>BA18+'11'!BB18</f>
        <v>748</v>
      </c>
      <c r="BC18" s="30">
        <f t="shared" si="2"/>
        <v>0.8348214285714286</v>
      </c>
      <c r="BD18" s="12">
        <f>'11'!BD18</f>
        <v>8</v>
      </c>
      <c r="BE18" s="12">
        <f>'11'!BE18</f>
        <v>340</v>
      </c>
      <c r="BF18" s="12"/>
      <c r="BG18" s="12"/>
      <c r="BH18" s="12">
        <f>BG18+'11'!BH18</f>
        <v>328</v>
      </c>
      <c r="BI18" s="30">
        <f t="shared" si="3"/>
        <v>0.96470588235294119</v>
      </c>
    </row>
    <row r="19" spans="1:61" ht="41.5" customHeight="1" x14ac:dyDescent="0.35">
      <c r="A19" s="5">
        <v>9</v>
      </c>
      <c r="B19" s="26" t="str">
        <f>'11'!B19</f>
        <v>شـــــــــــــرانيس</v>
      </c>
      <c r="C19" s="26">
        <f>'11'!C19</f>
        <v>1414</v>
      </c>
      <c r="D19" s="26"/>
      <c r="E19" s="12"/>
      <c r="F19" s="2">
        <f>E19+'11'!F19</f>
        <v>11</v>
      </c>
      <c r="G19" s="2"/>
      <c r="H19" s="2">
        <f>G19+'11'!H19</f>
        <v>359</v>
      </c>
      <c r="I19" s="2"/>
      <c r="J19" s="2">
        <f>I19+'11'!J19</f>
        <v>618</v>
      </c>
      <c r="K19" s="2"/>
      <c r="L19" s="2">
        <f>K19+'11'!L19</f>
        <v>0</v>
      </c>
      <c r="M19" s="2"/>
      <c r="N19" s="2">
        <f>M19+'11'!N19</f>
        <v>0</v>
      </c>
      <c r="O19" s="2"/>
      <c r="P19" s="2">
        <f>O19+'11'!P19</f>
        <v>0</v>
      </c>
      <c r="Q19" s="4">
        <f t="shared" si="4"/>
        <v>0</v>
      </c>
      <c r="R19" s="4">
        <f>Q19+'11'!R19</f>
        <v>988</v>
      </c>
      <c r="S19" s="27">
        <f t="shared" si="5"/>
        <v>0.69872701555869876</v>
      </c>
      <c r="T19" s="12"/>
      <c r="U19" s="12">
        <f>T19+'11'!U19</f>
        <v>143</v>
      </c>
      <c r="V19" s="12"/>
      <c r="W19" s="12">
        <f>V19+'11'!W19</f>
        <v>0</v>
      </c>
      <c r="X19" s="12"/>
      <c r="Y19" s="12">
        <f>X19+'11'!Y19</f>
        <v>0</v>
      </c>
      <c r="AB19" s="5">
        <v>9</v>
      </c>
      <c r="AC19" s="26" t="str">
        <f>'11'!AC19</f>
        <v>شـــــــــــــرانيس</v>
      </c>
      <c r="AD19" s="28">
        <f>'11'!AI19</f>
        <v>22</v>
      </c>
      <c r="AE19" s="3"/>
      <c r="AF19" s="28">
        <f>AE19+'11'!AF19</f>
        <v>125</v>
      </c>
      <c r="AG19" s="4"/>
      <c r="AH19" s="28">
        <f>AG19+'11'!AH19</f>
        <v>103</v>
      </c>
      <c r="AI19" s="4">
        <f t="shared" si="6"/>
        <v>22</v>
      </c>
      <c r="AJ19" s="11" t="e">
        <f t="shared" si="0"/>
        <v>#DIV/0!</v>
      </c>
      <c r="AK19" s="53">
        <f t="shared" si="1"/>
        <v>9.5922330097087372</v>
      </c>
      <c r="AW19" s="26" t="str">
        <f>'11'!AW19</f>
        <v>شـــــــــــــرانيس</v>
      </c>
      <c r="AX19" s="12">
        <f>'11'!AX19</f>
        <v>2</v>
      </c>
      <c r="AY19" s="12">
        <f>'11'!AY19</f>
        <v>675</v>
      </c>
      <c r="AZ19" s="12"/>
      <c r="BA19" s="12"/>
      <c r="BB19" s="12">
        <f>BA19+'11'!BB19</f>
        <v>569</v>
      </c>
      <c r="BC19" s="30">
        <f t="shared" si="2"/>
        <v>0.84296296296296291</v>
      </c>
      <c r="BD19" s="12">
        <f>'11'!BD19</f>
        <v>2</v>
      </c>
      <c r="BE19" s="12">
        <f>'11'!BE19</f>
        <v>397</v>
      </c>
      <c r="BF19" s="12"/>
      <c r="BG19" s="12"/>
      <c r="BH19" s="12">
        <f>BG19+'11'!BH19</f>
        <v>349</v>
      </c>
      <c r="BI19" s="30">
        <f t="shared" si="3"/>
        <v>0.87909319899244331</v>
      </c>
    </row>
    <row r="20" spans="1:61" ht="41.5" customHeight="1" x14ac:dyDescent="0.35">
      <c r="A20" s="5">
        <v>10</v>
      </c>
      <c r="B20" s="26" t="str">
        <f>'11'!B20</f>
        <v>قويســـــــــنا البلد</v>
      </c>
      <c r="C20" s="26">
        <f>'11'!C20</f>
        <v>4115</v>
      </c>
      <c r="D20" s="26"/>
      <c r="E20" s="12"/>
      <c r="F20" s="2">
        <f>E20+'11'!F20</f>
        <v>27</v>
      </c>
      <c r="G20" s="2"/>
      <c r="H20" s="2">
        <f>G20+'11'!H20</f>
        <v>406</v>
      </c>
      <c r="I20" s="2"/>
      <c r="J20" s="2">
        <f>I20+'11'!J20</f>
        <v>1286</v>
      </c>
      <c r="K20" s="2"/>
      <c r="L20" s="2">
        <f>K20+'11'!L20</f>
        <v>0</v>
      </c>
      <c r="M20" s="2"/>
      <c r="N20" s="2">
        <f>M20+'11'!N20</f>
        <v>0</v>
      </c>
      <c r="O20" s="2"/>
      <c r="P20" s="2">
        <f>O20+'11'!P20</f>
        <v>0</v>
      </c>
      <c r="Q20" s="4">
        <f t="shared" si="4"/>
        <v>0</v>
      </c>
      <c r="R20" s="4">
        <f>Q20+'11'!R20</f>
        <v>1719</v>
      </c>
      <c r="S20" s="27">
        <f t="shared" si="5"/>
        <v>0.41773997569866345</v>
      </c>
      <c r="T20" s="12"/>
      <c r="U20" s="12">
        <f>T20+'11'!U20</f>
        <v>405</v>
      </c>
      <c r="V20" s="12"/>
      <c r="W20" s="12">
        <f>V20+'11'!W20</f>
        <v>144</v>
      </c>
      <c r="X20" s="12"/>
      <c r="Y20" s="12">
        <f>X20+'11'!Y20</f>
        <v>0</v>
      </c>
      <c r="AB20" s="5">
        <v>10</v>
      </c>
      <c r="AC20" s="26" t="str">
        <f>'11'!AC20</f>
        <v>قويســـــــــنا البلد</v>
      </c>
      <c r="AD20" s="28">
        <f>'11'!AI20</f>
        <v>185</v>
      </c>
      <c r="AE20" s="3"/>
      <c r="AF20" s="28">
        <f>AE20+'11'!AF20</f>
        <v>360</v>
      </c>
      <c r="AG20" s="4"/>
      <c r="AH20" s="28">
        <f>AG20+'11'!AH20</f>
        <v>175</v>
      </c>
      <c r="AI20" s="4">
        <f t="shared" si="6"/>
        <v>185</v>
      </c>
      <c r="AJ20" s="11" t="e">
        <f t="shared" si="0"/>
        <v>#DIV/0!</v>
      </c>
      <c r="AK20" s="53">
        <f t="shared" si="1"/>
        <v>9.8228571428571421</v>
      </c>
      <c r="AW20" s="26" t="str">
        <f>'11'!AW20</f>
        <v>قويســـــــــنا البلد</v>
      </c>
      <c r="AX20" s="12">
        <f>'11'!AX20</f>
        <v>2</v>
      </c>
      <c r="AY20" s="12">
        <f>'11'!AY20</f>
        <v>1539</v>
      </c>
      <c r="AZ20" s="12"/>
      <c r="BA20" s="12"/>
      <c r="BB20" s="12">
        <f>BA20+'11'!BB20</f>
        <v>1355</v>
      </c>
      <c r="BC20" s="30">
        <f t="shared" si="2"/>
        <v>0.88044184535412606</v>
      </c>
      <c r="BD20" s="12">
        <f>'11'!BD20</f>
        <v>7</v>
      </c>
      <c r="BE20" s="12">
        <f>'11'!BE20</f>
        <v>580</v>
      </c>
      <c r="BF20" s="12"/>
      <c r="BG20" s="12"/>
      <c r="BH20" s="12">
        <f>BG20+'11'!BH20</f>
        <v>204</v>
      </c>
      <c r="BI20" s="30">
        <f t="shared" si="3"/>
        <v>0.35172413793103446</v>
      </c>
    </row>
    <row r="21" spans="1:61" ht="41.5" customHeight="1" x14ac:dyDescent="0.35">
      <c r="A21" s="5">
        <v>11</v>
      </c>
      <c r="B21" s="26" t="str">
        <f>'11'!B21</f>
        <v>بجيرم</v>
      </c>
      <c r="C21" s="26">
        <f>'11'!C21</f>
        <v>1782</v>
      </c>
      <c r="D21" s="26"/>
      <c r="E21" s="12"/>
      <c r="F21" s="2">
        <f>E21+'11'!F21</f>
        <v>8</v>
      </c>
      <c r="G21" s="2"/>
      <c r="H21" s="2">
        <f>G21+'11'!H21</f>
        <v>406</v>
      </c>
      <c r="I21" s="2"/>
      <c r="J21" s="2">
        <f>I21+'11'!J21</f>
        <v>755</v>
      </c>
      <c r="K21" s="2"/>
      <c r="L21" s="2">
        <f>K21+'11'!L21</f>
        <v>0</v>
      </c>
      <c r="M21" s="2"/>
      <c r="N21" s="2">
        <f>M21+'11'!N21</f>
        <v>0</v>
      </c>
      <c r="O21" s="2"/>
      <c r="P21" s="2">
        <f>O21+'11'!P21</f>
        <v>0</v>
      </c>
      <c r="Q21" s="4">
        <f t="shared" si="4"/>
        <v>0</v>
      </c>
      <c r="R21" s="4">
        <f>Q21+'11'!R21</f>
        <v>1169</v>
      </c>
      <c r="S21" s="27">
        <f t="shared" si="5"/>
        <v>0.65600448933782263</v>
      </c>
      <c r="T21" s="12"/>
      <c r="U21" s="12">
        <f>T21+'11'!U21</f>
        <v>126</v>
      </c>
      <c r="V21" s="12"/>
      <c r="W21" s="12">
        <f>V21+'11'!W21</f>
        <v>44</v>
      </c>
      <c r="X21" s="12"/>
      <c r="Y21" s="12">
        <f>X21+'11'!Y21</f>
        <v>0</v>
      </c>
      <c r="AB21" s="5">
        <v>11</v>
      </c>
      <c r="AC21" s="26" t="str">
        <f>'11'!AC21</f>
        <v>بجيرم</v>
      </c>
      <c r="AD21" s="28">
        <f>'11'!AI21</f>
        <v>37</v>
      </c>
      <c r="AE21" s="3"/>
      <c r="AF21" s="28">
        <f>AE21+'11'!AF21</f>
        <v>157</v>
      </c>
      <c r="AG21" s="4"/>
      <c r="AH21" s="28">
        <f>AG21+'11'!AH21</f>
        <v>120</v>
      </c>
      <c r="AI21" s="4">
        <f t="shared" si="6"/>
        <v>37</v>
      </c>
      <c r="AJ21" s="11" t="e">
        <f t="shared" si="0"/>
        <v>#DIV/0!</v>
      </c>
      <c r="AK21" s="53">
        <f t="shared" si="1"/>
        <v>9.7416666666666671</v>
      </c>
      <c r="AW21" s="26" t="str">
        <f>'11'!AW21</f>
        <v>بجيرم</v>
      </c>
      <c r="AX21" s="12">
        <f>'11'!AX21</f>
        <v>4</v>
      </c>
      <c r="AY21" s="12">
        <f>'11'!AY21</f>
        <v>946</v>
      </c>
      <c r="AZ21" s="12"/>
      <c r="BA21" s="12"/>
      <c r="BB21" s="12">
        <f>BA21+'11'!BB21</f>
        <v>823</v>
      </c>
      <c r="BC21" s="30">
        <f t="shared" si="2"/>
        <v>0.86997885835095135</v>
      </c>
      <c r="BD21" s="12">
        <f>'11'!BD21</f>
        <v>4</v>
      </c>
      <c r="BE21" s="12">
        <f>'11'!BE21</f>
        <v>99</v>
      </c>
      <c r="BF21" s="12"/>
      <c r="BG21" s="12"/>
      <c r="BH21" s="12">
        <f>BG21+'11'!BH21</f>
        <v>99</v>
      </c>
      <c r="BI21" s="30">
        <f t="shared" si="3"/>
        <v>1</v>
      </c>
    </row>
    <row r="22" spans="1:61" ht="30" customHeight="1" x14ac:dyDescent="0.35">
      <c r="A22" s="5">
        <v>12</v>
      </c>
      <c r="B22" s="26" t="str">
        <f>'11'!B22</f>
        <v>كفر بنى غريـــان</v>
      </c>
      <c r="C22" s="26">
        <f>'11'!C22</f>
        <v>2184</v>
      </c>
      <c r="D22" s="26"/>
      <c r="E22" s="12"/>
      <c r="F22" s="2">
        <f>E22+'11'!F22</f>
        <v>12</v>
      </c>
      <c r="G22" s="2"/>
      <c r="H22" s="2">
        <f>G22+'11'!H22</f>
        <v>471</v>
      </c>
      <c r="I22" s="2"/>
      <c r="J22" s="2">
        <f>I22+'11'!J22</f>
        <v>971</v>
      </c>
      <c r="K22" s="2"/>
      <c r="L22" s="2">
        <f>K22+'11'!L22</f>
        <v>0</v>
      </c>
      <c r="M22" s="2"/>
      <c r="N22" s="2">
        <f>M22+'11'!N22</f>
        <v>0</v>
      </c>
      <c r="O22" s="2"/>
      <c r="P22" s="2">
        <f>O22+'11'!P22</f>
        <v>0</v>
      </c>
      <c r="Q22" s="4">
        <f t="shared" si="4"/>
        <v>0</v>
      </c>
      <c r="R22" s="4">
        <f>Q22+'11'!R22</f>
        <v>1454</v>
      </c>
      <c r="S22" s="27">
        <f t="shared" si="5"/>
        <v>0.66575091575091572</v>
      </c>
      <c r="T22" s="12"/>
      <c r="U22" s="12">
        <f>T22+'11'!U22</f>
        <v>174</v>
      </c>
      <c r="V22" s="12"/>
      <c r="W22" s="12">
        <f>V22+'11'!W22</f>
        <v>7</v>
      </c>
      <c r="X22" s="12"/>
      <c r="Y22" s="12">
        <f>X22+'11'!Y22</f>
        <v>0</v>
      </c>
      <c r="AB22" s="5">
        <v>12</v>
      </c>
      <c r="AC22" s="26" t="str">
        <f>'11'!AC22</f>
        <v>كفر بنى غريـــان</v>
      </c>
      <c r="AD22" s="28">
        <f>'11'!AI22</f>
        <v>42</v>
      </c>
      <c r="AE22" s="3"/>
      <c r="AF22" s="28">
        <f>AE22+'11'!AF22</f>
        <v>192</v>
      </c>
      <c r="AG22" s="4"/>
      <c r="AH22" s="28">
        <f>AG22+'11'!AH22</f>
        <v>150</v>
      </c>
      <c r="AI22" s="4">
        <f t="shared" si="6"/>
        <v>42</v>
      </c>
      <c r="AJ22" s="11" t="e">
        <f t="shared" si="0"/>
        <v>#DIV/0!</v>
      </c>
      <c r="AK22" s="53">
        <f t="shared" si="1"/>
        <v>9.6933333333333334</v>
      </c>
      <c r="AW22" s="26" t="str">
        <f>'11'!AW22</f>
        <v>كفر بنى غريـــان</v>
      </c>
      <c r="AX22" s="12">
        <f>'11'!AX22</f>
        <v>3</v>
      </c>
      <c r="AY22" s="12">
        <f>'11'!AY22</f>
        <v>1327</v>
      </c>
      <c r="AZ22" s="12"/>
      <c r="BA22" s="12"/>
      <c r="BB22" s="12">
        <f>BA22+'11'!BB22</f>
        <v>994</v>
      </c>
      <c r="BC22" s="30">
        <f t="shared" si="2"/>
        <v>0.74905802562170309</v>
      </c>
      <c r="BD22" s="12">
        <f>'11'!BD22</f>
        <v>9</v>
      </c>
      <c r="BE22" s="12">
        <f>'11'!BE22</f>
        <v>381</v>
      </c>
      <c r="BF22" s="12"/>
      <c r="BG22" s="12"/>
      <c r="BH22" s="12">
        <f>BG22+'11'!BH22</f>
        <v>387</v>
      </c>
      <c r="BI22" s="30">
        <f t="shared" si="3"/>
        <v>1.015748031496063</v>
      </c>
    </row>
    <row r="23" spans="1:61" ht="30" customHeight="1" x14ac:dyDescent="0.35">
      <c r="A23" s="5">
        <v>13</v>
      </c>
      <c r="B23" s="26" t="str">
        <f>'11'!B23</f>
        <v>بــقســـــــــــــــــا</v>
      </c>
      <c r="C23" s="26">
        <f>'11'!C23</f>
        <v>862</v>
      </c>
      <c r="D23" s="26"/>
      <c r="E23" s="12"/>
      <c r="F23" s="2">
        <f>E23+'11'!F23</f>
        <v>8</v>
      </c>
      <c r="G23" s="2"/>
      <c r="H23" s="2">
        <f>G23+'11'!H23</f>
        <v>160</v>
      </c>
      <c r="I23" s="2"/>
      <c r="J23" s="2">
        <f>I23+'11'!J23</f>
        <v>359</v>
      </c>
      <c r="K23" s="2"/>
      <c r="L23" s="2">
        <f>K23+'11'!L23</f>
        <v>0</v>
      </c>
      <c r="M23" s="2"/>
      <c r="N23" s="2">
        <f>M23+'11'!N23</f>
        <v>0</v>
      </c>
      <c r="O23" s="2"/>
      <c r="P23" s="2">
        <f>O23+'11'!P23</f>
        <v>0</v>
      </c>
      <c r="Q23" s="4">
        <f t="shared" si="4"/>
        <v>0</v>
      </c>
      <c r="R23" s="4">
        <f>Q23+'11'!R23</f>
        <v>527</v>
      </c>
      <c r="S23" s="27">
        <f t="shared" si="5"/>
        <v>0.61136890951276102</v>
      </c>
      <c r="T23" s="12"/>
      <c r="U23" s="12">
        <f>T23+'11'!U23</f>
        <v>36</v>
      </c>
      <c r="V23" s="12"/>
      <c r="W23" s="12">
        <f>V23+'11'!W23</f>
        <v>14</v>
      </c>
      <c r="X23" s="12"/>
      <c r="Y23" s="12">
        <f>X23+'11'!Y23</f>
        <v>0</v>
      </c>
      <c r="AB23" s="5">
        <v>13</v>
      </c>
      <c r="AC23" s="26" t="str">
        <f>'11'!AC23</f>
        <v>بــقســـــــــــــــــا</v>
      </c>
      <c r="AD23" s="28">
        <f>'11'!AI23</f>
        <v>22</v>
      </c>
      <c r="AE23" s="3"/>
      <c r="AF23" s="28">
        <f>AE23+'11'!AF23</f>
        <v>75</v>
      </c>
      <c r="AG23" s="4"/>
      <c r="AH23" s="28">
        <f>AG23+'11'!AH23</f>
        <v>53</v>
      </c>
      <c r="AI23" s="4">
        <f t="shared" si="6"/>
        <v>22</v>
      </c>
      <c r="AJ23" s="11" t="e">
        <f t="shared" si="0"/>
        <v>#DIV/0!</v>
      </c>
      <c r="AK23" s="53">
        <f t="shared" si="1"/>
        <v>9.9433962264150946</v>
      </c>
      <c r="AW23" s="26" t="str">
        <f>'11'!AW23</f>
        <v>بــقســـــــــــــــــا</v>
      </c>
      <c r="AX23" s="12">
        <f>'11'!AX23</f>
        <v>1</v>
      </c>
      <c r="AY23" s="12">
        <f>'11'!AY23</f>
        <v>311</v>
      </c>
      <c r="AZ23" s="12"/>
      <c r="BA23" s="12"/>
      <c r="BB23" s="12">
        <f>BA23+'11'!BB23</f>
        <v>297</v>
      </c>
      <c r="BC23" s="30">
        <f t="shared" si="2"/>
        <v>0.954983922829582</v>
      </c>
      <c r="BD23" s="12">
        <f>'11'!BD23</f>
        <v>1</v>
      </c>
      <c r="BE23" s="12">
        <f>'11'!BE23</f>
        <v>40</v>
      </c>
      <c r="BF23" s="12"/>
      <c r="BG23" s="12"/>
      <c r="BH23" s="12">
        <f>BG23+'11'!BH23</f>
        <v>30</v>
      </c>
      <c r="BI23" s="30">
        <f t="shared" si="3"/>
        <v>0.75</v>
      </c>
    </row>
    <row r="24" spans="1:61" ht="37.15" customHeight="1" x14ac:dyDescent="0.35">
      <c r="A24" s="5">
        <v>14</v>
      </c>
      <c r="B24" s="26" t="str">
        <f>'11'!B24</f>
        <v>كفــــــــر الأكرم</v>
      </c>
      <c r="C24" s="26">
        <f>'11'!C24</f>
        <v>918</v>
      </c>
      <c r="D24" s="26"/>
      <c r="E24" s="12"/>
      <c r="F24" s="2">
        <f>E24+'11'!F24</f>
        <v>3</v>
      </c>
      <c r="G24" s="2"/>
      <c r="H24" s="2">
        <f>G24+'11'!H24</f>
        <v>233</v>
      </c>
      <c r="I24" s="2"/>
      <c r="J24" s="2">
        <f>I24+'11'!J24</f>
        <v>392</v>
      </c>
      <c r="K24" s="2"/>
      <c r="L24" s="2">
        <f>K24+'11'!L24</f>
        <v>0</v>
      </c>
      <c r="M24" s="2"/>
      <c r="N24" s="2">
        <f>M24+'11'!N24</f>
        <v>0</v>
      </c>
      <c r="O24" s="2"/>
      <c r="P24" s="2">
        <f>O24+'11'!P24</f>
        <v>0</v>
      </c>
      <c r="Q24" s="4">
        <f t="shared" si="4"/>
        <v>0</v>
      </c>
      <c r="R24" s="4">
        <f>Q24+'11'!R24</f>
        <v>628</v>
      </c>
      <c r="S24" s="27">
        <f t="shared" si="5"/>
        <v>0.68409586056644878</v>
      </c>
      <c r="T24" s="12"/>
      <c r="U24" s="12">
        <f>T24+'11'!U24</f>
        <v>87</v>
      </c>
      <c r="V24" s="12"/>
      <c r="W24" s="12">
        <f>V24+'11'!W24</f>
        <v>9</v>
      </c>
      <c r="X24" s="12"/>
      <c r="Y24" s="12">
        <f>X24+'11'!Y24</f>
        <v>0</v>
      </c>
      <c r="AB24" s="5">
        <v>14</v>
      </c>
      <c r="AC24" s="26" t="str">
        <f>'11'!AC24</f>
        <v>كفــــــــر الأكرم</v>
      </c>
      <c r="AD24" s="28">
        <f>'11'!AI24</f>
        <v>15</v>
      </c>
      <c r="AE24" s="3"/>
      <c r="AF24" s="28">
        <f>AE24+'11'!AF24</f>
        <v>80</v>
      </c>
      <c r="AG24" s="4"/>
      <c r="AH24" s="28">
        <f>AG24+'11'!AH24</f>
        <v>65</v>
      </c>
      <c r="AI24" s="4">
        <f t="shared" si="6"/>
        <v>15</v>
      </c>
      <c r="AJ24" s="11" t="e">
        <f t="shared" si="0"/>
        <v>#DIV/0!</v>
      </c>
      <c r="AK24" s="53">
        <f t="shared" si="1"/>
        <v>9.661538461538461</v>
      </c>
      <c r="AW24" s="26" t="str">
        <f>'11'!AW24</f>
        <v>كفــــــــر الأكرم</v>
      </c>
      <c r="AX24" s="12">
        <f>'11'!AX24</f>
        <v>2</v>
      </c>
      <c r="AY24" s="12">
        <f>'11'!AY24</f>
        <v>540</v>
      </c>
      <c r="AZ24" s="12"/>
      <c r="BA24" s="12"/>
      <c r="BB24" s="12">
        <f>BA24+'11'!BB24</f>
        <v>380</v>
      </c>
      <c r="BC24" s="30">
        <f t="shared" si="2"/>
        <v>0.70370370370370372</v>
      </c>
      <c r="BD24" s="12">
        <f>'11'!BD24</f>
        <v>2</v>
      </c>
      <c r="BE24" s="12">
        <f>'11'!BE24</f>
        <v>115</v>
      </c>
      <c r="BF24" s="12"/>
      <c r="BG24" s="12"/>
      <c r="BH24" s="12">
        <f>BG24+'11'!BH24</f>
        <v>160</v>
      </c>
      <c r="BI24" s="30">
        <f t="shared" si="3"/>
        <v>1.3913043478260869</v>
      </c>
    </row>
    <row r="25" spans="1:61" ht="28.9" customHeight="1" x14ac:dyDescent="0.35">
      <c r="A25" s="5">
        <v>15</v>
      </c>
      <c r="B25" s="26" t="str">
        <f>'11'!B25</f>
        <v>كفـــــــــر إبنهس</v>
      </c>
      <c r="C25" s="26">
        <f>'11'!C25</f>
        <v>2072</v>
      </c>
      <c r="D25" s="26"/>
      <c r="E25" s="12"/>
      <c r="F25" s="2">
        <f>E25+'11'!F25</f>
        <v>6</v>
      </c>
      <c r="G25" s="2"/>
      <c r="H25" s="2">
        <f>G25+'11'!H25</f>
        <v>345</v>
      </c>
      <c r="I25" s="2"/>
      <c r="J25" s="2">
        <f>I25+'11'!J25</f>
        <v>974</v>
      </c>
      <c r="K25" s="2"/>
      <c r="L25" s="2">
        <f>K25+'11'!L25</f>
        <v>0</v>
      </c>
      <c r="M25" s="2"/>
      <c r="N25" s="2">
        <f>M25+'11'!N25</f>
        <v>0</v>
      </c>
      <c r="O25" s="2"/>
      <c r="P25" s="2">
        <f>O25+'11'!P25</f>
        <v>0</v>
      </c>
      <c r="Q25" s="4">
        <f t="shared" si="4"/>
        <v>0</v>
      </c>
      <c r="R25" s="4">
        <f>Q25+'11'!R25</f>
        <v>1325</v>
      </c>
      <c r="S25" s="27">
        <f t="shared" si="5"/>
        <v>0.63947876447876451</v>
      </c>
      <c r="T25" s="12"/>
      <c r="U25" s="12">
        <f>T25+'11'!U25</f>
        <v>173</v>
      </c>
      <c r="V25" s="12"/>
      <c r="W25" s="12">
        <f>V25+'11'!W25</f>
        <v>50</v>
      </c>
      <c r="X25" s="12"/>
      <c r="Y25" s="12">
        <f>X25+'11'!Y25</f>
        <v>0</v>
      </c>
      <c r="AB25" s="5">
        <v>15</v>
      </c>
      <c r="AC25" s="26" t="str">
        <f>'11'!AC25</f>
        <v>كفـــــــــر إبنهس</v>
      </c>
      <c r="AD25" s="28">
        <f>'11'!AI25</f>
        <v>31</v>
      </c>
      <c r="AE25" s="3"/>
      <c r="AF25" s="28">
        <f>AE25+'11'!AF25</f>
        <v>180</v>
      </c>
      <c r="AG25" s="4"/>
      <c r="AH25" s="28">
        <f>AG25+'11'!AH25</f>
        <v>149</v>
      </c>
      <c r="AI25" s="4">
        <f t="shared" si="6"/>
        <v>31</v>
      </c>
      <c r="AJ25" s="11" t="e">
        <f t="shared" si="0"/>
        <v>#DIV/0!</v>
      </c>
      <c r="AK25" s="53">
        <f t="shared" si="1"/>
        <v>8.8926174496644297</v>
      </c>
      <c r="AW25" s="26" t="str">
        <f>'11'!AW25</f>
        <v>كفـــــــــر إبنهس</v>
      </c>
      <c r="AX25" s="12">
        <f>'11'!AX25</f>
        <v>3</v>
      </c>
      <c r="AY25" s="12">
        <f>'11'!AY25</f>
        <v>1013</v>
      </c>
      <c r="AZ25" s="12"/>
      <c r="BA25" s="12"/>
      <c r="BB25" s="12">
        <f>BA25+'11'!BB25</f>
        <v>838</v>
      </c>
      <c r="BC25" s="30">
        <f t="shared" si="2"/>
        <v>0.82724580454096741</v>
      </c>
      <c r="BD25" s="12">
        <f>'11'!BD25</f>
        <v>4</v>
      </c>
      <c r="BE25" s="12">
        <f>'11'!BE25</f>
        <v>620</v>
      </c>
      <c r="BF25" s="12"/>
      <c r="BG25" s="12"/>
      <c r="BH25" s="12">
        <f>BG25+'11'!BH25</f>
        <v>507</v>
      </c>
      <c r="BI25" s="30">
        <f t="shared" si="3"/>
        <v>0.81774193548387097</v>
      </c>
    </row>
    <row r="26" spans="1:61" ht="28.9" customHeight="1" x14ac:dyDescent="0.35">
      <c r="A26" s="5">
        <v>16</v>
      </c>
      <c r="B26" s="26" t="str">
        <f>'11'!B26</f>
        <v>الرمــــــــــــــالى</v>
      </c>
      <c r="C26" s="26">
        <f>'11'!C26</f>
        <v>2699</v>
      </c>
      <c r="D26" s="26"/>
      <c r="E26" s="12"/>
      <c r="F26" s="2">
        <f>E26+'11'!F26</f>
        <v>27</v>
      </c>
      <c r="G26" s="2"/>
      <c r="H26" s="2">
        <f>G26+'11'!H26</f>
        <v>312</v>
      </c>
      <c r="I26" s="2"/>
      <c r="J26" s="2">
        <f>I26+'11'!J26</f>
        <v>993</v>
      </c>
      <c r="K26" s="2"/>
      <c r="L26" s="2">
        <f>K26+'11'!L26</f>
        <v>0</v>
      </c>
      <c r="M26" s="2"/>
      <c r="N26" s="2">
        <f>M26+'11'!N26</f>
        <v>0</v>
      </c>
      <c r="O26" s="2"/>
      <c r="P26" s="2">
        <f>O26+'11'!P26</f>
        <v>0</v>
      </c>
      <c r="Q26" s="4">
        <f t="shared" si="4"/>
        <v>0</v>
      </c>
      <c r="R26" s="4">
        <f>Q26+'11'!R26</f>
        <v>1332</v>
      </c>
      <c r="S26" s="27">
        <f t="shared" si="5"/>
        <v>0.49351611708040016</v>
      </c>
      <c r="T26" s="12"/>
      <c r="U26" s="12">
        <f>T26+'11'!U26</f>
        <v>114</v>
      </c>
      <c r="V26" s="12"/>
      <c r="W26" s="12">
        <f>V26+'11'!W26</f>
        <v>108</v>
      </c>
      <c r="X26" s="12"/>
      <c r="Y26" s="12">
        <f>X26+'11'!Y26</f>
        <v>1</v>
      </c>
      <c r="Z26" s="38"/>
      <c r="AB26" s="5">
        <v>16</v>
      </c>
      <c r="AC26" s="26" t="str">
        <f>'11'!AC26</f>
        <v>الرمــــــــــــــالى</v>
      </c>
      <c r="AD26" s="28">
        <f>'11'!AI26</f>
        <v>96</v>
      </c>
      <c r="AE26" s="3"/>
      <c r="AF26" s="28">
        <f>AE26+'11'!AF26</f>
        <v>235</v>
      </c>
      <c r="AG26" s="4"/>
      <c r="AH26" s="28">
        <f>AG26+'11'!AH26</f>
        <v>139</v>
      </c>
      <c r="AI26" s="4">
        <f t="shared" si="6"/>
        <v>96</v>
      </c>
      <c r="AJ26" s="11" t="e">
        <f t="shared" si="0"/>
        <v>#DIV/0!</v>
      </c>
      <c r="AK26" s="53">
        <f t="shared" si="1"/>
        <v>9.5827338129496411</v>
      </c>
      <c r="AV26" s="38"/>
      <c r="AW26" s="26" t="str">
        <f>'11'!AW26</f>
        <v>الرمــــــــــــــالى</v>
      </c>
      <c r="AX26" s="12">
        <f>'11'!AX26</f>
        <v>3</v>
      </c>
      <c r="AY26" s="12">
        <f>'11'!AY26</f>
        <v>1486</v>
      </c>
      <c r="AZ26" s="12"/>
      <c r="BA26" s="12"/>
      <c r="BB26" s="12">
        <f>BA26+'11'!BB26</f>
        <v>1149</v>
      </c>
      <c r="BC26" s="30">
        <f t="shared" si="2"/>
        <v>0.77321668909825036</v>
      </c>
      <c r="BD26" s="12">
        <f>'11'!BD26</f>
        <v>3</v>
      </c>
      <c r="BE26" s="12">
        <f>'11'!BE26</f>
        <v>98</v>
      </c>
      <c r="BF26" s="12"/>
      <c r="BG26" s="12"/>
      <c r="BH26" s="12">
        <f>BG26+'11'!BH26</f>
        <v>0</v>
      </c>
      <c r="BI26" s="30">
        <f t="shared" si="3"/>
        <v>0</v>
      </c>
    </row>
    <row r="27" spans="1:61" ht="28.9" customHeight="1" x14ac:dyDescent="0.35">
      <c r="A27" s="5">
        <v>17</v>
      </c>
      <c r="B27" s="26" t="str">
        <f>'11'!B27</f>
        <v>مصطــــــــــــاى</v>
      </c>
      <c r="C27" s="26">
        <f>'11'!C27</f>
        <v>2666</v>
      </c>
      <c r="D27" s="26"/>
      <c r="E27" s="12"/>
      <c r="F27" s="2">
        <f>E27+'11'!F27</f>
        <v>54</v>
      </c>
      <c r="G27" s="2"/>
      <c r="H27" s="2">
        <f>G27+'11'!H27</f>
        <v>364</v>
      </c>
      <c r="I27" s="2"/>
      <c r="J27" s="2">
        <f>I27+'11'!J27</f>
        <v>1154</v>
      </c>
      <c r="K27" s="2"/>
      <c r="L27" s="2">
        <f>K27+'11'!L27</f>
        <v>0</v>
      </c>
      <c r="M27" s="2"/>
      <c r="N27" s="2">
        <f>M27+'11'!N27</f>
        <v>0</v>
      </c>
      <c r="O27" s="2"/>
      <c r="P27" s="2">
        <f>O27+'11'!P27</f>
        <v>0</v>
      </c>
      <c r="Q27" s="4">
        <f t="shared" si="4"/>
        <v>0</v>
      </c>
      <c r="R27" s="4">
        <f>Q27+'11'!R27</f>
        <v>1572</v>
      </c>
      <c r="S27" s="27">
        <f t="shared" si="5"/>
        <v>0.58964741185296321</v>
      </c>
      <c r="T27" s="12"/>
      <c r="U27" s="12">
        <f>T27+'11'!U27</f>
        <v>45</v>
      </c>
      <c r="V27" s="12"/>
      <c r="W27" s="12">
        <f>V27+'11'!W27</f>
        <v>15</v>
      </c>
      <c r="X27" s="12"/>
      <c r="Y27" s="12">
        <f>X27+'11'!Y27</f>
        <v>0</v>
      </c>
      <c r="AB27" s="5">
        <v>17</v>
      </c>
      <c r="AC27" s="26" t="str">
        <f>'11'!AC27</f>
        <v>مصطــــــــــــاى</v>
      </c>
      <c r="AD27" s="28">
        <f>'11'!AI27</f>
        <v>74</v>
      </c>
      <c r="AE27" s="3"/>
      <c r="AF27" s="28">
        <f>AE27+'11'!AF27</f>
        <v>234</v>
      </c>
      <c r="AG27" s="4"/>
      <c r="AH27" s="28">
        <f>AG27+'11'!AH27</f>
        <v>160</v>
      </c>
      <c r="AI27" s="4">
        <f t="shared" si="6"/>
        <v>74</v>
      </c>
      <c r="AJ27" s="11" t="e">
        <f t="shared" si="0"/>
        <v>#DIV/0!</v>
      </c>
      <c r="AK27" s="53">
        <f t="shared" si="1"/>
        <v>9.8249999999999993</v>
      </c>
      <c r="AW27" s="26" t="str">
        <f>'11'!AW27</f>
        <v>مصطــــــــــــاى</v>
      </c>
      <c r="AX27" s="12">
        <f>'11'!AX27</f>
        <v>3</v>
      </c>
      <c r="AY27" s="12">
        <f>'11'!AY27</f>
        <v>1709</v>
      </c>
      <c r="AZ27" s="12"/>
      <c r="BA27" s="12"/>
      <c r="BB27" s="12">
        <f>BA27+'11'!BB27</f>
        <v>1252</v>
      </c>
      <c r="BC27" s="30">
        <f t="shared" si="2"/>
        <v>0.73259215915740195</v>
      </c>
      <c r="BD27" s="12">
        <f>'11'!BD27</f>
        <v>6</v>
      </c>
      <c r="BE27" s="12">
        <f>'11'!BE27</f>
        <v>696</v>
      </c>
      <c r="BF27" s="12"/>
      <c r="BG27" s="12"/>
      <c r="BH27" s="12">
        <f>BG27+'11'!BH27</f>
        <v>120</v>
      </c>
      <c r="BI27" s="30">
        <f t="shared" si="3"/>
        <v>0.17241379310344829</v>
      </c>
    </row>
    <row r="28" spans="1:61" ht="28.9" customHeight="1" x14ac:dyDescent="0.35">
      <c r="A28" s="5">
        <v>18</v>
      </c>
      <c r="B28" s="26" t="str">
        <f>'11'!B28</f>
        <v>كفر طـــــــه شبرا</v>
      </c>
      <c r="C28" s="26">
        <f>'11'!C28</f>
        <v>1795</v>
      </c>
      <c r="D28" s="26"/>
      <c r="E28" s="12"/>
      <c r="F28" s="2">
        <f>E28+'11'!F28</f>
        <v>8</v>
      </c>
      <c r="G28" s="2"/>
      <c r="H28" s="2">
        <f>G28+'11'!H28</f>
        <v>294</v>
      </c>
      <c r="I28" s="2"/>
      <c r="J28" s="2">
        <f>I28+'11'!J28</f>
        <v>940</v>
      </c>
      <c r="K28" s="2"/>
      <c r="L28" s="2">
        <f>K28+'11'!L28</f>
        <v>0</v>
      </c>
      <c r="M28" s="2"/>
      <c r="N28" s="2">
        <f>M28+'11'!N28</f>
        <v>0</v>
      </c>
      <c r="O28" s="2"/>
      <c r="P28" s="2">
        <f>O28+'11'!P28</f>
        <v>0</v>
      </c>
      <c r="Q28" s="4">
        <f t="shared" si="4"/>
        <v>0</v>
      </c>
      <c r="R28" s="4">
        <f>Q28+'11'!R28</f>
        <v>1242</v>
      </c>
      <c r="S28" s="27">
        <f t="shared" si="5"/>
        <v>0.69192200557103067</v>
      </c>
      <c r="T28" s="12"/>
      <c r="U28" s="12">
        <f>T28+'11'!U28</f>
        <v>136</v>
      </c>
      <c r="V28" s="12"/>
      <c r="W28" s="12">
        <f>V28+'11'!W28</f>
        <v>33</v>
      </c>
      <c r="X28" s="12"/>
      <c r="Y28" s="12">
        <f>X28+'11'!Y28</f>
        <v>0</v>
      </c>
      <c r="AB28" s="5">
        <v>18</v>
      </c>
      <c r="AC28" s="26" t="str">
        <f>'11'!AC28</f>
        <v>كفر طـــــــه شبرا</v>
      </c>
      <c r="AD28" s="28">
        <f>'11'!AI28</f>
        <v>28</v>
      </c>
      <c r="AE28" s="3"/>
      <c r="AF28" s="28">
        <f>AE28+'11'!AF28</f>
        <v>158</v>
      </c>
      <c r="AG28" s="4"/>
      <c r="AH28" s="28">
        <f>AG28+'11'!AH28</f>
        <v>130</v>
      </c>
      <c r="AI28" s="4">
        <f t="shared" si="6"/>
        <v>28</v>
      </c>
      <c r="AJ28" s="11" t="e">
        <f t="shared" si="0"/>
        <v>#DIV/0!</v>
      </c>
      <c r="AK28" s="53">
        <f t="shared" si="1"/>
        <v>9.5538461538461537</v>
      </c>
      <c r="AW28" s="26" t="str">
        <f>'11'!AW28</f>
        <v>كفر طـــــــه شبرا</v>
      </c>
      <c r="AX28" s="12">
        <f>'11'!AX28</f>
        <v>4</v>
      </c>
      <c r="AY28" s="12">
        <f>'11'!AY28</f>
        <v>948</v>
      </c>
      <c r="AZ28" s="12"/>
      <c r="BA28" s="12"/>
      <c r="BB28" s="12">
        <f>BA28+'11'!BB28</f>
        <v>827</v>
      </c>
      <c r="BC28" s="30">
        <f t="shared" si="2"/>
        <v>0.87236286919831219</v>
      </c>
      <c r="BD28" s="12">
        <f>'11'!BD28</f>
        <v>7</v>
      </c>
      <c r="BE28" s="12">
        <f>'11'!BE28</f>
        <v>300</v>
      </c>
      <c r="BF28" s="12"/>
      <c r="BG28" s="12"/>
      <c r="BH28" s="12">
        <f>BG28+'11'!BH28</f>
        <v>403</v>
      </c>
      <c r="BI28" s="30">
        <f t="shared" si="3"/>
        <v>1.3433333333333333</v>
      </c>
    </row>
    <row r="29" spans="1:61" ht="28.9" customHeight="1" x14ac:dyDescent="0.35">
      <c r="A29" s="5">
        <v>19</v>
      </c>
      <c r="B29" s="26" t="str">
        <f>'11'!B29</f>
        <v>كفر أبـــو الحسن</v>
      </c>
      <c r="C29" s="26">
        <f>'11'!C29</f>
        <v>1397</v>
      </c>
      <c r="D29" s="26"/>
      <c r="E29" s="12"/>
      <c r="F29" s="2">
        <f>E29+'11'!F29</f>
        <v>4</v>
      </c>
      <c r="G29" s="2"/>
      <c r="H29" s="2">
        <f>G29+'11'!H29</f>
        <v>238</v>
      </c>
      <c r="I29" s="2"/>
      <c r="J29" s="2">
        <f>I29+'11'!J29</f>
        <v>841</v>
      </c>
      <c r="K29" s="2"/>
      <c r="L29" s="2">
        <f>K29+'11'!L29</f>
        <v>0</v>
      </c>
      <c r="M29" s="2"/>
      <c r="N29" s="2">
        <f>M29+'11'!N29</f>
        <v>0</v>
      </c>
      <c r="O29" s="2"/>
      <c r="P29" s="2">
        <f>O29+'11'!P29</f>
        <v>0</v>
      </c>
      <c r="Q29" s="4">
        <f t="shared" si="4"/>
        <v>0</v>
      </c>
      <c r="R29" s="4">
        <f>Q29+'11'!R29</f>
        <v>1083</v>
      </c>
      <c r="S29" s="27">
        <f t="shared" si="5"/>
        <v>0.77523264137437364</v>
      </c>
      <c r="T29" s="12"/>
      <c r="U29" s="12">
        <f>T29+'11'!U29</f>
        <v>205</v>
      </c>
      <c r="V29" s="12"/>
      <c r="W29" s="12">
        <f>V29+'11'!W29</f>
        <v>18</v>
      </c>
      <c r="X29" s="12"/>
      <c r="Y29" s="12">
        <f>X29+'11'!Y29</f>
        <v>0</v>
      </c>
      <c r="AB29" s="5">
        <v>19</v>
      </c>
      <c r="AC29" s="26" t="str">
        <f>'11'!AC29</f>
        <v>كفر أبـــو الحسن</v>
      </c>
      <c r="AD29" s="28">
        <f>'11'!AI29</f>
        <v>22</v>
      </c>
      <c r="AE29" s="3"/>
      <c r="AF29" s="28">
        <f>AE29+'11'!AF29</f>
        <v>133</v>
      </c>
      <c r="AG29" s="4"/>
      <c r="AH29" s="28">
        <f>AG29+'11'!AH29</f>
        <v>111</v>
      </c>
      <c r="AI29" s="4">
        <f t="shared" si="6"/>
        <v>22</v>
      </c>
      <c r="AJ29" s="11" t="e">
        <f t="shared" si="0"/>
        <v>#DIV/0!</v>
      </c>
      <c r="AK29" s="53">
        <f t="shared" si="1"/>
        <v>9.7567567567567561</v>
      </c>
      <c r="AW29" s="26" t="str">
        <f>'11'!AW29</f>
        <v>كفر أبـــو الحسن</v>
      </c>
      <c r="AX29" s="12">
        <f>'11'!AX29</f>
        <v>3</v>
      </c>
      <c r="AY29" s="12">
        <f>'11'!AY29</f>
        <v>912</v>
      </c>
      <c r="AZ29" s="12"/>
      <c r="BA29" s="12"/>
      <c r="BB29" s="12">
        <f>BA29+'11'!BB29</f>
        <v>760</v>
      </c>
      <c r="BC29" s="30">
        <f t="shared" si="2"/>
        <v>0.83333333333333337</v>
      </c>
      <c r="BD29" s="12">
        <f>'11'!BD29</f>
        <v>9</v>
      </c>
      <c r="BE29" s="12">
        <f>'11'!BE29</f>
        <v>258</v>
      </c>
      <c r="BF29" s="12"/>
      <c r="BG29" s="12"/>
      <c r="BH29" s="12">
        <f>BG29+'11'!BH29</f>
        <v>351</v>
      </c>
      <c r="BI29" s="30">
        <f t="shared" si="3"/>
        <v>1.3604651162790697</v>
      </c>
    </row>
    <row r="30" spans="1:61" ht="28.9" customHeight="1" x14ac:dyDescent="0.35">
      <c r="A30" s="5">
        <v>20</v>
      </c>
      <c r="B30" s="26" t="str">
        <f>'11'!B30</f>
        <v>ميت أبـــــوشيخه</v>
      </c>
      <c r="C30" s="26">
        <f>'11'!C30</f>
        <v>1134</v>
      </c>
      <c r="D30" s="26"/>
      <c r="E30" s="12"/>
      <c r="F30" s="2">
        <f>E30+'11'!F30</f>
        <v>10</v>
      </c>
      <c r="G30" s="2"/>
      <c r="H30" s="2">
        <f>G30+'11'!H30</f>
        <v>144</v>
      </c>
      <c r="I30" s="2"/>
      <c r="J30" s="2">
        <f>I30+'11'!J30</f>
        <v>435</v>
      </c>
      <c r="K30" s="2"/>
      <c r="L30" s="2">
        <f>K30+'11'!L30</f>
        <v>0</v>
      </c>
      <c r="M30" s="2"/>
      <c r="N30" s="2">
        <f>M30+'11'!N30</f>
        <v>0</v>
      </c>
      <c r="O30" s="2"/>
      <c r="P30" s="2">
        <f>O30+'11'!P30</f>
        <v>0</v>
      </c>
      <c r="Q30" s="4">
        <f t="shared" si="4"/>
        <v>0</v>
      </c>
      <c r="R30" s="4">
        <f>Q30+'11'!R30</f>
        <v>589</v>
      </c>
      <c r="S30" s="27">
        <f t="shared" si="5"/>
        <v>0.51940035273368612</v>
      </c>
      <c r="T30" s="12"/>
      <c r="U30" s="12">
        <f>T30+'11'!U30</f>
        <v>68</v>
      </c>
      <c r="V30" s="12"/>
      <c r="W30" s="12">
        <f>V30+'11'!W30</f>
        <v>10</v>
      </c>
      <c r="X30" s="12"/>
      <c r="Y30" s="12">
        <f>X30+'11'!Y30</f>
        <v>0</v>
      </c>
      <c r="AB30" s="5">
        <v>20</v>
      </c>
      <c r="AC30" s="26" t="str">
        <f>'11'!AC30</f>
        <v>ميت أبـــــوشيخه</v>
      </c>
      <c r="AD30" s="28">
        <f>'11'!AI30</f>
        <v>40</v>
      </c>
      <c r="AE30" s="3"/>
      <c r="AF30" s="28">
        <f>AE30+'11'!AF30</f>
        <v>100</v>
      </c>
      <c r="AG30" s="4"/>
      <c r="AH30" s="28">
        <f>AG30+'11'!AH30</f>
        <v>60</v>
      </c>
      <c r="AI30" s="4">
        <f t="shared" si="6"/>
        <v>40</v>
      </c>
      <c r="AJ30" s="11" t="e">
        <f t="shared" si="0"/>
        <v>#DIV/0!</v>
      </c>
      <c r="AK30" s="53">
        <f t="shared" si="1"/>
        <v>9.8166666666666664</v>
      </c>
      <c r="AW30" s="26" t="str">
        <f>'11'!AW30</f>
        <v>ميت أبـــــوشيخه</v>
      </c>
      <c r="AX30" s="12">
        <f>'11'!AX30</f>
        <v>2</v>
      </c>
      <c r="AY30" s="12">
        <f>'11'!AY30</f>
        <v>560</v>
      </c>
      <c r="AZ30" s="12"/>
      <c r="BA30" s="12"/>
      <c r="BB30" s="12">
        <f>BA30+'11'!BB30</f>
        <v>459</v>
      </c>
      <c r="BC30" s="30">
        <f t="shared" si="2"/>
        <v>0.81964285714285712</v>
      </c>
      <c r="BD30" s="12">
        <f>'11'!BD30</f>
        <v>2</v>
      </c>
      <c r="BE30" s="12">
        <f>'11'!BE30</f>
        <v>107</v>
      </c>
      <c r="BF30" s="12"/>
      <c r="BG30" s="12"/>
      <c r="BH30" s="12">
        <f>BG30+'11'!BH30</f>
        <v>85</v>
      </c>
      <c r="BI30" s="30">
        <f t="shared" si="3"/>
        <v>0.79439252336448596</v>
      </c>
    </row>
    <row r="31" spans="1:61" ht="28.9" customHeight="1" x14ac:dyDescent="0.35">
      <c r="A31" s="5">
        <v>21</v>
      </c>
      <c r="B31" s="26" t="str">
        <f>'11'!B31</f>
        <v>طــــــــــــه شبرا</v>
      </c>
      <c r="C31" s="26">
        <f>'11'!C31</f>
        <v>5149</v>
      </c>
      <c r="D31" s="26"/>
      <c r="E31" s="12"/>
      <c r="F31" s="2">
        <f>E31+'11'!F31</f>
        <v>22</v>
      </c>
      <c r="G31" s="2"/>
      <c r="H31" s="2">
        <f>G31+'11'!H31</f>
        <v>967</v>
      </c>
      <c r="I31" s="2"/>
      <c r="J31" s="2">
        <f>I31+'11'!J31</f>
        <v>1288</v>
      </c>
      <c r="K31" s="2"/>
      <c r="L31" s="2">
        <f>K31+'11'!L31</f>
        <v>0</v>
      </c>
      <c r="M31" s="2"/>
      <c r="N31" s="2">
        <f>M31+'11'!N31</f>
        <v>0</v>
      </c>
      <c r="O31" s="2"/>
      <c r="P31" s="2">
        <f>O31+'11'!P31</f>
        <v>0</v>
      </c>
      <c r="Q31" s="4">
        <f t="shared" si="4"/>
        <v>0</v>
      </c>
      <c r="R31" s="4">
        <f>Q31+'11'!R31</f>
        <v>2277</v>
      </c>
      <c r="S31" s="27">
        <f t="shared" si="5"/>
        <v>0.442221790638959</v>
      </c>
      <c r="T31" s="12"/>
      <c r="U31" s="12">
        <f>T31+'11'!U31</f>
        <v>277</v>
      </c>
      <c r="V31" s="12"/>
      <c r="W31" s="12">
        <f>V31+'11'!W31</f>
        <v>3</v>
      </c>
      <c r="X31" s="12"/>
      <c r="Y31" s="12">
        <f>X31+'11'!Y31</f>
        <v>0</v>
      </c>
      <c r="AB31" s="5">
        <v>21</v>
      </c>
      <c r="AC31" s="26" t="str">
        <f>'11'!AC31</f>
        <v>طــــــــــــه شبرا</v>
      </c>
      <c r="AD31" s="28">
        <f>'11'!AI31</f>
        <v>216</v>
      </c>
      <c r="AE31" s="3"/>
      <c r="AF31" s="28">
        <f>AE31+'11'!AF31</f>
        <v>452</v>
      </c>
      <c r="AG31" s="4"/>
      <c r="AH31" s="28">
        <f>AG31+'11'!AH31</f>
        <v>236</v>
      </c>
      <c r="AI31" s="4">
        <f t="shared" si="6"/>
        <v>216</v>
      </c>
      <c r="AJ31" s="11" t="e">
        <f t="shared" si="0"/>
        <v>#DIV/0!</v>
      </c>
      <c r="AK31" s="53">
        <f t="shared" si="1"/>
        <v>9.648305084745763</v>
      </c>
      <c r="AW31" s="26" t="str">
        <f>'11'!AW31</f>
        <v>طــــــــــــه شبرا</v>
      </c>
      <c r="AX31" s="12">
        <f>'11'!AX31</f>
        <v>6</v>
      </c>
      <c r="AY31" s="12">
        <f>'11'!AY31</f>
        <v>2219</v>
      </c>
      <c r="AZ31" s="12"/>
      <c r="BA31" s="12"/>
      <c r="BB31" s="12">
        <f>BA31+'11'!BB31</f>
        <v>1367</v>
      </c>
      <c r="BC31" s="30">
        <f t="shared" si="2"/>
        <v>0.61604326273095988</v>
      </c>
      <c r="BD31" s="12">
        <f>'11'!BD31</f>
        <v>8</v>
      </c>
      <c r="BE31" s="12">
        <f>'11'!BE31</f>
        <v>748</v>
      </c>
      <c r="BF31" s="12"/>
      <c r="BG31" s="12"/>
      <c r="BH31" s="12">
        <f>BG31+'11'!BH31</f>
        <v>690</v>
      </c>
      <c r="BI31" s="30">
        <f t="shared" si="3"/>
        <v>0.92245989304812837</v>
      </c>
    </row>
    <row r="32" spans="1:61" ht="28.9" customHeight="1" x14ac:dyDescent="0.35">
      <c r="A32" s="5">
        <v>22</v>
      </c>
      <c r="B32" s="26" t="str">
        <f>'11'!B32</f>
        <v>أشـــــــــــــــــليم</v>
      </c>
      <c r="C32" s="26">
        <f>'11'!C32</f>
        <v>2638</v>
      </c>
      <c r="D32" s="26"/>
      <c r="E32" s="12"/>
      <c r="F32" s="2">
        <f>E32+'11'!F32</f>
        <v>19</v>
      </c>
      <c r="G32" s="2"/>
      <c r="H32" s="2">
        <f>G32+'11'!H32</f>
        <v>606</v>
      </c>
      <c r="I32" s="2"/>
      <c r="J32" s="2">
        <f>I32+'11'!J32</f>
        <v>1522</v>
      </c>
      <c r="K32" s="2"/>
      <c r="L32" s="2">
        <f>K32+'11'!L32</f>
        <v>0</v>
      </c>
      <c r="M32" s="2"/>
      <c r="N32" s="2">
        <f>M32+'11'!N32</f>
        <v>0</v>
      </c>
      <c r="O32" s="2"/>
      <c r="P32" s="2">
        <f>O32+'11'!P32</f>
        <v>0</v>
      </c>
      <c r="Q32" s="4">
        <f t="shared" si="4"/>
        <v>0</v>
      </c>
      <c r="R32" s="4">
        <f>Q32+'11'!R32</f>
        <v>2147</v>
      </c>
      <c r="S32" s="27">
        <f t="shared" si="5"/>
        <v>0.81387414708112205</v>
      </c>
      <c r="T32" s="12"/>
      <c r="U32" s="12">
        <f>T32+'11'!U32</f>
        <v>149</v>
      </c>
      <c r="V32" s="12"/>
      <c r="W32" s="12">
        <f>V32+'11'!W32</f>
        <v>119</v>
      </c>
      <c r="X32" s="12"/>
      <c r="Y32" s="12">
        <f>X32+'11'!Y32</f>
        <v>0</v>
      </c>
      <c r="AB32" s="5">
        <v>22</v>
      </c>
      <c r="AC32" s="26" t="str">
        <f>'11'!AC32</f>
        <v>أشـــــــــــــــــليم</v>
      </c>
      <c r="AD32" s="28">
        <f>'11'!AI32</f>
        <v>31</v>
      </c>
      <c r="AE32" s="3"/>
      <c r="AF32" s="28">
        <f>AE32+'11'!AF32</f>
        <v>252</v>
      </c>
      <c r="AG32" s="4"/>
      <c r="AH32" s="28">
        <f>AG32+'11'!AH32</f>
        <v>221</v>
      </c>
      <c r="AI32" s="4">
        <f t="shared" si="6"/>
        <v>31</v>
      </c>
      <c r="AJ32" s="11" t="e">
        <f t="shared" si="0"/>
        <v>#DIV/0!</v>
      </c>
      <c r="AK32" s="53">
        <f t="shared" si="1"/>
        <v>9.7149321266968318</v>
      </c>
      <c r="AW32" s="26" t="str">
        <f>'11'!AW32</f>
        <v>أشـــــــــــــــــليم</v>
      </c>
      <c r="AX32" s="12">
        <f>'11'!AX32</f>
        <v>8</v>
      </c>
      <c r="AY32" s="12">
        <f>'11'!AY32</f>
        <v>1819</v>
      </c>
      <c r="AZ32" s="12"/>
      <c r="BA32" s="12"/>
      <c r="BB32" s="12">
        <f>BA32+'11'!BB32</f>
        <v>1506</v>
      </c>
      <c r="BC32" s="30">
        <f t="shared" si="2"/>
        <v>0.82792743265530511</v>
      </c>
      <c r="BD32" s="12">
        <f>'11'!BD32</f>
        <v>7</v>
      </c>
      <c r="BE32" s="12">
        <f>'11'!BE32</f>
        <v>176</v>
      </c>
      <c r="BF32" s="12"/>
      <c r="BG32" s="12"/>
      <c r="BH32" s="12">
        <f>BG32+'11'!BH32</f>
        <v>531</v>
      </c>
      <c r="BI32" s="30">
        <f t="shared" si="3"/>
        <v>3.0170454545454546</v>
      </c>
    </row>
    <row r="33" spans="1:61" ht="28.9" customHeight="1" x14ac:dyDescent="0.35">
      <c r="A33" s="5">
        <v>23</v>
      </c>
      <c r="B33" s="26" t="str">
        <f>'11'!B33</f>
        <v>شبرا قبالــــــــــه</v>
      </c>
      <c r="C33" s="26">
        <f>'11'!C33</f>
        <v>2050</v>
      </c>
      <c r="D33" s="26"/>
      <c r="E33" s="12"/>
      <c r="F33" s="2">
        <f>E33+'11'!F33</f>
        <v>23</v>
      </c>
      <c r="G33" s="2"/>
      <c r="H33" s="2">
        <f>G33+'11'!H33</f>
        <v>644</v>
      </c>
      <c r="I33" s="2"/>
      <c r="J33" s="2">
        <f>I33+'11'!J33</f>
        <v>773</v>
      </c>
      <c r="K33" s="2"/>
      <c r="L33" s="2">
        <f>K33+'11'!L33</f>
        <v>0</v>
      </c>
      <c r="M33" s="2"/>
      <c r="N33" s="2">
        <f>M33+'11'!N33</f>
        <v>0</v>
      </c>
      <c r="O33" s="2"/>
      <c r="P33" s="2">
        <f>O33+'11'!P33</f>
        <v>0</v>
      </c>
      <c r="Q33" s="4">
        <f t="shared" si="4"/>
        <v>0</v>
      </c>
      <c r="R33" s="4">
        <f>Q33+'11'!R33</f>
        <v>1440</v>
      </c>
      <c r="S33" s="27">
        <f t="shared" si="5"/>
        <v>0.70243902439024386</v>
      </c>
      <c r="T33" s="12"/>
      <c r="U33" s="12">
        <f>T33+'11'!U33</f>
        <v>96</v>
      </c>
      <c r="V33" s="12"/>
      <c r="W33" s="12">
        <f>V33+'11'!W33</f>
        <v>64</v>
      </c>
      <c r="X33" s="12"/>
      <c r="Y33" s="12">
        <f>X33+'11'!Y33</f>
        <v>0</v>
      </c>
      <c r="AB33" s="5">
        <v>23</v>
      </c>
      <c r="AC33" s="26" t="str">
        <f>'11'!AC33</f>
        <v>شبرا قبالــــــــــه</v>
      </c>
      <c r="AD33" s="28">
        <f>'11'!AI33</f>
        <v>36</v>
      </c>
      <c r="AE33" s="3"/>
      <c r="AF33" s="28">
        <f>AE33+'11'!AF33</f>
        <v>180</v>
      </c>
      <c r="AG33" s="4"/>
      <c r="AH33" s="28">
        <f>AG33+'11'!AH33</f>
        <v>144</v>
      </c>
      <c r="AI33" s="4">
        <f t="shared" si="6"/>
        <v>36</v>
      </c>
      <c r="AJ33" s="11" t="e">
        <f t="shared" si="0"/>
        <v>#DIV/0!</v>
      </c>
      <c r="AK33" s="53">
        <f t="shared" si="1"/>
        <v>10</v>
      </c>
      <c r="AW33" s="26" t="str">
        <f>'11'!AW33</f>
        <v>شبرا قبالــــــــــه</v>
      </c>
      <c r="AX33" s="12">
        <f>'11'!AX33</f>
        <v>1</v>
      </c>
      <c r="AY33" s="12">
        <f>'11'!AY33</f>
        <v>918</v>
      </c>
      <c r="AZ33" s="12"/>
      <c r="BA33" s="12"/>
      <c r="BB33" s="12">
        <f>BA33+'11'!BB33</f>
        <v>780</v>
      </c>
      <c r="BC33" s="30">
        <f t="shared" si="2"/>
        <v>0.84967320261437906</v>
      </c>
      <c r="BD33" s="12">
        <f>'11'!BD33</f>
        <v>5</v>
      </c>
      <c r="BE33" s="12">
        <f>'11'!BE33</f>
        <v>375</v>
      </c>
      <c r="BF33" s="12"/>
      <c r="BG33" s="12"/>
      <c r="BH33" s="12">
        <f>BG33+'11'!BH33</f>
        <v>430</v>
      </c>
      <c r="BI33" s="30">
        <f t="shared" si="3"/>
        <v>1.1466666666666667</v>
      </c>
    </row>
    <row r="34" spans="1:61" ht="28.9" customHeight="1" x14ac:dyDescent="0.35">
      <c r="A34" s="5">
        <v>24</v>
      </c>
      <c r="B34" s="26" t="str">
        <f>'11'!B34</f>
        <v>عرب الرمـــــــل</v>
      </c>
      <c r="C34" s="26">
        <f>'11'!C34</f>
        <v>5755</v>
      </c>
      <c r="D34" s="26"/>
      <c r="E34" s="12"/>
      <c r="F34" s="2">
        <f>E34+'11'!F34</f>
        <v>22</v>
      </c>
      <c r="G34" s="2"/>
      <c r="H34" s="2">
        <f>G34+'11'!H34</f>
        <v>1011</v>
      </c>
      <c r="I34" s="2"/>
      <c r="J34" s="2">
        <f>I34+'11'!J34</f>
        <v>1364</v>
      </c>
      <c r="K34" s="2"/>
      <c r="L34" s="2">
        <f>K34+'11'!L34</f>
        <v>0</v>
      </c>
      <c r="M34" s="2"/>
      <c r="N34" s="2">
        <f>M34+'11'!N34</f>
        <v>0</v>
      </c>
      <c r="O34" s="2"/>
      <c r="P34" s="2">
        <f>O34+'11'!P34</f>
        <v>0</v>
      </c>
      <c r="Q34" s="4">
        <f t="shared" si="4"/>
        <v>0</v>
      </c>
      <c r="R34" s="4">
        <f>Q34+'11'!R34</f>
        <v>2397</v>
      </c>
      <c r="S34" s="27">
        <f t="shared" si="5"/>
        <v>0.41650738488271066</v>
      </c>
      <c r="T34" s="12"/>
      <c r="U34" s="12">
        <f>T34+'11'!U34</f>
        <v>562</v>
      </c>
      <c r="V34" s="12"/>
      <c r="W34" s="12">
        <f>V34+'11'!W34</f>
        <v>41</v>
      </c>
      <c r="X34" s="12"/>
      <c r="Y34" s="12">
        <f>X34+'11'!Y34</f>
        <v>0</v>
      </c>
      <c r="AB34" s="5">
        <v>24</v>
      </c>
      <c r="AC34" s="26" t="str">
        <f>'11'!AC34</f>
        <v>عرب الرمـــــــل</v>
      </c>
      <c r="AD34" s="28">
        <f>'11'!AI34</f>
        <v>263</v>
      </c>
      <c r="AE34" s="3"/>
      <c r="AF34" s="28">
        <f>AE34+'11'!AF34</f>
        <v>505</v>
      </c>
      <c r="AG34" s="4"/>
      <c r="AH34" s="28">
        <f>AG34+'11'!AH34</f>
        <v>242</v>
      </c>
      <c r="AI34" s="4">
        <f t="shared" si="6"/>
        <v>263</v>
      </c>
      <c r="AJ34" s="11" t="e">
        <f t="shared" si="0"/>
        <v>#DIV/0!</v>
      </c>
      <c r="AK34" s="53">
        <f t="shared" si="1"/>
        <v>9.9049586776859506</v>
      </c>
      <c r="AW34" s="26" t="str">
        <f>'11'!AW34</f>
        <v>عرب الرمـــــــل</v>
      </c>
      <c r="AX34" s="12">
        <f>'11'!AX34</f>
        <v>6</v>
      </c>
      <c r="AY34" s="12">
        <f>'11'!AY34</f>
        <v>2210</v>
      </c>
      <c r="AZ34" s="12"/>
      <c r="BA34" s="12"/>
      <c r="BB34" s="12">
        <f>BA34+'11'!BB34</f>
        <v>1456</v>
      </c>
      <c r="BC34" s="30">
        <f t="shared" si="2"/>
        <v>0.6588235294117647</v>
      </c>
      <c r="BD34" s="12">
        <f>'11'!BD34</f>
        <v>9</v>
      </c>
      <c r="BE34" s="12">
        <f>'11'!BE34</f>
        <v>932</v>
      </c>
      <c r="BF34" s="12"/>
      <c r="BG34" s="12"/>
      <c r="BH34" s="12">
        <f>BG34+'11'!BH34</f>
        <v>941</v>
      </c>
      <c r="BI34" s="30">
        <f t="shared" si="3"/>
        <v>1.0096566523605151</v>
      </c>
    </row>
    <row r="35" spans="1:61" ht="28.9" customHeight="1" x14ac:dyDescent="0.35">
      <c r="A35" s="5">
        <v>25</v>
      </c>
      <c r="B35" s="26" t="str">
        <f>'11'!B35</f>
        <v>كفر ميت سراج</v>
      </c>
      <c r="C35" s="26">
        <f>'11'!C35</f>
        <v>1840</v>
      </c>
      <c r="D35" s="26"/>
      <c r="E35" s="12"/>
      <c r="F35" s="2">
        <f>E35+'11'!F35</f>
        <v>8</v>
      </c>
      <c r="G35" s="2"/>
      <c r="H35" s="2">
        <f>G35+'11'!H35</f>
        <v>386</v>
      </c>
      <c r="I35" s="2"/>
      <c r="J35" s="2">
        <f>I35+'11'!J35</f>
        <v>773</v>
      </c>
      <c r="K35" s="2"/>
      <c r="L35" s="2">
        <f>K35+'11'!L35</f>
        <v>0</v>
      </c>
      <c r="M35" s="2"/>
      <c r="N35" s="2">
        <f>M35+'11'!N35</f>
        <v>0</v>
      </c>
      <c r="O35" s="2"/>
      <c r="P35" s="2">
        <f>O35+'11'!P35</f>
        <v>0</v>
      </c>
      <c r="Q35" s="4">
        <f t="shared" si="4"/>
        <v>0</v>
      </c>
      <c r="R35" s="4">
        <f>Q35+'11'!R35</f>
        <v>1167</v>
      </c>
      <c r="S35" s="27">
        <f t="shared" si="5"/>
        <v>0.63423913043478264</v>
      </c>
      <c r="T35" s="12"/>
      <c r="U35" s="12">
        <f>T35+'11'!U35</f>
        <v>174</v>
      </c>
      <c r="V35" s="12"/>
      <c r="W35" s="12">
        <f>V35+'11'!W35</f>
        <v>11</v>
      </c>
      <c r="X35" s="12"/>
      <c r="Y35" s="12">
        <f>X35+'11'!Y35</f>
        <v>0</v>
      </c>
      <c r="AB35" s="5">
        <v>25</v>
      </c>
      <c r="AC35" s="26" t="str">
        <f>'11'!AC35</f>
        <v>كفر ميت سراج</v>
      </c>
      <c r="AD35" s="28">
        <f>'11'!AI35</f>
        <v>41</v>
      </c>
      <c r="AE35" s="3"/>
      <c r="AF35" s="28">
        <f>AE35+'11'!AF35</f>
        <v>162</v>
      </c>
      <c r="AG35" s="4"/>
      <c r="AH35" s="28">
        <f>AG35+'11'!AH35</f>
        <v>121</v>
      </c>
      <c r="AI35" s="4">
        <f t="shared" si="6"/>
        <v>41</v>
      </c>
      <c r="AJ35" s="11" t="e">
        <f t="shared" si="0"/>
        <v>#DIV/0!</v>
      </c>
      <c r="AK35" s="53">
        <f t="shared" si="1"/>
        <v>9.6446280991735538</v>
      </c>
      <c r="AW35" s="26" t="str">
        <f>'11'!AW35</f>
        <v>كفر ميت سراج</v>
      </c>
      <c r="AX35" s="12">
        <f>'11'!AX35</f>
        <v>3</v>
      </c>
      <c r="AY35" s="12">
        <f>'11'!AY35</f>
        <v>1011</v>
      </c>
      <c r="AZ35" s="12"/>
      <c r="BA35" s="12"/>
      <c r="BB35" s="12">
        <f>BA35+'11'!BB35</f>
        <v>773</v>
      </c>
      <c r="BC35" s="30">
        <f t="shared" si="2"/>
        <v>0.76458951533135511</v>
      </c>
      <c r="BD35" s="12">
        <f>'11'!BD35</f>
        <v>4</v>
      </c>
      <c r="BE35" s="12">
        <f>'11'!BE35</f>
        <v>413</v>
      </c>
      <c r="BF35" s="12"/>
      <c r="BG35" s="12"/>
      <c r="BH35" s="12">
        <f>BG35+'11'!BH35</f>
        <v>232</v>
      </c>
      <c r="BI35" s="30">
        <f t="shared" si="3"/>
        <v>0.56174334140435833</v>
      </c>
    </row>
    <row r="36" spans="1:61" ht="28.9" customHeight="1" x14ac:dyDescent="0.35">
      <c r="A36" s="5">
        <v>26</v>
      </c>
      <c r="B36" s="26" t="str">
        <f>'11'!B36</f>
        <v>كفر أبشيش</v>
      </c>
      <c r="C36" s="26">
        <f>'11'!C36</f>
        <v>1345</v>
      </c>
      <c r="D36" s="26"/>
      <c r="E36" s="12"/>
      <c r="F36" s="2">
        <f>E36+'11'!F36</f>
        <v>14</v>
      </c>
      <c r="G36" s="2"/>
      <c r="H36" s="2">
        <f>G36+'11'!H36</f>
        <v>207</v>
      </c>
      <c r="I36" s="2"/>
      <c r="J36" s="2">
        <f>I36+'11'!J36</f>
        <v>725</v>
      </c>
      <c r="K36" s="2"/>
      <c r="L36" s="2">
        <f>K36+'11'!L36</f>
        <v>0</v>
      </c>
      <c r="M36" s="2"/>
      <c r="N36" s="2">
        <f>M36+'11'!N36</f>
        <v>0</v>
      </c>
      <c r="O36" s="2"/>
      <c r="P36" s="2">
        <f>O36+'11'!P36</f>
        <v>0</v>
      </c>
      <c r="Q36" s="4">
        <f t="shared" si="4"/>
        <v>0</v>
      </c>
      <c r="R36" s="4">
        <f>Q36+'11'!R36</f>
        <v>946</v>
      </c>
      <c r="S36" s="27">
        <f t="shared" si="5"/>
        <v>0.70334572490706315</v>
      </c>
      <c r="T36" s="12"/>
      <c r="U36" s="12">
        <f>T36+'11'!U36</f>
        <v>113</v>
      </c>
      <c r="V36" s="12"/>
      <c r="W36" s="12">
        <f>V36+'11'!W36</f>
        <v>4</v>
      </c>
      <c r="X36" s="12"/>
      <c r="Y36" s="12">
        <f>X36+'11'!Y36</f>
        <v>0</v>
      </c>
      <c r="AB36" s="5">
        <v>26</v>
      </c>
      <c r="AC36" s="26" t="str">
        <f>'11'!AC36</f>
        <v>كفر أبشيش</v>
      </c>
      <c r="AD36" s="28">
        <f>'11'!AI36</f>
        <v>24</v>
      </c>
      <c r="AE36" s="3"/>
      <c r="AF36" s="28">
        <f>AE36+'11'!AF36</f>
        <v>119</v>
      </c>
      <c r="AG36" s="4"/>
      <c r="AH36" s="28">
        <f>AG36+'11'!AH36</f>
        <v>95</v>
      </c>
      <c r="AI36" s="4">
        <f t="shared" si="6"/>
        <v>24</v>
      </c>
      <c r="AJ36" s="11" t="e">
        <f t="shared" si="0"/>
        <v>#DIV/0!</v>
      </c>
      <c r="AK36" s="53">
        <f t="shared" si="1"/>
        <v>9.9578947368421051</v>
      </c>
      <c r="AW36" s="26" t="str">
        <f>'11'!AW36</f>
        <v>كفر أبشيش</v>
      </c>
      <c r="AX36" s="12">
        <f>'11'!AX36</f>
        <v>1</v>
      </c>
      <c r="AY36" s="12">
        <f>'11'!AY36</f>
        <v>860</v>
      </c>
      <c r="AZ36" s="12"/>
      <c r="BA36" s="12"/>
      <c r="BB36" s="12">
        <f>BA36+'11'!BB36</f>
        <v>730</v>
      </c>
      <c r="BC36" s="30">
        <f t="shared" si="2"/>
        <v>0.84883720930232553</v>
      </c>
      <c r="BD36" s="12">
        <f>'11'!BD36</f>
        <v>4</v>
      </c>
      <c r="BE36" s="12">
        <f>'11'!BE36</f>
        <v>194</v>
      </c>
      <c r="BF36" s="12"/>
      <c r="BG36" s="12"/>
      <c r="BH36" s="12">
        <f>BG36+'11'!BH36</f>
        <v>0</v>
      </c>
      <c r="BI36" s="30">
        <f t="shared" si="3"/>
        <v>0</v>
      </c>
    </row>
    <row r="37" spans="1:61" ht="28.9" customHeight="1" x14ac:dyDescent="0.35">
      <c r="A37" s="5">
        <v>27</v>
      </c>
      <c r="B37" s="26" t="str">
        <f>'11'!B37</f>
        <v>كفر ميت العبسى</v>
      </c>
      <c r="C37" s="26">
        <f>'11'!C37</f>
        <v>1180</v>
      </c>
      <c r="D37" s="26"/>
      <c r="E37" s="12"/>
      <c r="F37" s="2">
        <f>E37+'11'!F37</f>
        <v>12</v>
      </c>
      <c r="G37" s="2"/>
      <c r="H37" s="2">
        <f>G37+'11'!H37</f>
        <v>248</v>
      </c>
      <c r="I37" s="2"/>
      <c r="J37" s="2">
        <f>I37+'11'!J37</f>
        <v>443</v>
      </c>
      <c r="K37" s="2"/>
      <c r="L37" s="2">
        <f>K37+'11'!L37</f>
        <v>0</v>
      </c>
      <c r="M37" s="2"/>
      <c r="N37" s="2">
        <f>M37+'11'!N37</f>
        <v>0</v>
      </c>
      <c r="O37" s="2"/>
      <c r="P37" s="2">
        <f>O37+'11'!P37</f>
        <v>0</v>
      </c>
      <c r="Q37" s="4">
        <f t="shared" si="4"/>
        <v>0</v>
      </c>
      <c r="R37" s="4">
        <f>Q37+'11'!R37</f>
        <v>703</v>
      </c>
      <c r="S37" s="27">
        <f t="shared" si="5"/>
        <v>0.59576271186440677</v>
      </c>
      <c r="T37" s="12"/>
      <c r="U37" s="12">
        <f>T37+'11'!U37</f>
        <v>53</v>
      </c>
      <c r="V37" s="12"/>
      <c r="W37" s="12">
        <f>V37+'11'!W37</f>
        <v>11</v>
      </c>
      <c r="X37" s="12"/>
      <c r="Y37" s="12">
        <f>X37+'11'!Y37</f>
        <v>0</v>
      </c>
      <c r="AB37" s="5">
        <v>27</v>
      </c>
      <c r="AC37" s="26" t="str">
        <f>'11'!AC37</f>
        <v>كفر ميت العبسى</v>
      </c>
      <c r="AD37" s="28">
        <f>'11'!AI37</f>
        <v>33</v>
      </c>
      <c r="AE37" s="3"/>
      <c r="AF37" s="28">
        <f>AE37+'11'!AF37</f>
        <v>104</v>
      </c>
      <c r="AG37" s="4"/>
      <c r="AH37" s="28">
        <f>AG37+'11'!AH37</f>
        <v>71</v>
      </c>
      <c r="AI37" s="4">
        <f t="shared" si="6"/>
        <v>33</v>
      </c>
      <c r="AJ37" s="11" t="e">
        <f t="shared" si="0"/>
        <v>#DIV/0!</v>
      </c>
      <c r="AK37" s="53">
        <f t="shared" si="1"/>
        <v>9.9014084507042259</v>
      </c>
      <c r="AW37" s="26" t="str">
        <f>'11'!AW37</f>
        <v>كفر ميت العبسى</v>
      </c>
      <c r="AX37" s="12">
        <f>'11'!AX37</f>
        <v>2</v>
      </c>
      <c r="AY37" s="12">
        <f>'11'!AY37</f>
        <v>494</v>
      </c>
      <c r="AZ37" s="12"/>
      <c r="BA37" s="12"/>
      <c r="BB37" s="12">
        <f>BA37+'11'!BB37</f>
        <v>418</v>
      </c>
      <c r="BC37" s="30">
        <f t="shared" si="2"/>
        <v>0.84615384615384615</v>
      </c>
      <c r="BD37" s="12">
        <f>'11'!BD37</f>
        <v>4</v>
      </c>
      <c r="BE37" s="12">
        <f>'11'!BE37</f>
        <v>114</v>
      </c>
      <c r="BF37" s="12"/>
      <c r="BG37" s="12"/>
      <c r="BH37" s="12">
        <f>BG37+'11'!BH37</f>
        <v>73</v>
      </c>
      <c r="BI37" s="30">
        <f t="shared" si="3"/>
        <v>0.64035087719298245</v>
      </c>
    </row>
    <row r="38" spans="1:61" ht="28.9" customHeight="1" x14ac:dyDescent="0.35">
      <c r="A38" s="5">
        <v>28</v>
      </c>
      <c r="B38" s="26" t="str">
        <f>'11'!B38</f>
        <v>كفر وهــــــــــب</v>
      </c>
      <c r="C38" s="26">
        <f>'11'!C38</f>
        <v>1854.9999999999998</v>
      </c>
      <c r="D38" s="26"/>
      <c r="E38" s="12"/>
      <c r="F38" s="2">
        <f>E38+'11'!F38</f>
        <v>7</v>
      </c>
      <c r="G38" s="2"/>
      <c r="H38" s="2">
        <f>G38+'11'!H38</f>
        <v>265</v>
      </c>
      <c r="I38" s="2"/>
      <c r="J38" s="2">
        <f>I38+'11'!J38</f>
        <v>618</v>
      </c>
      <c r="K38" s="2"/>
      <c r="L38" s="2">
        <f>K38+'11'!L38</f>
        <v>0</v>
      </c>
      <c r="M38" s="2"/>
      <c r="N38" s="2">
        <f>M38+'11'!N38</f>
        <v>0</v>
      </c>
      <c r="O38" s="2"/>
      <c r="P38" s="2">
        <f>O38+'11'!P38</f>
        <v>0</v>
      </c>
      <c r="Q38" s="4">
        <f t="shared" si="4"/>
        <v>0</v>
      </c>
      <c r="R38" s="4">
        <f>Q38+'11'!R38</f>
        <v>890</v>
      </c>
      <c r="S38" s="27">
        <f t="shared" si="5"/>
        <v>0.47978436657681944</v>
      </c>
      <c r="T38" s="12"/>
      <c r="U38" s="12">
        <f>T38+'11'!U38</f>
        <v>123</v>
      </c>
      <c r="V38" s="12"/>
      <c r="W38" s="12">
        <f>V38+'11'!W38</f>
        <v>7</v>
      </c>
      <c r="X38" s="12"/>
      <c r="Y38" s="12">
        <f>X38+'11'!Y38</f>
        <v>0</v>
      </c>
      <c r="AB38" s="5">
        <v>28</v>
      </c>
      <c r="AC38" s="26" t="str">
        <f>'11'!AC38</f>
        <v>كفر وهــــــــــب</v>
      </c>
      <c r="AD38" s="28">
        <f>'11'!AI38</f>
        <v>72</v>
      </c>
      <c r="AE38" s="3"/>
      <c r="AF38" s="28">
        <f>AE38+'11'!AF38</f>
        <v>163</v>
      </c>
      <c r="AG38" s="4"/>
      <c r="AH38" s="28">
        <f>AG38+'11'!AH38</f>
        <v>91</v>
      </c>
      <c r="AI38" s="4">
        <f t="shared" si="6"/>
        <v>72</v>
      </c>
      <c r="AJ38" s="11" t="e">
        <f t="shared" si="0"/>
        <v>#DIV/0!</v>
      </c>
      <c r="AK38" s="53">
        <f t="shared" si="1"/>
        <v>9.780219780219781</v>
      </c>
      <c r="AW38" s="26" t="str">
        <f>'11'!AW38</f>
        <v>كفر وهــــــــــب</v>
      </c>
      <c r="AX38" s="12">
        <f>'11'!AX38</f>
        <v>2</v>
      </c>
      <c r="AY38" s="12">
        <f>'11'!AY38</f>
        <v>793</v>
      </c>
      <c r="AZ38" s="12"/>
      <c r="BA38" s="12"/>
      <c r="BB38" s="12">
        <f>BA38+'11'!BB38</f>
        <v>623</v>
      </c>
      <c r="BC38" s="30">
        <f t="shared" si="2"/>
        <v>0.78562421185372</v>
      </c>
      <c r="BD38" s="12">
        <f>'11'!BD38</f>
        <v>3</v>
      </c>
      <c r="BE38" s="12">
        <f>'11'!BE38</f>
        <v>180</v>
      </c>
      <c r="BF38" s="12"/>
      <c r="BG38" s="12"/>
      <c r="BH38" s="12">
        <f>BG38+'11'!BH38</f>
        <v>160</v>
      </c>
      <c r="BI38" s="30">
        <f t="shared" si="3"/>
        <v>0.88888888888888884</v>
      </c>
    </row>
    <row r="39" spans="1:61" ht="28.9" customHeight="1" x14ac:dyDescent="0.35">
      <c r="A39" s="5">
        <v>29</v>
      </c>
      <c r="B39" s="26" t="str">
        <f>'11'!B39</f>
        <v>دمــــــــــــــهوج</v>
      </c>
      <c r="C39" s="26">
        <f>'11'!C39</f>
        <v>2738</v>
      </c>
      <c r="D39" s="26"/>
      <c r="E39" s="12"/>
      <c r="F39" s="2">
        <f>E39+'11'!F39</f>
        <v>11</v>
      </c>
      <c r="G39" s="2"/>
      <c r="H39" s="2">
        <f>G39+'11'!H39</f>
        <v>437</v>
      </c>
      <c r="I39" s="2"/>
      <c r="J39" s="2">
        <f>I39+'11'!J39</f>
        <v>832</v>
      </c>
      <c r="K39" s="2"/>
      <c r="L39" s="2">
        <f>K39+'11'!L39</f>
        <v>0</v>
      </c>
      <c r="M39" s="2"/>
      <c r="N39" s="2">
        <f>M39+'11'!N39</f>
        <v>0</v>
      </c>
      <c r="O39" s="2"/>
      <c r="P39" s="2">
        <f>O39+'11'!P39</f>
        <v>0</v>
      </c>
      <c r="Q39" s="4">
        <f t="shared" si="4"/>
        <v>0</v>
      </c>
      <c r="R39" s="4">
        <f>Q39+'11'!R39</f>
        <v>1280</v>
      </c>
      <c r="S39" s="27">
        <f t="shared" si="5"/>
        <v>0.46749452154857563</v>
      </c>
      <c r="T39" s="12"/>
      <c r="U39" s="12">
        <f>T39+'11'!U39</f>
        <v>158</v>
      </c>
      <c r="V39" s="12"/>
      <c r="W39" s="12">
        <f>V39+'11'!W39</f>
        <v>7</v>
      </c>
      <c r="X39" s="12"/>
      <c r="Y39" s="12">
        <f>X39+'11'!Y39</f>
        <v>0</v>
      </c>
      <c r="AB39" s="5">
        <v>29</v>
      </c>
      <c r="AC39" s="26" t="str">
        <f>'11'!AC39</f>
        <v>دمــــــــــــــهوج</v>
      </c>
      <c r="AD39" s="28">
        <f>'11'!AI39</f>
        <v>109</v>
      </c>
      <c r="AE39" s="3"/>
      <c r="AF39" s="28">
        <f>AE39+'11'!AF39</f>
        <v>240</v>
      </c>
      <c r="AG39" s="4"/>
      <c r="AH39" s="28">
        <f>AG39+'11'!AH39</f>
        <v>131</v>
      </c>
      <c r="AI39" s="4">
        <f t="shared" si="6"/>
        <v>109</v>
      </c>
      <c r="AJ39" s="11" t="e">
        <f t="shared" si="0"/>
        <v>#DIV/0!</v>
      </c>
      <c r="AK39" s="53">
        <f t="shared" si="1"/>
        <v>9.770992366412214</v>
      </c>
      <c r="AW39" s="26" t="str">
        <f>'11'!AW39</f>
        <v>دمــــــــــــــهوج</v>
      </c>
      <c r="AX39" s="12">
        <f>'11'!AX39</f>
        <v>2</v>
      </c>
      <c r="AY39" s="12">
        <f>'11'!AY39</f>
        <v>1086</v>
      </c>
      <c r="AZ39" s="12"/>
      <c r="BA39" s="12"/>
      <c r="BB39" s="12">
        <f>BA39+'11'!BB39</f>
        <v>834</v>
      </c>
      <c r="BC39" s="30">
        <f t="shared" si="2"/>
        <v>0.76795580110497241</v>
      </c>
      <c r="BD39" s="12">
        <f>'11'!BD39</f>
        <v>10</v>
      </c>
      <c r="BE39" s="12">
        <f>'11'!BE39</f>
        <v>455</v>
      </c>
      <c r="BF39" s="12"/>
      <c r="BG39" s="12"/>
      <c r="BH39" s="12">
        <f>BG39+'11'!BH39</f>
        <v>439</v>
      </c>
      <c r="BI39" s="30">
        <f t="shared" si="3"/>
        <v>0.96483516483516485</v>
      </c>
    </row>
    <row r="40" spans="1:61" ht="28.9" customHeight="1" x14ac:dyDescent="0.35">
      <c r="A40" s="5">
        <v>30</v>
      </c>
      <c r="B40" s="26" t="str">
        <f>'11'!B40</f>
        <v>كفر زين الدين</v>
      </c>
      <c r="C40" s="26">
        <f>'11'!C40</f>
        <v>819</v>
      </c>
      <c r="D40" s="26"/>
      <c r="E40" s="12"/>
      <c r="F40" s="2">
        <f>E40+'11'!F40</f>
        <v>9</v>
      </c>
      <c r="G40" s="2"/>
      <c r="H40" s="2">
        <f>G40+'11'!H40</f>
        <v>266</v>
      </c>
      <c r="I40" s="2"/>
      <c r="J40" s="2">
        <f>I40+'11'!J40</f>
        <v>430</v>
      </c>
      <c r="K40" s="2"/>
      <c r="L40" s="2">
        <f>K40+'11'!L40</f>
        <v>0</v>
      </c>
      <c r="M40" s="2"/>
      <c r="N40" s="2">
        <f>M40+'11'!N40</f>
        <v>0</v>
      </c>
      <c r="O40" s="2"/>
      <c r="P40" s="2">
        <f>O40+'11'!P40</f>
        <v>0</v>
      </c>
      <c r="Q40" s="4">
        <f t="shared" si="4"/>
        <v>0</v>
      </c>
      <c r="R40" s="4">
        <f>Q40+'11'!R40</f>
        <v>705</v>
      </c>
      <c r="S40" s="27">
        <f t="shared" si="5"/>
        <v>0.86080586080586086</v>
      </c>
      <c r="T40" s="12"/>
      <c r="U40" s="12">
        <f>T40+'11'!U40</f>
        <v>76</v>
      </c>
      <c r="V40" s="12"/>
      <c r="W40" s="12">
        <f>V40+'11'!W40</f>
        <v>26</v>
      </c>
      <c r="X40" s="12"/>
      <c r="Y40" s="12">
        <f>X40+'11'!Y40</f>
        <v>0</v>
      </c>
      <c r="AB40" s="5">
        <v>30</v>
      </c>
      <c r="AC40" s="26" t="str">
        <f>'11'!AC40</f>
        <v>كفر زين الدين</v>
      </c>
      <c r="AD40" s="28">
        <f>'11'!AI40</f>
        <v>9</v>
      </c>
      <c r="AE40" s="3"/>
      <c r="AF40" s="28">
        <f>AE40+'11'!AF40</f>
        <v>80</v>
      </c>
      <c r="AG40" s="4"/>
      <c r="AH40" s="28">
        <f>AG40+'11'!AH40</f>
        <v>71</v>
      </c>
      <c r="AI40" s="4">
        <f t="shared" si="6"/>
        <v>9</v>
      </c>
      <c r="AJ40" s="11" t="e">
        <f t="shared" si="0"/>
        <v>#DIV/0!</v>
      </c>
      <c r="AK40" s="53">
        <f t="shared" si="1"/>
        <v>9.929577464788732</v>
      </c>
      <c r="AW40" s="26" t="str">
        <f>'11'!AW40</f>
        <v>كفر زين الدين</v>
      </c>
      <c r="AX40" s="12">
        <f>'11'!AX40</f>
        <v>1</v>
      </c>
      <c r="AY40" s="12">
        <f>'11'!AY40</f>
        <v>563</v>
      </c>
      <c r="AZ40" s="12"/>
      <c r="BA40" s="12"/>
      <c r="BB40" s="12">
        <f>BA40+'11'!BB40</f>
        <v>364</v>
      </c>
      <c r="BC40" s="30">
        <f t="shared" si="2"/>
        <v>0.64653641207815271</v>
      </c>
      <c r="BD40" s="12">
        <f>'11'!BD40</f>
        <v>2</v>
      </c>
      <c r="BE40" s="12">
        <f>'11'!BE40</f>
        <v>87</v>
      </c>
      <c r="BF40" s="12"/>
      <c r="BG40" s="12"/>
      <c r="BH40" s="12">
        <f>BG40+'11'!BH40</f>
        <v>166</v>
      </c>
      <c r="BI40" s="30">
        <f t="shared" si="3"/>
        <v>1.9080459770114941</v>
      </c>
    </row>
    <row r="41" spans="1:61" ht="28.9" customHeight="1" x14ac:dyDescent="0.35">
      <c r="A41" s="5">
        <v>31</v>
      </c>
      <c r="B41" s="26" t="str">
        <f>'11'!B41</f>
        <v>عزبــة أبوالنصر</v>
      </c>
      <c r="C41" s="26">
        <f>'11'!C41</f>
        <v>410</v>
      </c>
      <c r="D41" s="26"/>
      <c r="E41" s="12"/>
      <c r="F41" s="2">
        <f>E41+'11'!F41</f>
        <v>10</v>
      </c>
      <c r="G41" s="2"/>
      <c r="H41" s="2">
        <f>G41+'11'!H41</f>
        <v>229</v>
      </c>
      <c r="I41" s="2"/>
      <c r="J41" s="2">
        <f>I41+'11'!J41</f>
        <v>120</v>
      </c>
      <c r="K41" s="2"/>
      <c r="L41" s="2">
        <f>K41+'11'!L41</f>
        <v>0</v>
      </c>
      <c r="M41" s="2"/>
      <c r="N41" s="2">
        <f>M41+'11'!N41</f>
        <v>0</v>
      </c>
      <c r="O41" s="2"/>
      <c r="P41" s="2">
        <f>O41+'11'!P41</f>
        <v>0</v>
      </c>
      <c r="Q41" s="4">
        <f t="shared" si="4"/>
        <v>0</v>
      </c>
      <c r="R41" s="4">
        <f>Q41+'11'!R41</f>
        <v>359</v>
      </c>
      <c r="S41" s="27">
        <f t="shared" si="5"/>
        <v>0.87560975609756098</v>
      </c>
      <c r="T41" s="12"/>
      <c r="U41" s="12">
        <f>T41+'11'!U41</f>
        <v>0</v>
      </c>
      <c r="V41" s="12"/>
      <c r="W41" s="12">
        <f>V41+'11'!W41</f>
        <v>0</v>
      </c>
      <c r="X41" s="12"/>
      <c r="Y41" s="12">
        <f>X41+'11'!Y41</f>
        <v>0</v>
      </c>
      <c r="AB41" s="5">
        <v>31</v>
      </c>
      <c r="AC41" s="26" t="str">
        <f>'11'!AC41</f>
        <v>عزبــة أبوالنصر</v>
      </c>
      <c r="AD41" s="28">
        <f>'11'!AI41</f>
        <v>4</v>
      </c>
      <c r="AE41" s="3"/>
      <c r="AF41" s="28">
        <f>AE41+'11'!AF41</f>
        <v>41</v>
      </c>
      <c r="AG41" s="4"/>
      <c r="AH41" s="28">
        <f>AG41+'11'!AH41</f>
        <v>37</v>
      </c>
      <c r="AI41" s="4">
        <f t="shared" si="6"/>
        <v>4</v>
      </c>
      <c r="AJ41" s="11" t="e">
        <f t="shared" si="0"/>
        <v>#DIV/0!</v>
      </c>
      <c r="AK41" s="53">
        <f t="shared" si="1"/>
        <v>9.7027027027027035</v>
      </c>
      <c r="AW41" s="26" t="str">
        <f>'11'!AW41</f>
        <v>عزبــة أبوالنصر</v>
      </c>
      <c r="AX41" s="12">
        <f>'11'!AX41</f>
        <v>2</v>
      </c>
      <c r="AY41" s="12">
        <f>'11'!AY41</f>
        <v>70</v>
      </c>
      <c r="AZ41" s="12"/>
      <c r="BA41" s="12"/>
      <c r="BB41" s="12">
        <f>BA41+'11'!BB41</f>
        <v>65</v>
      </c>
      <c r="BC41" s="30">
        <f t="shared" si="2"/>
        <v>0.9285714285714286</v>
      </c>
      <c r="BD41" s="12">
        <f>'11'!BD41</f>
        <v>3</v>
      </c>
      <c r="BE41" s="12">
        <f>'11'!BE41</f>
        <v>75</v>
      </c>
      <c r="BF41" s="12"/>
      <c r="BG41" s="12"/>
      <c r="BH41" s="12">
        <f>BG41+'11'!BH41</f>
        <v>36</v>
      </c>
      <c r="BI41" s="30">
        <f t="shared" si="3"/>
        <v>0.48</v>
      </c>
    </row>
    <row r="42" spans="1:61" ht="28.9" customHeight="1" x14ac:dyDescent="0.35">
      <c r="A42" s="5">
        <v>32</v>
      </c>
      <c r="B42" s="26" t="str">
        <f>'11'!B42</f>
        <v>شمنديــــــــــــــل</v>
      </c>
      <c r="C42" s="26">
        <f>'11'!C42</f>
        <v>880</v>
      </c>
      <c r="D42" s="26"/>
      <c r="E42" s="12"/>
      <c r="F42" s="2">
        <f>E42+'11'!F42</f>
        <v>7</v>
      </c>
      <c r="G42" s="2"/>
      <c r="H42" s="2">
        <f>G42+'11'!H42</f>
        <v>219</v>
      </c>
      <c r="I42" s="2"/>
      <c r="J42" s="2">
        <f>I42+'11'!J42</f>
        <v>421</v>
      </c>
      <c r="K42" s="2"/>
      <c r="L42" s="2">
        <f>K42+'11'!L42</f>
        <v>0</v>
      </c>
      <c r="M42" s="2"/>
      <c r="N42" s="2">
        <f>M42+'11'!N42</f>
        <v>0</v>
      </c>
      <c r="O42" s="2"/>
      <c r="P42" s="2">
        <f>O42+'11'!P42</f>
        <v>0</v>
      </c>
      <c r="Q42" s="4">
        <f t="shared" si="4"/>
        <v>0</v>
      </c>
      <c r="R42" s="4">
        <f>Q42+'11'!R42</f>
        <v>647</v>
      </c>
      <c r="S42" s="27">
        <f t="shared" si="5"/>
        <v>0.73522727272727273</v>
      </c>
      <c r="T42" s="12"/>
      <c r="U42" s="12">
        <f>T42+'11'!U42</f>
        <v>69</v>
      </c>
      <c r="V42" s="12"/>
      <c r="W42" s="12">
        <f>V42+'11'!W42</f>
        <v>11</v>
      </c>
      <c r="X42" s="12"/>
      <c r="Y42" s="12">
        <f>X42+'11'!Y42</f>
        <v>0</v>
      </c>
      <c r="AB42" s="5">
        <v>32</v>
      </c>
      <c r="AC42" s="26" t="str">
        <f>'11'!AC42</f>
        <v>شمنديــــــــــــــل</v>
      </c>
      <c r="AD42" s="28">
        <f>'11'!AI42</f>
        <v>9</v>
      </c>
      <c r="AE42" s="3"/>
      <c r="AF42" s="28">
        <f>AE42+'11'!AF42</f>
        <v>78</v>
      </c>
      <c r="AG42" s="4"/>
      <c r="AH42" s="28">
        <f>AG42+'11'!AH42</f>
        <v>69</v>
      </c>
      <c r="AI42" s="4">
        <f t="shared" si="6"/>
        <v>9</v>
      </c>
      <c r="AJ42" s="11" t="e">
        <f t="shared" si="0"/>
        <v>#DIV/0!</v>
      </c>
      <c r="AK42" s="53">
        <f t="shared" si="1"/>
        <v>9.3768115942028984</v>
      </c>
      <c r="AW42" s="26" t="str">
        <f>'11'!AW42</f>
        <v>شمنديــــــــــــــل</v>
      </c>
      <c r="AX42" s="12">
        <f>'11'!AX42</f>
        <v>2</v>
      </c>
      <c r="AY42" s="12">
        <f>'11'!AY42</f>
        <v>569</v>
      </c>
      <c r="AZ42" s="12"/>
      <c r="BA42" s="12"/>
      <c r="BB42" s="12">
        <f>BA42+'11'!BB42</f>
        <v>453</v>
      </c>
      <c r="BC42" s="30">
        <f t="shared" si="2"/>
        <v>0.79613356766256593</v>
      </c>
      <c r="BD42" s="12">
        <f>'11'!BD42</f>
        <v>1</v>
      </c>
      <c r="BE42" s="12">
        <f>'11'!BE42</f>
        <v>39</v>
      </c>
      <c r="BF42" s="12"/>
      <c r="BG42" s="12"/>
      <c r="BH42" s="12">
        <f>BG42+'11'!BH42</f>
        <v>82</v>
      </c>
      <c r="BI42" s="30">
        <f t="shared" si="3"/>
        <v>2.1025641025641026</v>
      </c>
    </row>
    <row r="43" spans="1:61" ht="28.9" customHeight="1" x14ac:dyDescent="0.35">
      <c r="A43" s="5">
        <v>33</v>
      </c>
      <c r="B43" s="26" t="str">
        <f>'11'!B43</f>
        <v>كفور الرمل</v>
      </c>
      <c r="C43" s="26">
        <f>'11'!C43</f>
        <v>1721</v>
      </c>
      <c r="D43" s="26"/>
      <c r="E43" s="12"/>
      <c r="F43" s="2">
        <f>E43+'11'!F43</f>
        <v>17</v>
      </c>
      <c r="G43" s="2"/>
      <c r="H43" s="2">
        <f>G43+'11'!H43</f>
        <v>505</v>
      </c>
      <c r="I43" s="2"/>
      <c r="J43" s="2">
        <f>I43+'11'!J43</f>
        <v>718</v>
      </c>
      <c r="K43" s="2"/>
      <c r="L43" s="2">
        <f>K43+'11'!L43</f>
        <v>0</v>
      </c>
      <c r="M43" s="2"/>
      <c r="N43" s="2">
        <f>M43+'11'!N43</f>
        <v>0</v>
      </c>
      <c r="O43" s="2"/>
      <c r="P43" s="2">
        <f>O43+'11'!P43</f>
        <v>0</v>
      </c>
      <c r="Q43" s="4">
        <f t="shared" si="4"/>
        <v>0</v>
      </c>
      <c r="R43" s="4">
        <f>Q43+'11'!R43</f>
        <v>1240</v>
      </c>
      <c r="S43" s="27">
        <f t="shared" si="5"/>
        <v>0.72051133062173156</v>
      </c>
      <c r="T43" s="12"/>
      <c r="U43" s="12">
        <f>T43+'11'!U43</f>
        <v>192</v>
      </c>
      <c r="V43" s="12"/>
      <c r="W43" s="12">
        <f>V43+'11'!W43</f>
        <v>100</v>
      </c>
      <c r="X43" s="12"/>
      <c r="Y43" s="12">
        <f>X43+'11'!Y43</f>
        <v>0</v>
      </c>
      <c r="AB43" s="5">
        <v>33</v>
      </c>
      <c r="AC43" s="26" t="str">
        <f>'11'!AC43</f>
        <v>كفور الرمل</v>
      </c>
      <c r="AD43" s="28">
        <f>'11'!AI43</f>
        <v>15</v>
      </c>
      <c r="AE43" s="3"/>
      <c r="AF43" s="28">
        <f>AE43+'11'!AF43</f>
        <v>150</v>
      </c>
      <c r="AG43" s="4"/>
      <c r="AH43" s="28">
        <f>AG43+'11'!AH43</f>
        <v>135</v>
      </c>
      <c r="AI43" s="4">
        <f t="shared" si="6"/>
        <v>15</v>
      </c>
      <c r="AJ43" s="11" t="e">
        <f t="shared" si="0"/>
        <v>#DIV/0!</v>
      </c>
      <c r="AK43" s="53">
        <f t="shared" si="1"/>
        <v>9.1851851851851851</v>
      </c>
      <c r="AW43" s="26" t="str">
        <f>'11'!AW43</f>
        <v>كفور الرمل</v>
      </c>
      <c r="AX43" s="12">
        <f>'11'!AX43</f>
        <v>4</v>
      </c>
      <c r="AY43" s="12">
        <f>'11'!AY43</f>
        <v>1335</v>
      </c>
      <c r="AZ43" s="12"/>
      <c r="BA43" s="12"/>
      <c r="BB43" s="12">
        <f>BA43+'11'!BB43</f>
        <v>918</v>
      </c>
      <c r="BC43" s="30">
        <f t="shared" si="2"/>
        <v>0.68764044943820224</v>
      </c>
      <c r="BD43" s="12">
        <f>'11'!BD43</f>
        <v>7</v>
      </c>
      <c r="BE43" s="12">
        <f>'11'!BE43</f>
        <v>753</v>
      </c>
      <c r="BF43" s="12"/>
      <c r="BG43" s="12"/>
      <c r="BH43" s="12">
        <f>BG43+'11'!BH43</f>
        <v>414</v>
      </c>
      <c r="BI43" s="30">
        <f t="shared" si="3"/>
        <v>0.54980079681274896</v>
      </c>
    </row>
    <row r="44" spans="1:61" ht="28.9" customHeight="1" x14ac:dyDescent="0.35">
      <c r="A44" s="5">
        <v>34</v>
      </c>
      <c r="B44" s="26" t="str">
        <f>'11'!B44</f>
        <v>منشأة أم خنان</v>
      </c>
      <c r="C44" s="26">
        <f>'11'!C44</f>
        <v>510</v>
      </c>
      <c r="D44" s="26"/>
      <c r="E44" s="12"/>
      <c r="F44" s="2">
        <f>E44+'11'!F44</f>
        <v>12</v>
      </c>
      <c r="G44" s="2"/>
      <c r="H44" s="2">
        <f>G44+'11'!H44</f>
        <v>194</v>
      </c>
      <c r="I44" s="2"/>
      <c r="J44" s="2">
        <f>I44+'11'!J44</f>
        <v>291</v>
      </c>
      <c r="K44" s="2"/>
      <c r="L44" s="2">
        <f>K44+'11'!L44</f>
        <v>0</v>
      </c>
      <c r="M44" s="2"/>
      <c r="N44" s="2">
        <f>M44+'11'!N44</f>
        <v>0</v>
      </c>
      <c r="O44" s="2"/>
      <c r="P44" s="2">
        <f>O44+'11'!P44</f>
        <v>0</v>
      </c>
      <c r="Q44" s="4">
        <f t="shared" si="4"/>
        <v>0</v>
      </c>
      <c r="R44" s="4">
        <f>Q44+'11'!R44</f>
        <v>497</v>
      </c>
      <c r="S44" s="27">
        <f t="shared" si="5"/>
        <v>0.97450980392156861</v>
      </c>
      <c r="T44" s="12"/>
      <c r="U44" s="12">
        <f>T44+'11'!U44</f>
        <v>11</v>
      </c>
      <c r="V44" s="12"/>
      <c r="W44" s="12">
        <f>V44+'11'!W44</f>
        <v>7</v>
      </c>
      <c r="X44" s="12"/>
      <c r="Y44" s="12">
        <f>X44+'11'!Y44</f>
        <v>0</v>
      </c>
      <c r="AB44" s="5">
        <v>34</v>
      </c>
      <c r="AC44" s="26" t="str">
        <f>'11'!AC44</f>
        <v>منشأة أم خنان</v>
      </c>
      <c r="AD44" s="28">
        <f>'11'!AI44</f>
        <v>4</v>
      </c>
      <c r="AE44" s="3"/>
      <c r="AF44" s="28">
        <f>AE44+'11'!AF44</f>
        <v>55</v>
      </c>
      <c r="AG44" s="4"/>
      <c r="AH44" s="28">
        <f>AG44+'11'!AH44</f>
        <v>51</v>
      </c>
      <c r="AI44" s="4">
        <f t="shared" si="6"/>
        <v>4</v>
      </c>
      <c r="AJ44" s="11" t="e">
        <f t="shared" si="0"/>
        <v>#DIV/0!</v>
      </c>
      <c r="AK44" s="53">
        <f t="shared" si="1"/>
        <v>9.7450980392156854</v>
      </c>
      <c r="AW44" s="26" t="str">
        <f>'11'!AW44</f>
        <v>منشأة أم خنان</v>
      </c>
      <c r="AX44" s="12">
        <f>'11'!AX44</f>
        <v>1</v>
      </c>
      <c r="AY44" s="12">
        <f>'11'!AY44</f>
        <v>277</v>
      </c>
      <c r="AZ44" s="12"/>
      <c r="BA44" s="12"/>
      <c r="BB44" s="12">
        <f>BA44+'11'!BB44</f>
        <v>269</v>
      </c>
      <c r="BC44" s="30">
        <f t="shared" si="2"/>
        <v>0.97111913357400725</v>
      </c>
      <c r="BD44" s="12">
        <f>'11'!BD44</f>
        <v>3</v>
      </c>
      <c r="BE44" s="12">
        <f>'11'!BE44</f>
        <v>170</v>
      </c>
      <c r="BF44" s="12"/>
      <c r="BG44" s="12"/>
      <c r="BH44" s="12">
        <f>BG44+'11'!BH44</f>
        <v>115</v>
      </c>
      <c r="BI44" s="30">
        <f t="shared" si="3"/>
        <v>0.67647058823529416</v>
      </c>
    </row>
    <row r="45" spans="1:61" ht="28.9" customHeight="1" x14ac:dyDescent="0.35">
      <c r="A45" s="5">
        <v>35</v>
      </c>
      <c r="B45" s="26">
        <f>'11'!B45</f>
        <v>0</v>
      </c>
      <c r="C45" s="26">
        <f>'11'!C45</f>
        <v>0</v>
      </c>
      <c r="D45" s="26"/>
      <c r="E45" s="12"/>
      <c r="F45" s="2">
        <f>E45+'11'!F45</f>
        <v>0</v>
      </c>
      <c r="G45" s="2"/>
      <c r="H45" s="2">
        <f>G45+'11'!H45</f>
        <v>0</v>
      </c>
      <c r="I45" s="2"/>
      <c r="J45" s="2">
        <f>I45+'11'!J45</f>
        <v>0</v>
      </c>
      <c r="K45" s="2"/>
      <c r="L45" s="2">
        <f>K45+'11'!L45</f>
        <v>0</v>
      </c>
      <c r="M45" s="2"/>
      <c r="N45" s="2">
        <f>M45+'11'!N45</f>
        <v>0</v>
      </c>
      <c r="O45" s="2"/>
      <c r="P45" s="2">
        <f>O45+'11'!P45</f>
        <v>0</v>
      </c>
      <c r="Q45" s="4">
        <f t="shared" si="4"/>
        <v>0</v>
      </c>
      <c r="R45" s="4">
        <f>Q45+'11'!R45</f>
        <v>0</v>
      </c>
      <c r="S45" s="27" t="e">
        <f t="shared" si="5"/>
        <v>#DIV/0!</v>
      </c>
      <c r="T45" s="12"/>
      <c r="U45" s="12">
        <f>T45+'11'!U45</f>
        <v>0</v>
      </c>
      <c r="V45" s="12"/>
      <c r="W45" s="12">
        <f>V45+'11'!W45</f>
        <v>0</v>
      </c>
      <c r="X45" s="12"/>
      <c r="Y45" s="12">
        <f>X45+'11'!Y45</f>
        <v>0</v>
      </c>
      <c r="AB45" s="5">
        <v>35</v>
      </c>
      <c r="AC45" s="26">
        <f>'11'!AC45</f>
        <v>0</v>
      </c>
      <c r="AD45" s="28">
        <f>'11'!AI45</f>
        <v>0</v>
      </c>
      <c r="AE45" s="3"/>
      <c r="AF45" s="28">
        <f>AE45+'11'!AF45</f>
        <v>0</v>
      </c>
      <c r="AG45" s="4"/>
      <c r="AH45" s="28">
        <f>AG45+'11'!AH45</f>
        <v>0</v>
      </c>
      <c r="AI45" s="4">
        <f t="shared" si="6"/>
        <v>0</v>
      </c>
      <c r="AJ45" s="11" t="e">
        <f t="shared" si="0"/>
        <v>#DIV/0!</v>
      </c>
      <c r="AK45" s="53" t="e">
        <f t="shared" si="1"/>
        <v>#DIV/0!</v>
      </c>
      <c r="AW45" s="26">
        <f>'11'!AW45</f>
        <v>0</v>
      </c>
      <c r="AX45" s="12">
        <f>'11'!AX45</f>
        <v>0</v>
      </c>
      <c r="AY45" s="12">
        <f>'11'!AY45</f>
        <v>0</v>
      </c>
      <c r="AZ45" s="12"/>
      <c r="BA45" s="12"/>
      <c r="BB45" s="12">
        <f>BA45+'11'!BB45</f>
        <v>0</v>
      </c>
      <c r="BC45" s="30" t="e">
        <f t="shared" si="2"/>
        <v>#DIV/0!</v>
      </c>
      <c r="BD45" s="12">
        <f>'11'!BD45</f>
        <v>0</v>
      </c>
      <c r="BE45" s="12">
        <f>'11'!BE45</f>
        <v>0</v>
      </c>
      <c r="BF45" s="12"/>
      <c r="BG45" s="12"/>
      <c r="BH45" s="12">
        <f>BG45+'11'!BH45</f>
        <v>0</v>
      </c>
      <c r="BI45" s="30" t="e">
        <f t="shared" si="3"/>
        <v>#DIV/0!</v>
      </c>
    </row>
    <row r="46" spans="1:61" ht="28.9" customHeight="1" x14ac:dyDescent="0.35">
      <c r="A46" s="5">
        <v>36</v>
      </c>
      <c r="B46" s="26">
        <f>'11'!B46</f>
        <v>0</v>
      </c>
      <c r="C46" s="26">
        <f>'11'!C46</f>
        <v>0</v>
      </c>
      <c r="D46" s="26"/>
      <c r="E46" s="12"/>
      <c r="F46" s="2">
        <f>E46+'11'!F46</f>
        <v>0</v>
      </c>
      <c r="G46" s="2"/>
      <c r="H46" s="2">
        <f>G46+'11'!H46</f>
        <v>0</v>
      </c>
      <c r="I46" s="2"/>
      <c r="J46" s="2">
        <f>I46+'11'!J46</f>
        <v>0</v>
      </c>
      <c r="K46" s="2"/>
      <c r="L46" s="2">
        <f>K46+'11'!L46</f>
        <v>0</v>
      </c>
      <c r="M46" s="2"/>
      <c r="N46" s="2">
        <f>M46+'11'!N46</f>
        <v>0</v>
      </c>
      <c r="O46" s="2"/>
      <c r="P46" s="2">
        <f>O46+'11'!P46</f>
        <v>0</v>
      </c>
      <c r="Q46" s="4">
        <f t="shared" si="4"/>
        <v>0</v>
      </c>
      <c r="R46" s="4">
        <f>Q46+'11'!R46</f>
        <v>0</v>
      </c>
      <c r="S46" s="27" t="e">
        <f t="shared" si="5"/>
        <v>#DIV/0!</v>
      </c>
      <c r="T46" s="12"/>
      <c r="U46" s="12">
        <f>T46+'11'!U46</f>
        <v>0</v>
      </c>
      <c r="V46" s="12"/>
      <c r="W46" s="12">
        <f>V46+'11'!W46</f>
        <v>0</v>
      </c>
      <c r="X46" s="12"/>
      <c r="Y46" s="12">
        <f>X46+'11'!Y46</f>
        <v>0</v>
      </c>
      <c r="AB46" s="5">
        <v>36</v>
      </c>
      <c r="AC46" s="26">
        <f>'11'!AC46</f>
        <v>0</v>
      </c>
      <c r="AD46" s="28">
        <f>'11'!AI46</f>
        <v>0</v>
      </c>
      <c r="AE46" s="3"/>
      <c r="AF46" s="28">
        <f>AE46+'11'!AF46</f>
        <v>0</v>
      </c>
      <c r="AG46" s="4"/>
      <c r="AH46" s="28">
        <f>AG46+'11'!AH46</f>
        <v>0</v>
      </c>
      <c r="AI46" s="4">
        <f t="shared" si="6"/>
        <v>0</v>
      </c>
      <c r="AJ46" s="11" t="e">
        <f t="shared" si="0"/>
        <v>#DIV/0!</v>
      </c>
      <c r="AK46" s="53" t="e">
        <f t="shared" si="1"/>
        <v>#DIV/0!</v>
      </c>
      <c r="AW46" s="26">
        <f>'11'!AW46</f>
        <v>0</v>
      </c>
      <c r="AX46" s="12">
        <f>'11'!AX46</f>
        <v>0</v>
      </c>
      <c r="AY46" s="12">
        <f>'11'!AY46</f>
        <v>0</v>
      </c>
      <c r="AZ46" s="12"/>
      <c r="BA46" s="12"/>
      <c r="BB46" s="12">
        <f>BA46+'11'!BB46</f>
        <v>0</v>
      </c>
      <c r="BC46" s="30" t="e">
        <f t="shared" si="2"/>
        <v>#DIV/0!</v>
      </c>
      <c r="BD46" s="12">
        <f>'11'!BD46</f>
        <v>0</v>
      </c>
      <c r="BE46" s="12">
        <f>'11'!BE46</f>
        <v>0</v>
      </c>
      <c r="BF46" s="12"/>
      <c r="BG46" s="12"/>
      <c r="BH46" s="12">
        <f>BG46+'11'!BH46</f>
        <v>0</v>
      </c>
      <c r="BI46" s="30" t="e">
        <f t="shared" si="3"/>
        <v>#DIV/0!</v>
      </c>
    </row>
    <row r="47" spans="1:61" ht="28.9" customHeight="1" x14ac:dyDescent="0.35">
      <c r="A47" s="5">
        <v>37</v>
      </c>
      <c r="B47" s="26">
        <f>'11'!B47</f>
        <v>0</v>
      </c>
      <c r="C47" s="26">
        <f>'11'!C47</f>
        <v>0</v>
      </c>
      <c r="D47" s="26"/>
      <c r="E47" s="12"/>
      <c r="F47" s="2">
        <f>E47+'11'!F47</f>
        <v>0</v>
      </c>
      <c r="G47" s="2"/>
      <c r="H47" s="2">
        <f>G47+'11'!H47</f>
        <v>0</v>
      </c>
      <c r="I47" s="2"/>
      <c r="J47" s="2">
        <f>I47+'11'!J47</f>
        <v>0</v>
      </c>
      <c r="K47" s="2"/>
      <c r="L47" s="2">
        <f>K47+'11'!L47</f>
        <v>0</v>
      </c>
      <c r="M47" s="2"/>
      <c r="N47" s="2">
        <f>M47+'11'!N47</f>
        <v>0</v>
      </c>
      <c r="O47" s="2"/>
      <c r="P47" s="2">
        <f>O47+'11'!P47</f>
        <v>0</v>
      </c>
      <c r="Q47" s="4">
        <f t="shared" si="4"/>
        <v>0</v>
      </c>
      <c r="R47" s="4">
        <f>Q47+'11'!R47</f>
        <v>0</v>
      </c>
      <c r="S47" s="27" t="e">
        <f t="shared" si="5"/>
        <v>#DIV/0!</v>
      </c>
      <c r="T47" s="12"/>
      <c r="U47" s="12">
        <f>T47+'11'!U47</f>
        <v>0</v>
      </c>
      <c r="V47" s="12"/>
      <c r="W47" s="12">
        <f>V47+'11'!W47</f>
        <v>0</v>
      </c>
      <c r="X47" s="12"/>
      <c r="Y47" s="12">
        <f>X47+'11'!Y47</f>
        <v>0</v>
      </c>
      <c r="AB47" s="5">
        <v>37</v>
      </c>
      <c r="AC47" s="26">
        <f>'11'!AC47</f>
        <v>0</v>
      </c>
      <c r="AD47" s="28">
        <f>'11'!AI47</f>
        <v>0</v>
      </c>
      <c r="AE47" s="3"/>
      <c r="AF47" s="28">
        <f>AE47+'11'!AF47</f>
        <v>0</v>
      </c>
      <c r="AG47" s="4"/>
      <c r="AH47" s="28">
        <f>AG47+'11'!AH47</f>
        <v>0</v>
      </c>
      <c r="AI47" s="4">
        <f t="shared" si="6"/>
        <v>0</v>
      </c>
      <c r="AJ47" s="11" t="e">
        <f t="shared" si="0"/>
        <v>#DIV/0!</v>
      </c>
      <c r="AK47" s="53" t="e">
        <f t="shared" si="1"/>
        <v>#DIV/0!</v>
      </c>
      <c r="AW47" s="26">
        <f>'11'!AW47</f>
        <v>0</v>
      </c>
      <c r="AX47" s="12">
        <f>'11'!AX47</f>
        <v>0</v>
      </c>
      <c r="AY47" s="12">
        <f>'11'!AY47</f>
        <v>0</v>
      </c>
      <c r="AZ47" s="12"/>
      <c r="BA47" s="12"/>
      <c r="BB47" s="12">
        <f>BA47+'11'!BB47</f>
        <v>0</v>
      </c>
      <c r="BC47" s="30" t="e">
        <f t="shared" si="2"/>
        <v>#DIV/0!</v>
      </c>
      <c r="BD47" s="12">
        <f>'11'!BD47</f>
        <v>0</v>
      </c>
      <c r="BE47" s="12">
        <f>'11'!BE47</f>
        <v>0</v>
      </c>
      <c r="BF47" s="12"/>
      <c r="BG47" s="12"/>
      <c r="BH47" s="12">
        <f>BG47+'11'!BH47</f>
        <v>0</v>
      </c>
      <c r="BI47" s="30" t="e">
        <f t="shared" si="3"/>
        <v>#DIV/0!</v>
      </c>
    </row>
    <row r="48" spans="1:61" ht="28.9" customHeight="1" x14ac:dyDescent="0.35">
      <c r="A48" s="5">
        <v>38</v>
      </c>
      <c r="B48" s="26">
        <f>'11'!B48</f>
        <v>0</v>
      </c>
      <c r="C48" s="26">
        <f>'11'!C48</f>
        <v>0</v>
      </c>
      <c r="D48" s="26"/>
      <c r="E48" s="12"/>
      <c r="F48" s="2">
        <f>E48+'11'!F48</f>
        <v>0</v>
      </c>
      <c r="G48" s="2"/>
      <c r="H48" s="2">
        <f>G48+'11'!H48</f>
        <v>0</v>
      </c>
      <c r="I48" s="2"/>
      <c r="J48" s="2">
        <f>I48+'11'!J48</f>
        <v>0</v>
      </c>
      <c r="K48" s="2"/>
      <c r="L48" s="2">
        <f>K48+'11'!L48</f>
        <v>0</v>
      </c>
      <c r="M48" s="2"/>
      <c r="N48" s="2">
        <f>M48+'11'!N48</f>
        <v>0</v>
      </c>
      <c r="O48" s="2"/>
      <c r="P48" s="2">
        <f>O48+'11'!P48</f>
        <v>0</v>
      </c>
      <c r="Q48" s="4">
        <f t="shared" si="4"/>
        <v>0</v>
      </c>
      <c r="R48" s="4">
        <f>Q48+'11'!R48</f>
        <v>0</v>
      </c>
      <c r="S48" s="27" t="e">
        <f t="shared" si="5"/>
        <v>#DIV/0!</v>
      </c>
      <c r="T48" s="12"/>
      <c r="U48" s="12">
        <f>T48+'11'!U48</f>
        <v>0</v>
      </c>
      <c r="V48" s="12"/>
      <c r="W48" s="12">
        <f>V48+'11'!W48</f>
        <v>0</v>
      </c>
      <c r="X48" s="12"/>
      <c r="Y48" s="12">
        <f>X48+'11'!Y48</f>
        <v>0</v>
      </c>
      <c r="AB48" s="5">
        <v>38</v>
      </c>
      <c r="AC48" s="26">
        <f>'11'!AC48</f>
        <v>0</v>
      </c>
      <c r="AD48" s="28">
        <f>'11'!AI48</f>
        <v>0</v>
      </c>
      <c r="AE48" s="3"/>
      <c r="AF48" s="28">
        <f>AE48+'11'!AF48</f>
        <v>0</v>
      </c>
      <c r="AG48" s="4"/>
      <c r="AH48" s="28">
        <f>AG48+'11'!AH48</f>
        <v>0</v>
      </c>
      <c r="AI48" s="4">
        <f t="shared" si="6"/>
        <v>0</v>
      </c>
      <c r="AJ48" s="11" t="e">
        <f t="shared" si="0"/>
        <v>#DIV/0!</v>
      </c>
      <c r="AK48" s="53" t="e">
        <f t="shared" si="1"/>
        <v>#DIV/0!</v>
      </c>
      <c r="AW48" s="26">
        <f>'11'!AW48</f>
        <v>0</v>
      </c>
      <c r="AX48" s="12">
        <f>'11'!AX48</f>
        <v>0</v>
      </c>
      <c r="AY48" s="12">
        <f>'11'!AY48</f>
        <v>0</v>
      </c>
      <c r="AZ48" s="12"/>
      <c r="BA48" s="12"/>
      <c r="BB48" s="12">
        <f>BA48+'11'!BB48</f>
        <v>0</v>
      </c>
      <c r="BC48" s="30" t="e">
        <f t="shared" si="2"/>
        <v>#DIV/0!</v>
      </c>
      <c r="BD48" s="12">
        <f>'11'!BD48</f>
        <v>0</v>
      </c>
      <c r="BE48" s="12">
        <f>'11'!BE48</f>
        <v>0</v>
      </c>
      <c r="BF48" s="12"/>
      <c r="BG48" s="12"/>
      <c r="BH48" s="12">
        <f>BG48+'11'!BH48</f>
        <v>0</v>
      </c>
      <c r="BI48" s="30" t="e">
        <f t="shared" si="3"/>
        <v>#DIV/0!</v>
      </c>
    </row>
    <row r="49" spans="1:61" ht="28.9" customHeight="1" x14ac:dyDescent="0.35">
      <c r="A49" s="5">
        <v>39</v>
      </c>
      <c r="B49" s="26">
        <f>'11'!B49</f>
        <v>0</v>
      </c>
      <c r="C49" s="26">
        <f>'11'!C49</f>
        <v>0</v>
      </c>
      <c r="D49" s="26"/>
      <c r="E49" s="12"/>
      <c r="F49" s="2">
        <f>E49+'11'!F49</f>
        <v>0</v>
      </c>
      <c r="G49" s="2"/>
      <c r="H49" s="2">
        <f>G49+'11'!H49</f>
        <v>0</v>
      </c>
      <c r="I49" s="2"/>
      <c r="J49" s="2">
        <f>I49+'11'!J49</f>
        <v>0</v>
      </c>
      <c r="K49" s="2"/>
      <c r="L49" s="2">
        <f>K49+'11'!L49</f>
        <v>0</v>
      </c>
      <c r="M49" s="2"/>
      <c r="N49" s="2">
        <f>M49+'11'!N49</f>
        <v>0</v>
      </c>
      <c r="O49" s="2"/>
      <c r="P49" s="2">
        <f>O49+'11'!P49</f>
        <v>0</v>
      </c>
      <c r="Q49" s="4">
        <f t="shared" si="4"/>
        <v>0</v>
      </c>
      <c r="R49" s="4">
        <f>Q49+'11'!R49</f>
        <v>0</v>
      </c>
      <c r="S49" s="27" t="e">
        <f t="shared" si="5"/>
        <v>#DIV/0!</v>
      </c>
      <c r="T49" s="12"/>
      <c r="U49" s="12">
        <f>T49+'11'!U49</f>
        <v>0</v>
      </c>
      <c r="V49" s="12"/>
      <c r="W49" s="12">
        <f>V49+'11'!W49</f>
        <v>0</v>
      </c>
      <c r="X49" s="12"/>
      <c r="Y49" s="12">
        <f>X49+'11'!Y49</f>
        <v>0</v>
      </c>
      <c r="AB49" s="5">
        <v>39</v>
      </c>
      <c r="AC49" s="26">
        <f>'11'!AC49</f>
        <v>0</v>
      </c>
      <c r="AD49" s="28">
        <f>'11'!AI49</f>
        <v>0</v>
      </c>
      <c r="AE49" s="3"/>
      <c r="AF49" s="28">
        <f>AE49+'11'!AF49</f>
        <v>0</v>
      </c>
      <c r="AG49" s="4"/>
      <c r="AH49" s="28">
        <f>AG49+'11'!AH49</f>
        <v>0</v>
      </c>
      <c r="AI49" s="4">
        <f t="shared" si="6"/>
        <v>0</v>
      </c>
      <c r="AJ49" s="11" t="e">
        <f t="shared" si="0"/>
        <v>#DIV/0!</v>
      </c>
      <c r="AK49" s="53" t="e">
        <f t="shared" si="1"/>
        <v>#DIV/0!</v>
      </c>
      <c r="AW49" s="26">
        <f>'11'!AW49</f>
        <v>0</v>
      </c>
      <c r="AX49" s="12">
        <f>'11'!AX49</f>
        <v>0</v>
      </c>
      <c r="AY49" s="12">
        <f>'11'!AY49</f>
        <v>0</v>
      </c>
      <c r="AZ49" s="12"/>
      <c r="BA49" s="12"/>
      <c r="BB49" s="12">
        <f>BA49+'11'!BB49</f>
        <v>0</v>
      </c>
      <c r="BC49" s="30" t="e">
        <f t="shared" si="2"/>
        <v>#DIV/0!</v>
      </c>
      <c r="BD49" s="12">
        <f>'11'!BD49</f>
        <v>0</v>
      </c>
      <c r="BE49" s="12">
        <f>'11'!BE49</f>
        <v>0</v>
      </c>
      <c r="BF49" s="12"/>
      <c r="BG49" s="12"/>
      <c r="BH49" s="12">
        <f>BG49+'11'!BH49</f>
        <v>0</v>
      </c>
      <c r="BI49" s="30" t="e">
        <f t="shared" si="3"/>
        <v>#DIV/0!</v>
      </c>
    </row>
    <row r="50" spans="1:61" ht="28.9" customHeight="1" x14ac:dyDescent="0.35">
      <c r="A50" s="5">
        <v>40</v>
      </c>
      <c r="B50" s="26">
        <f>'11'!B50</f>
        <v>0</v>
      </c>
      <c r="C50" s="26">
        <f>'11'!C50</f>
        <v>0</v>
      </c>
      <c r="D50" s="26"/>
      <c r="E50" s="12"/>
      <c r="F50" s="2">
        <f>E50+'11'!F50</f>
        <v>0</v>
      </c>
      <c r="G50" s="2"/>
      <c r="H50" s="2">
        <f>G50+'11'!H50</f>
        <v>0</v>
      </c>
      <c r="I50" s="2"/>
      <c r="J50" s="2">
        <f>I50+'11'!J50</f>
        <v>0</v>
      </c>
      <c r="K50" s="2"/>
      <c r="L50" s="2">
        <f>K50+'11'!L50</f>
        <v>0</v>
      </c>
      <c r="M50" s="2"/>
      <c r="N50" s="2">
        <f>M50+'11'!N50</f>
        <v>0</v>
      </c>
      <c r="O50" s="2"/>
      <c r="P50" s="2">
        <f>O50+'11'!P50</f>
        <v>0</v>
      </c>
      <c r="Q50" s="4">
        <f t="shared" si="4"/>
        <v>0</v>
      </c>
      <c r="R50" s="4">
        <f>Q50+'11'!R50</f>
        <v>0</v>
      </c>
      <c r="S50" s="27" t="e">
        <f t="shared" si="5"/>
        <v>#DIV/0!</v>
      </c>
      <c r="T50" s="12"/>
      <c r="U50" s="12">
        <f>T50+'11'!U50</f>
        <v>0</v>
      </c>
      <c r="V50" s="12"/>
      <c r="W50" s="12">
        <f>V50+'11'!W50</f>
        <v>0</v>
      </c>
      <c r="X50" s="12"/>
      <c r="Y50" s="12">
        <f>X50+'11'!Y50</f>
        <v>0</v>
      </c>
      <c r="AB50" s="5">
        <v>40</v>
      </c>
      <c r="AC50" s="26">
        <f>'11'!AC50</f>
        <v>0</v>
      </c>
      <c r="AD50" s="28">
        <f>'11'!AI50</f>
        <v>0</v>
      </c>
      <c r="AE50" s="3"/>
      <c r="AF50" s="28">
        <f>AE50+'11'!AF50</f>
        <v>0</v>
      </c>
      <c r="AG50" s="4"/>
      <c r="AH50" s="28">
        <f>AG50+'11'!AH50</f>
        <v>0</v>
      </c>
      <c r="AI50" s="4">
        <f t="shared" si="6"/>
        <v>0</v>
      </c>
      <c r="AJ50" s="11" t="e">
        <f t="shared" si="0"/>
        <v>#DIV/0!</v>
      </c>
      <c r="AK50" s="53" t="e">
        <f t="shared" si="1"/>
        <v>#DIV/0!</v>
      </c>
      <c r="AW50" s="26">
        <f>'11'!AW50</f>
        <v>0</v>
      </c>
      <c r="AX50" s="12">
        <f>'11'!AX50</f>
        <v>0</v>
      </c>
      <c r="AY50" s="12">
        <f>'11'!AY50</f>
        <v>0</v>
      </c>
      <c r="AZ50" s="12"/>
      <c r="BA50" s="12"/>
      <c r="BB50" s="12">
        <f>BA50+'11'!BB50</f>
        <v>0</v>
      </c>
      <c r="BC50" s="30" t="e">
        <f t="shared" si="2"/>
        <v>#DIV/0!</v>
      </c>
      <c r="BD50" s="12">
        <f>'11'!BD50</f>
        <v>0</v>
      </c>
      <c r="BE50" s="12">
        <f>'11'!BE50</f>
        <v>0</v>
      </c>
      <c r="BF50" s="12"/>
      <c r="BG50" s="12"/>
      <c r="BH50" s="12">
        <f>BG50+'11'!BH50</f>
        <v>0</v>
      </c>
      <c r="BI50" s="30" t="e">
        <f t="shared" si="3"/>
        <v>#DIV/0!</v>
      </c>
    </row>
    <row r="51" spans="1:61" ht="25.5" thickBot="1" x14ac:dyDescent="0.4">
      <c r="A51" s="321" t="s">
        <v>26</v>
      </c>
      <c r="B51" s="321"/>
      <c r="C51" s="35">
        <f>SUM(C11:C50)</f>
        <v>97446</v>
      </c>
      <c r="D51" s="35">
        <f>SUM(D11:D50)</f>
        <v>0</v>
      </c>
      <c r="E51" s="6">
        <f>SUM(E11:E50)</f>
        <v>0</v>
      </c>
      <c r="F51" s="6">
        <f>SUM(F11:F50)</f>
        <v>533</v>
      </c>
      <c r="G51" s="6">
        <f t="shared" ref="G51:R51" si="8">SUM(G11:G50)</f>
        <v>0</v>
      </c>
      <c r="H51" s="6">
        <f t="shared" si="8"/>
        <v>14954</v>
      </c>
      <c r="I51" s="6">
        <f t="shared" si="8"/>
        <v>0</v>
      </c>
      <c r="J51" s="6">
        <f t="shared" si="8"/>
        <v>37926</v>
      </c>
      <c r="K51" s="6">
        <f t="shared" si="8"/>
        <v>0</v>
      </c>
      <c r="L51" s="6">
        <f t="shared" si="8"/>
        <v>0</v>
      </c>
      <c r="M51" s="6">
        <f t="shared" si="8"/>
        <v>0</v>
      </c>
      <c r="N51" s="6">
        <f t="shared" si="8"/>
        <v>0</v>
      </c>
      <c r="O51" s="6">
        <f t="shared" si="8"/>
        <v>0</v>
      </c>
      <c r="P51" s="6">
        <f t="shared" si="8"/>
        <v>0</v>
      </c>
      <c r="Q51" s="6">
        <f t="shared" si="8"/>
        <v>0</v>
      </c>
      <c r="R51" s="6">
        <f t="shared" si="8"/>
        <v>53413</v>
      </c>
      <c r="S51" s="10">
        <f>R51/C51</f>
        <v>0.54812922028610722</v>
      </c>
      <c r="T51" s="23">
        <f t="shared" ref="T51:Y51" si="9">SUM(T11:T50)</f>
        <v>0</v>
      </c>
      <c r="U51" s="23">
        <f t="shared" si="9"/>
        <v>7532</v>
      </c>
      <c r="V51" s="23">
        <f t="shared" si="9"/>
        <v>0</v>
      </c>
      <c r="W51" s="23">
        <f t="shared" si="9"/>
        <v>1107</v>
      </c>
      <c r="X51" s="23">
        <f t="shared" si="9"/>
        <v>0</v>
      </c>
      <c r="Y51" s="23">
        <f t="shared" si="9"/>
        <v>2</v>
      </c>
      <c r="AB51" s="37" t="s">
        <v>29</v>
      </c>
      <c r="AC51" s="37"/>
      <c r="AD51" s="34">
        <f t="shared" ref="AD51:AI51" si="10">SUM(AD11:AD50)</f>
        <v>3133</v>
      </c>
      <c r="AE51" s="23">
        <f t="shared" si="10"/>
        <v>0</v>
      </c>
      <c r="AF51" s="14">
        <f t="shared" si="10"/>
        <v>8632</v>
      </c>
      <c r="AG51" s="14">
        <f t="shared" si="10"/>
        <v>0</v>
      </c>
      <c r="AH51" s="14">
        <f t="shared" si="10"/>
        <v>5499</v>
      </c>
      <c r="AI51" s="14">
        <f t="shared" si="10"/>
        <v>3133</v>
      </c>
      <c r="AJ51" s="11" t="e">
        <f t="shared" si="0"/>
        <v>#DIV/0!</v>
      </c>
      <c r="AK51" s="53">
        <f t="shared" si="1"/>
        <v>9.713220585561011</v>
      </c>
      <c r="AW51" s="33" t="s">
        <v>26</v>
      </c>
      <c r="AX51" s="13">
        <f>SUM(AX11:AX50)</f>
        <v>121</v>
      </c>
      <c r="AY51" s="13">
        <f>SUM(AY11:AY50)</f>
        <v>50910</v>
      </c>
      <c r="AZ51" s="13">
        <f>SUM(AZ11:AZ50)</f>
        <v>0</v>
      </c>
      <c r="BA51" s="13">
        <f>SUM(BA11:BA50)</f>
        <v>0</v>
      </c>
      <c r="BB51" s="13">
        <f>SUM(BB11:BB50)</f>
        <v>39924</v>
      </c>
      <c r="BC51" s="31">
        <f t="shared" si="2"/>
        <v>0.78420742486741313</v>
      </c>
      <c r="BD51" s="32">
        <f>SUM(BD11:BD50)</f>
        <v>241</v>
      </c>
      <c r="BE51" s="32">
        <f>SUM(BE11:BE50)</f>
        <v>14990</v>
      </c>
      <c r="BF51" s="32">
        <f>SUM(BF11:BF50)</f>
        <v>0</v>
      </c>
      <c r="BG51" s="32">
        <f>SUM(BG11:BG50)</f>
        <v>0</v>
      </c>
      <c r="BH51" s="32">
        <f>SUM(BH11:BH50)</f>
        <v>9274</v>
      </c>
      <c r="BI51" s="31">
        <f t="shared" si="3"/>
        <v>0.61867911941294196</v>
      </c>
    </row>
    <row r="52" spans="1:61" ht="17.5" x14ac:dyDescent="0.35">
      <c r="AB52" s="36"/>
      <c r="AC52" s="36"/>
      <c r="AD52" s="36"/>
      <c r="AE52" s="36"/>
      <c r="AF52" s="40"/>
      <c r="AG52" s="40"/>
      <c r="AH52" s="40"/>
      <c r="AI52" s="41"/>
      <c r="AJ52" s="15"/>
      <c r="AK52" s="15"/>
    </row>
    <row r="54" spans="1:61" ht="18.5" x14ac:dyDescent="0.45">
      <c r="G54" s="322" t="s">
        <v>36</v>
      </c>
      <c r="H54" s="322"/>
      <c r="I54" s="322"/>
      <c r="J54" s="322"/>
      <c r="K54" s="322"/>
      <c r="L54" s="322"/>
      <c r="M54" s="322"/>
      <c r="N54" s="322"/>
      <c r="O54" s="322"/>
      <c r="P54" s="322"/>
      <c r="Q54" s="322"/>
      <c r="R54" s="322"/>
      <c r="S54" s="322"/>
      <c r="AB54" s="313" t="s">
        <v>44</v>
      </c>
      <c r="AC54" s="313"/>
      <c r="AD54" s="313"/>
      <c r="AE54" s="313"/>
      <c r="AF54" s="313"/>
      <c r="AG54" s="313"/>
      <c r="AH54" s="313"/>
      <c r="AI54" s="313"/>
      <c r="AJ54" s="313"/>
      <c r="AK54" s="313"/>
      <c r="AL54" s="313"/>
      <c r="AM54" s="313"/>
      <c r="AN54" s="313"/>
    </row>
    <row r="55" spans="1:61" ht="18.5" x14ac:dyDescent="0.45">
      <c r="AX55" s="313" t="s">
        <v>44</v>
      </c>
      <c r="AY55" s="313"/>
      <c r="AZ55" s="313"/>
      <c r="BA55" s="313"/>
      <c r="BB55" s="313"/>
      <c r="BC55" s="313"/>
      <c r="BD55" s="313"/>
      <c r="BE55" s="313"/>
      <c r="BF55" s="313"/>
      <c r="BG55" s="313"/>
      <c r="BH55" s="313"/>
      <c r="BI55" s="313"/>
    </row>
    <row r="56" spans="1:61" ht="15.5" x14ac:dyDescent="0.35">
      <c r="AG56" s="38"/>
      <c r="AH56" s="38"/>
      <c r="AI56" s="38"/>
    </row>
  </sheetData>
  <mergeCells count="56">
    <mergeCell ref="A6:Y6"/>
    <mergeCell ref="AF6:AN6"/>
    <mergeCell ref="AY6:BI6"/>
    <mergeCell ref="A7:Y7"/>
    <mergeCell ref="A8:A10"/>
    <mergeCell ref="B8:B10"/>
    <mergeCell ref="C8:C10"/>
    <mergeCell ref="D8:D10"/>
    <mergeCell ref="E8:J8"/>
    <mergeCell ref="K8:P8"/>
    <mergeCell ref="Q8:R9"/>
    <mergeCell ref="S8:S10"/>
    <mergeCell ref="T8:U9"/>
    <mergeCell ref="V8:W9"/>
    <mergeCell ref="X8:Y9"/>
    <mergeCell ref="AB8:AB10"/>
    <mergeCell ref="AN8:AN9"/>
    <mergeCell ref="AO8:AO9"/>
    <mergeCell ref="AP8:AQ8"/>
    <mergeCell ref="AR8:AS8"/>
    <mergeCell ref="AC8:AC10"/>
    <mergeCell ref="AD8:AD10"/>
    <mergeCell ref="AE8:AF9"/>
    <mergeCell ref="AG8:AH9"/>
    <mergeCell ref="AI8:AI10"/>
    <mergeCell ref="AJ8:AJ10"/>
    <mergeCell ref="AW8:AW10"/>
    <mergeCell ref="AX8:BC8"/>
    <mergeCell ref="BD8:BI8"/>
    <mergeCell ref="E9:F9"/>
    <mergeCell ref="G9:H9"/>
    <mergeCell ref="I9:J9"/>
    <mergeCell ref="K9:L9"/>
    <mergeCell ref="M9:N9"/>
    <mergeCell ref="AK8:AK10"/>
    <mergeCell ref="AM8:AM13"/>
    <mergeCell ref="BF9:BF10"/>
    <mergeCell ref="BG9:BG10"/>
    <mergeCell ref="BH9:BH10"/>
    <mergeCell ref="O9:P9"/>
    <mergeCell ref="AX9:AX10"/>
    <mergeCell ref="AY9:AY10"/>
    <mergeCell ref="AZ9:AZ10"/>
    <mergeCell ref="BA9:BA10"/>
    <mergeCell ref="BB9:BB10"/>
    <mergeCell ref="AT8:AT9"/>
    <mergeCell ref="AX55:BI55"/>
    <mergeCell ref="BI9:BI10"/>
    <mergeCell ref="AM14:AN14"/>
    <mergeCell ref="AO14:AS14"/>
    <mergeCell ref="A51:B51"/>
    <mergeCell ref="G54:S54"/>
    <mergeCell ref="AB54:AN54"/>
    <mergeCell ref="BC9:BC10"/>
    <mergeCell ref="BD9:BD10"/>
    <mergeCell ref="BE9:BE10"/>
  </mergeCells>
  <pageMargins left="0.7" right="0.7" top="0.75" bottom="0.75" header="0.3" footer="0.3"/>
  <pageSetup paperSize="9" scale="17" orientation="landscape" r:id="rId1"/>
  <colBreaks count="2" manualBreakCount="2">
    <brk id="26" max="55" man="1"/>
    <brk id="47" max="55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E06A3-3120-4D48-ADF5-D8C9213E6233}">
  <dimension ref="A1:BJ56"/>
  <sheetViews>
    <sheetView rightToLeft="1" view="pageBreakPreview" topLeftCell="AI1" zoomScale="55" zoomScaleNormal="29" zoomScalePageLayoutView="40" workbookViewId="0">
      <selection activeCell="AP16" sqref="AP16"/>
    </sheetView>
  </sheetViews>
  <sheetFormatPr defaultRowHeight="14.5" x14ac:dyDescent="0.35"/>
  <cols>
    <col min="1" max="1" width="11.26953125" style="1" customWidth="1"/>
    <col min="2" max="4" width="18.7265625" style="1" customWidth="1"/>
    <col min="5" max="6" width="15.26953125" customWidth="1"/>
    <col min="7" max="7" width="18.453125" customWidth="1"/>
    <col min="8" max="8" width="16.81640625" customWidth="1"/>
    <col min="9" max="9" width="15.26953125" customWidth="1"/>
    <col min="10" max="10" width="15.54296875" customWidth="1"/>
    <col min="11" max="23" width="15.26953125" customWidth="1"/>
    <col min="24" max="25" width="12.54296875" customWidth="1"/>
    <col min="27" max="27" width="19.1796875" customWidth="1"/>
    <col min="28" max="30" width="15.26953125" customWidth="1"/>
    <col min="31" max="32" width="13.7265625" customWidth="1"/>
    <col min="33" max="33" width="14.1796875" customWidth="1"/>
    <col min="34" max="34" width="13" customWidth="1"/>
    <col min="35" max="35" width="18.26953125" customWidth="1"/>
    <col min="36" max="40" width="15" customWidth="1"/>
    <col min="41" max="41" width="16.7265625" customWidth="1"/>
    <col min="42" max="42" width="18" customWidth="1"/>
    <col min="43" max="46" width="15" customWidth="1"/>
    <col min="47" max="47" width="14" style="1" customWidth="1"/>
    <col min="49" max="49" width="15.1796875" customWidth="1"/>
    <col min="50" max="50" width="22.26953125" customWidth="1"/>
    <col min="51" max="51" width="16.26953125" customWidth="1"/>
    <col min="52" max="52" width="13.453125" customWidth="1"/>
    <col min="53" max="53" width="14" customWidth="1"/>
    <col min="54" max="54" width="11.7265625" customWidth="1"/>
    <col min="55" max="55" width="14.26953125" customWidth="1"/>
    <col min="56" max="56" width="17.7265625" customWidth="1"/>
    <col min="57" max="57" width="22.453125" customWidth="1"/>
    <col min="58" max="58" width="17.7265625" customWidth="1"/>
    <col min="59" max="59" width="11.7265625" customWidth="1"/>
    <col min="60" max="60" width="16.81640625" customWidth="1"/>
    <col min="61" max="61" width="12.81640625" customWidth="1"/>
    <col min="62" max="62" width="15.26953125" customWidth="1"/>
  </cols>
  <sheetData>
    <row r="1" spans="1:62" s="21" customFormat="1" ht="23.5" x14ac:dyDescent="0.55000000000000004">
      <c r="A1" s="22" t="s">
        <v>0</v>
      </c>
      <c r="B1" s="22"/>
      <c r="C1" s="22"/>
      <c r="D1" s="18"/>
      <c r="E1" s="18"/>
      <c r="F1" s="18"/>
      <c r="G1" s="18"/>
      <c r="H1" s="18"/>
      <c r="I1" s="18"/>
      <c r="J1" s="18"/>
      <c r="K1" s="18"/>
      <c r="L1" s="18"/>
      <c r="M1" s="18"/>
      <c r="N1" s="19"/>
      <c r="O1" s="19"/>
      <c r="P1" s="18"/>
      <c r="Q1" s="18"/>
      <c r="R1" s="18"/>
      <c r="S1" s="18"/>
      <c r="T1" s="18"/>
      <c r="U1" s="18"/>
      <c r="V1" s="18"/>
      <c r="W1" s="18"/>
      <c r="X1" s="18"/>
      <c r="Y1" s="18"/>
      <c r="AA1" s="29"/>
      <c r="AB1" s="22" t="s">
        <v>0</v>
      </c>
      <c r="AC1" s="22"/>
      <c r="AD1" s="29"/>
      <c r="AE1" s="29"/>
      <c r="AF1" s="29"/>
      <c r="AU1" s="54"/>
      <c r="AW1" s="22" t="s">
        <v>0</v>
      </c>
      <c r="AX1" s="22"/>
      <c r="AY1" s="22"/>
      <c r="AZ1" s="18"/>
      <c r="BA1" s="18"/>
      <c r="BB1" s="18"/>
      <c r="BC1" s="18"/>
      <c r="BD1" s="18"/>
      <c r="BE1" s="20"/>
      <c r="BF1" s="19"/>
      <c r="BI1" s="29"/>
      <c r="BJ1" s="29"/>
    </row>
    <row r="2" spans="1:62" s="21" customFormat="1" ht="23.5" x14ac:dyDescent="0.55000000000000004">
      <c r="A2" s="22" t="s">
        <v>21</v>
      </c>
      <c r="B2" s="22"/>
      <c r="C2" s="22"/>
      <c r="D2" s="18"/>
      <c r="E2" s="18"/>
      <c r="F2" s="18"/>
      <c r="G2" s="18"/>
      <c r="H2" s="18"/>
      <c r="I2" s="18"/>
      <c r="J2" s="18"/>
      <c r="K2" s="18"/>
      <c r="L2" s="18"/>
      <c r="M2" s="18"/>
      <c r="N2" s="19"/>
      <c r="O2" s="19"/>
      <c r="P2" s="18"/>
      <c r="Q2" s="18"/>
      <c r="R2" s="18"/>
      <c r="S2" s="18"/>
      <c r="T2" s="18"/>
      <c r="U2" s="18"/>
      <c r="V2" s="18"/>
      <c r="W2" s="18"/>
      <c r="X2" s="18"/>
      <c r="Y2" s="18"/>
      <c r="AA2" s="29"/>
      <c r="AB2" s="22" t="s">
        <v>21</v>
      </c>
      <c r="AC2" s="22"/>
      <c r="AD2" s="29"/>
      <c r="AE2" s="29"/>
      <c r="AF2" s="29"/>
      <c r="AU2" s="54"/>
      <c r="AW2" s="22" t="s">
        <v>21</v>
      </c>
      <c r="AX2" s="22"/>
      <c r="AY2" s="22"/>
      <c r="AZ2" s="18"/>
      <c r="BA2" s="18"/>
      <c r="BB2" s="18"/>
      <c r="BC2" s="18"/>
      <c r="BD2" s="18"/>
      <c r="BE2" s="20"/>
      <c r="BF2" s="19"/>
      <c r="BI2" s="29"/>
      <c r="BJ2" s="29"/>
    </row>
    <row r="3" spans="1:62" s="21" customFormat="1" ht="23.5" x14ac:dyDescent="0.55000000000000004">
      <c r="A3" s="22" t="s">
        <v>22</v>
      </c>
      <c r="B3" s="22"/>
      <c r="C3" s="22"/>
      <c r="D3" s="18"/>
      <c r="E3" s="18"/>
      <c r="F3" s="18"/>
      <c r="G3" s="18"/>
      <c r="H3" s="18"/>
      <c r="I3" s="18"/>
      <c r="J3" s="18"/>
      <c r="K3" s="18"/>
      <c r="L3" s="18"/>
      <c r="M3" s="18"/>
      <c r="N3" s="19"/>
      <c r="O3" s="19"/>
      <c r="P3" s="18"/>
      <c r="Q3" s="18"/>
      <c r="R3" s="18"/>
      <c r="S3" s="18"/>
      <c r="T3" s="18"/>
      <c r="U3" s="18"/>
      <c r="V3" s="18"/>
      <c r="W3" s="18"/>
      <c r="X3" s="18"/>
      <c r="Y3" s="18"/>
      <c r="AA3" s="29"/>
      <c r="AB3" s="22" t="s">
        <v>22</v>
      </c>
      <c r="AC3" s="22"/>
      <c r="AD3" s="29"/>
      <c r="AE3" s="29"/>
      <c r="AF3" s="29"/>
      <c r="AU3" s="54"/>
      <c r="AW3" s="22" t="s">
        <v>22</v>
      </c>
      <c r="AX3" s="22"/>
      <c r="AY3" s="22"/>
      <c r="AZ3" s="18"/>
      <c r="BA3" s="18"/>
      <c r="BB3" s="18"/>
      <c r="BC3" s="18"/>
      <c r="BD3" s="18"/>
      <c r="BE3" s="20"/>
      <c r="BF3" s="19"/>
      <c r="BI3" s="29"/>
      <c r="BJ3" s="29"/>
    </row>
    <row r="4" spans="1:62" s="21" customFormat="1" ht="23.5" x14ac:dyDescent="0.55000000000000004">
      <c r="A4" s="22" t="s">
        <v>23</v>
      </c>
      <c r="B4" s="22"/>
      <c r="C4" s="22"/>
      <c r="D4" s="19"/>
      <c r="E4" s="20"/>
      <c r="F4" s="20"/>
      <c r="G4" s="20"/>
      <c r="H4" s="20"/>
      <c r="I4" s="18"/>
      <c r="J4" s="18"/>
      <c r="K4" s="18"/>
      <c r="L4" s="18"/>
      <c r="M4" s="18"/>
      <c r="N4" s="19"/>
      <c r="O4" s="19"/>
      <c r="P4" s="18"/>
      <c r="Q4" s="18"/>
      <c r="R4" s="18"/>
      <c r="S4" s="18"/>
      <c r="T4" s="18"/>
      <c r="U4" s="18"/>
      <c r="V4" s="18"/>
      <c r="W4" s="18"/>
      <c r="X4" s="18"/>
      <c r="Y4" s="18"/>
      <c r="AB4" s="22" t="s">
        <v>23</v>
      </c>
      <c r="AC4" s="22"/>
      <c r="AU4" s="54"/>
      <c r="AW4" s="22" t="s">
        <v>23</v>
      </c>
      <c r="AX4" s="22"/>
      <c r="AY4" s="22"/>
      <c r="AZ4" s="19"/>
      <c r="BA4" s="18"/>
      <c r="BB4" s="18"/>
      <c r="BC4" s="18"/>
      <c r="BD4" s="18"/>
      <c r="BE4" s="20"/>
      <c r="BF4" s="19"/>
    </row>
    <row r="5" spans="1:62" s="21" customFormat="1" ht="23.5" x14ac:dyDescent="0.55000000000000004">
      <c r="A5" s="22" t="s">
        <v>1</v>
      </c>
      <c r="B5" s="22"/>
      <c r="C5" s="22"/>
      <c r="D5" s="19"/>
      <c r="E5" s="18"/>
      <c r="F5" s="18"/>
      <c r="G5" s="18"/>
      <c r="H5" s="18"/>
      <c r="I5" s="18"/>
      <c r="J5" s="18"/>
      <c r="K5" s="18"/>
      <c r="L5" s="18"/>
      <c r="M5" s="18"/>
      <c r="N5" s="19"/>
      <c r="O5" s="19"/>
      <c r="P5" s="18"/>
      <c r="Q5" s="18"/>
      <c r="R5" s="18"/>
      <c r="S5" s="18"/>
      <c r="T5" s="18"/>
      <c r="U5" s="18"/>
      <c r="V5" s="18"/>
      <c r="W5" s="18"/>
      <c r="X5" s="18"/>
      <c r="Y5" s="18"/>
      <c r="AB5" s="22" t="s">
        <v>1</v>
      </c>
      <c r="AC5" s="22"/>
      <c r="AU5" s="54"/>
      <c r="AW5" s="22" t="s">
        <v>1</v>
      </c>
      <c r="AX5" s="22"/>
      <c r="AY5" s="22"/>
      <c r="AZ5" s="19"/>
      <c r="BA5" s="18"/>
      <c r="BB5" s="18"/>
      <c r="BC5" s="18"/>
      <c r="BD5" s="18"/>
      <c r="BE5" s="20"/>
      <c r="BF5" s="19"/>
    </row>
    <row r="6" spans="1:62" ht="20" x14ac:dyDescent="0.4">
      <c r="A6" s="362" t="s">
        <v>18</v>
      </c>
      <c r="B6" s="362"/>
      <c r="C6" s="362"/>
      <c r="D6" s="362"/>
      <c r="E6" s="362"/>
      <c r="F6" s="362"/>
      <c r="G6" s="362"/>
      <c r="H6" s="362"/>
      <c r="I6" s="362"/>
      <c r="J6" s="362"/>
      <c r="K6" s="362"/>
      <c r="L6" s="362"/>
      <c r="M6" s="362"/>
      <c r="N6" s="362"/>
      <c r="O6" s="362"/>
      <c r="P6" s="362"/>
      <c r="Q6" s="362"/>
      <c r="R6" s="362"/>
      <c r="S6" s="362"/>
      <c r="T6" s="362"/>
      <c r="U6" s="362"/>
      <c r="V6" s="362"/>
      <c r="W6" s="362"/>
      <c r="X6" s="362"/>
      <c r="Y6" s="362"/>
      <c r="AF6" s="362" t="s">
        <v>16</v>
      </c>
      <c r="AG6" s="362"/>
      <c r="AH6" s="362"/>
      <c r="AI6" s="362"/>
      <c r="AJ6" s="362"/>
      <c r="AK6" s="362"/>
      <c r="AL6" s="362"/>
      <c r="AM6" s="362"/>
      <c r="AN6" s="362"/>
      <c r="AO6" s="24"/>
      <c r="AP6" s="24"/>
      <c r="AQ6" s="24"/>
      <c r="AR6" s="24"/>
      <c r="AS6" s="24"/>
      <c r="AT6" s="24"/>
      <c r="AY6" s="362" t="s">
        <v>30</v>
      </c>
      <c r="AZ6" s="362"/>
      <c r="BA6" s="362"/>
      <c r="BB6" s="362"/>
      <c r="BC6" s="362"/>
      <c r="BD6" s="362"/>
      <c r="BE6" s="362"/>
      <c r="BF6" s="362"/>
      <c r="BG6" s="362"/>
      <c r="BH6" s="362"/>
      <c r="BI6" s="362"/>
    </row>
    <row r="7" spans="1:62" ht="20.5" thickBot="1" x14ac:dyDescent="0.45">
      <c r="A7" s="363" t="s">
        <v>27</v>
      </c>
      <c r="B7" s="364"/>
      <c r="C7" s="364"/>
      <c r="D7" s="364"/>
      <c r="E7" s="363"/>
      <c r="F7" s="363"/>
      <c r="G7" s="363"/>
      <c r="H7" s="363"/>
      <c r="I7" s="363"/>
      <c r="J7" s="363"/>
      <c r="K7" s="363"/>
      <c r="L7" s="363"/>
      <c r="M7" s="363"/>
      <c r="N7" s="363"/>
      <c r="O7" s="363"/>
      <c r="P7" s="363"/>
      <c r="Q7" s="363"/>
      <c r="R7" s="363"/>
      <c r="S7" s="363"/>
      <c r="T7" s="364"/>
      <c r="U7" s="364"/>
      <c r="V7" s="364"/>
      <c r="W7" s="364"/>
      <c r="X7" s="364"/>
      <c r="Y7" s="364"/>
      <c r="AJ7" s="25" t="s">
        <v>31</v>
      </c>
      <c r="AK7" s="25"/>
      <c r="AL7" s="25"/>
      <c r="AN7" s="25"/>
      <c r="AO7" s="25"/>
      <c r="AP7" s="25"/>
      <c r="AQ7" s="25"/>
      <c r="AS7" s="25"/>
      <c r="AT7" s="25"/>
      <c r="BC7" s="25" t="s">
        <v>31</v>
      </c>
      <c r="BD7" s="25"/>
      <c r="BF7" s="25"/>
      <c r="BG7" s="25"/>
      <c r="BH7" s="25"/>
      <c r="BI7" s="25"/>
      <c r="BJ7" s="25"/>
    </row>
    <row r="8" spans="1:62" ht="41.5" customHeight="1" x14ac:dyDescent="0.35">
      <c r="A8" s="326" t="s">
        <v>24</v>
      </c>
      <c r="B8" s="365" t="s">
        <v>25</v>
      </c>
      <c r="C8" s="366" t="s">
        <v>11</v>
      </c>
      <c r="D8" s="366" t="s">
        <v>15</v>
      </c>
      <c r="E8" s="330" t="s">
        <v>5</v>
      </c>
      <c r="F8" s="330"/>
      <c r="G8" s="330"/>
      <c r="H8" s="330"/>
      <c r="I8" s="330"/>
      <c r="J8" s="330"/>
      <c r="K8" s="330" t="s">
        <v>7</v>
      </c>
      <c r="L8" s="330"/>
      <c r="M8" s="330"/>
      <c r="N8" s="330"/>
      <c r="O8" s="330"/>
      <c r="P8" s="330"/>
      <c r="Q8" s="356" t="s">
        <v>2</v>
      </c>
      <c r="R8" s="350"/>
      <c r="S8" s="358" t="s">
        <v>12</v>
      </c>
      <c r="T8" s="323" t="s">
        <v>8</v>
      </c>
      <c r="U8" s="323"/>
      <c r="V8" s="323" t="s">
        <v>9</v>
      </c>
      <c r="W8" s="323"/>
      <c r="X8" s="323" t="s">
        <v>20</v>
      </c>
      <c r="Y8" s="323"/>
      <c r="AB8" s="326" t="s">
        <v>24</v>
      </c>
      <c r="AC8" s="342" t="s">
        <v>28</v>
      </c>
      <c r="AD8" s="342" t="s">
        <v>14</v>
      </c>
      <c r="AE8" s="345" t="s">
        <v>45</v>
      </c>
      <c r="AF8" s="346"/>
      <c r="AG8" s="349" t="s">
        <v>10</v>
      </c>
      <c r="AH8" s="350"/>
      <c r="AI8" s="353" t="s">
        <v>46</v>
      </c>
      <c r="AJ8" s="336" t="s">
        <v>51</v>
      </c>
      <c r="AK8" s="336" t="s">
        <v>47</v>
      </c>
      <c r="AM8" s="339" t="s">
        <v>41</v>
      </c>
      <c r="AN8" s="341" t="s">
        <v>38</v>
      </c>
      <c r="AO8" s="341" t="s">
        <v>14</v>
      </c>
      <c r="AP8" s="341" t="s">
        <v>39</v>
      </c>
      <c r="AQ8" s="341"/>
      <c r="AR8" s="341" t="s">
        <v>50</v>
      </c>
      <c r="AS8" s="341"/>
      <c r="AT8" s="324" t="s">
        <v>40</v>
      </c>
      <c r="AU8" s="55"/>
      <c r="AW8" s="326" t="s">
        <v>28</v>
      </c>
      <c r="AX8" s="329" t="s">
        <v>48</v>
      </c>
      <c r="AY8" s="330"/>
      <c r="AZ8" s="330"/>
      <c r="BA8" s="330"/>
      <c r="BB8" s="330"/>
      <c r="BC8" s="331"/>
      <c r="BD8" s="332" t="s">
        <v>49</v>
      </c>
      <c r="BE8" s="330"/>
      <c r="BF8" s="330"/>
      <c r="BG8" s="330"/>
      <c r="BH8" s="330"/>
      <c r="BI8" s="331"/>
    </row>
    <row r="9" spans="1:62" ht="19.149999999999999" customHeight="1" x14ac:dyDescent="0.35">
      <c r="A9" s="327"/>
      <c r="B9" s="365"/>
      <c r="C9" s="366"/>
      <c r="D9" s="366"/>
      <c r="E9" s="333" t="s">
        <v>6</v>
      </c>
      <c r="F9" s="334"/>
      <c r="G9" s="335" t="s">
        <v>13</v>
      </c>
      <c r="H9" s="334"/>
      <c r="I9" s="323" t="s">
        <v>19</v>
      </c>
      <c r="J9" s="323"/>
      <c r="K9" s="333" t="s">
        <v>6</v>
      </c>
      <c r="L9" s="334"/>
      <c r="M9" s="335" t="s">
        <v>13</v>
      </c>
      <c r="N9" s="334"/>
      <c r="O9" s="323" t="s">
        <v>19</v>
      </c>
      <c r="P9" s="323"/>
      <c r="Q9" s="357"/>
      <c r="R9" s="352"/>
      <c r="S9" s="359"/>
      <c r="T9" s="323"/>
      <c r="U9" s="323"/>
      <c r="V9" s="323"/>
      <c r="W9" s="323"/>
      <c r="X9" s="323"/>
      <c r="Y9" s="323"/>
      <c r="AB9" s="327"/>
      <c r="AC9" s="343"/>
      <c r="AD9" s="343"/>
      <c r="AE9" s="347"/>
      <c r="AF9" s="348"/>
      <c r="AG9" s="351"/>
      <c r="AH9" s="352"/>
      <c r="AI9" s="354"/>
      <c r="AJ9" s="337"/>
      <c r="AK9" s="337"/>
      <c r="AM9" s="340"/>
      <c r="AN9" s="323"/>
      <c r="AO9" s="323"/>
      <c r="AP9" s="8" t="s">
        <v>3</v>
      </c>
      <c r="AQ9" s="8" t="s">
        <v>4</v>
      </c>
      <c r="AR9" s="43" t="s">
        <v>3</v>
      </c>
      <c r="AS9" s="43" t="s">
        <v>4</v>
      </c>
      <c r="AT9" s="325"/>
      <c r="AU9" s="55"/>
      <c r="AW9" s="327"/>
      <c r="AX9" s="314" t="s">
        <v>17</v>
      </c>
      <c r="AY9" s="314" t="s">
        <v>11</v>
      </c>
      <c r="AZ9" s="314" t="s">
        <v>32</v>
      </c>
      <c r="BA9" s="314" t="s">
        <v>37</v>
      </c>
      <c r="BB9" s="314" t="s">
        <v>34</v>
      </c>
      <c r="BC9" s="314" t="s">
        <v>12</v>
      </c>
      <c r="BD9" s="314" t="s">
        <v>33</v>
      </c>
      <c r="BE9" s="314" t="s">
        <v>11</v>
      </c>
      <c r="BF9" s="314" t="s">
        <v>35</v>
      </c>
      <c r="BG9" s="314" t="s">
        <v>37</v>
      </c>
      <c r="BH9" s="314" t="s">
        <v>34</v>
      </c>
      <c r="BI9" s="314" t="s">
        <v>12</v>
      </c>
    </row>
    <row r="10" spans="1:62" ht="53.5" customHeight="1" thickBot="1" x14ac:dyDescent="0.4">
      <c r="A10" s="328"/>
      <c r="B10" s="365"/>
      <c r="C10" s="366"/>
      <c r="D10" s="366"/>
      <c r="E10" s="7" t="s">
        <v>3</v>
      </c>
      <c r="F10" s="8" t="s">
        <v>4</v>
      </c>
      <c r="G10" s="7" t="s">
        <v>3</v>
      </c>
      <c r="H10" s="8" t="s">
        <v>4</v>
      </c>
      <c r="I10" s="8" t="s">
        <v>3</v>
      </c>
      <c r="J10" s="8" t="s">
        <v>4</v>
      </c>
      <c r="K10" s="7" t="s">
        <v>3</v>
      </c>
      <c r="L10" s="8" t="s">
        <v>4</v>
      </c>
      <c r="M10" s="7" t="s">
        <v>3</v>
      </c>
      <c r="N10" s="8" t="s">
        <v>4</v>
      </c>
      <c r="O10" s="8" t="s">
        <v>3</v>
      </c>
      <c r="P10" s="8" t="s">
        <v>4</v>
      </c>
      <c r="Q10" s="9" t="s">
        <v>3</v>
      </c>
      <c r="R10" s="9" t="s">
        <v>4</v>
      </c>
      <c r="S10" s="360"/>
      <c r="T10" s="8" t="s">
        <v>3</v>
      </c>
      <c r="U10" s="8" t="s">
        <v>4</v>
      </c>
      <c r="V10" s="8" t="s">
        <v>3</v>
      </c>
      <c r="W10" s="8" t="s">
        <v>4</v>
      </c>
      <c r="X10" s="8" t="s">
        <v>3</v>
      </c>
      <c r="Y10" s="8" t="s">
        <v>4</v>
      </c>
      <c r="AB10" s="361"/>
      <c r="AC10" s="344"/>
      <c r="AD10" s="344"/>
      <c r="AE10" s="49" t="s">
        <v>3</v>
      </c>
      <c r="AF10" s="50" t="s">
        <v>4</v>
      </c>
      <c r="AG10" s="51" t="s">
        <v>3</v>
      </c>
      <c r="AH10" s="52" t="s">
        <v>4</v>
      </c>
      <c r="AI10" s="355"/>
      <c r="AJ10" s="338"/>
      <c r="AK10" s="338"/>
      <c r="AM10" s="340"/>
      <c r="AN10" s="42" t="str">
        <f>'12'!AN10</f>
        <v>0124W120</v>
      </c>
      <c r="AO10" s="42">
        <f>'12'!AT10</f>
        <v>48</v>
      </c>
      <c r="AP10" s="42"/>
      <c r="AQ10" s="17">
        <f>AP10+'12'!AQ10</f>
        <v>73</v>
      </c>
      <c r="AR10" s="17"/>
      <c r="AS10" s="17">
        <f>AR10+'12'!AS10</f>
        <v>25</v>
      </c>
      <c r="AT10" s="44">
        <f>AO10+AP10-AR10</f>
        <v>48</v>
      </c>
      <c r="AU10" s="56"/>
      <c r="AW10" s="328"/>
      <c r="AX10" s="315"/>
      <c r="AY10" s="315"/>
      <c r="AZ10" s="315"/>
      <c r="BA10" s="315"/>
      <c r="BB10" s="315"/>
      <c r="BC10" s="315"/>
      <c r="BD10" s="315"/>
      <c r="BE10" s="315"/>
      <c r="BF10" s="315"/>
      <c r="BG10" s="315"/>
      <c r="BH10" s="315"/>
      <c r="BI10" s="315"/>
    </row>
    <row r="11" spans="1:62" ht="41.5" customHeight="1" x14ac:dyDescent="0.35">
      <c r="A11" s="5">
        <v>1</v>
      </c>
      <c r="B11" s="26" t="str">
        <f>'12'!B11</f>
        <v>مكتب الصحة</v>
      </c>
      <c r="C11" s="26">
        <f>'12'!C11</f>
        <v>12251</v>
      </c>
      <c r="D11" s="26"/>
      <c r="E11" s="12"/>
      <c r="F11" s="2">
        <f>E11+'12'!F11</f>
        <v>39</v>
      </c>
      <c r="G11" s="2"/>
      <c r="H11" s="2">
        <f>G11+'12'!H11</f>
        <v>1961</v>
      </c>
      <c r="I11" s="2"/>
      <c r="J11" s="2">
        <f>I11+'12'!J11</f>
        <v>5340</v>
      </c>
      <c r="K11" s="2"/>
      <c r="L11" s="2">
        <f>K11+'12'!L11</f>
        <v>0</v>
      </c>
      <c r="M11" s="2"/>
      <c r="N11" s="2">
        <f>M11+'12'!N11</f>
        <v>0</v>
      </c>
      <c r="O11" s="2"/>
      <c r="P11" s="2">
        <f>O11+'12'!P11</f>
        <v>0</v>
      </c>
      <c r="Q11" s="4">
        <f>O11+M11+K11+I11+G11+E11</f>
        <v>0</v>
      </c>
      <c r="R11" s="4">
        <f>Q11+'12'!R11</f>
        <v>7340</v>
      </c>
      <c r="S11" s="27">
        <f>R11/C11</f>
        <v>0.5991347645090197</v>
      </c>
      <c r="T11" s="12"/>
      <c r="U11" s="12">
        <f>T11+'12'!U11</f>
        <v>1397</v>
      </c>
      <c r="V11" s="12"/>
      <c r="W11" s="12">
        <f>V11+'12'!W11</f>
        <v>4</v>
      </c>
      <c r="X11" s="12"/>
      <c r="Y11" s="12">
        <f>X11+'12'!Y11</f>
        <v>1</v>
      </c>
      <c r="AB11" s="48">
        <v>1</v>
      </c>
      <c r="AC11" s="26" t="str">
        <f>'12'!AC11</f>
        <v>مكتب الصحة</v>
      </c>
      <c r="AD11" s="28">
        <f>'12'!AI11</f>
        <v>333</v>
      </c>
      <c r="AE11" s="3"/>
      <c r="AF11" s="28">
        <f>AE11+'12'!AF11</f>
        <v>1082</v>
      </c>
      <c r="AG11" s="4"/>
      <c r="AH11" s="28">
        <f>AG11+'12'!AH11</f>
        <v>749</v>
      </c>
      <c r="AI11" s="4">
        <f>AD11+AE11-AG11</f>
        <v>333</v>
      </c>
      <c r="AJ11" s="11" t="e">
        <f t="shared" ref="AJ11:AJ51" si="0">Q11/AG11</f>
        <v>#DIV/0!</v>
      </c>
      <c r="AK11" s="53">
        <f t="shared" ref="AK11:AK51" si="1">R11/AH11</f>
        <v>9.799732977303071</v>
      </c>
      <c r="AM11" s="340"/>
      <c r="AN11" s="42" t="str">
        <f>'12'!AN11</f>
        <v>420604325A</v>
      </c>
      <c r="AO11" s="42">
        <f>'12'!AT11</f>
        <v>3076</v>
      </c>
      <c r="AP11" s="16"/>
      <c r="AQ11" s="17">
        <f>AP11+'12'!AQ11</f>
        <v>8550</v>
      </c>
      <c r="AR11" s="16"/>
      <c r="AS11" s="17">
        <f>AR11+'12'!AS11</f>
        <v>5474</v>
      </c>
      <c r="AT11" s="44">
        <f>AO11+AP11-AR11</f>
        <v>3076</v>
      </c>
      <c r="AU11" s="56"/>
      <c r="AW11" s="26" t="str">
        <f>'12'!AW11</f>
        <v>مكتب الصحة</v>
      </c>
      <c r="AX11" s="12">
        <f>'12'!AX11</f>
        <v>11</v>
      </c>
      <c r="AY11" s="12">
        <f>'12'!AY11</f>
        <v>8411</v>
      </c>
      <c r="AZ11" s="12"/>
      <c r="BA11" s="12"/>
      <c r="BB11" s="12">
        <f>BA11+'12'!BB11</f>
        <v>5998</v>
      </c>
      <c r="BC11" s="30">
        <f t="shared" ref="BC11:BC51" si="2">BB11/AY11</f>
        <v>0.71311377957436695</v>
      </c>
      <c r="BD11" s="12">
        <f>'12'!BD11</f>
        <v>27</v>
      </c>
      <c r="BE11" s="12">
        <f>'12'!BE11</f>
        <v>1746</v>
      </c>
      <c r="BF11" s="12"/>
      <c r="BG11" s="12"/>
      <c r="BH11" s="12">
        <f>BG11+'12'!BH11</f>
        <v>477</v>
      </c>
      <c r="BI11" s="30">
        <f t="shared" ref="BI11:BI51" si="3">BH11/BE11</f>
        <v>0.27319587628865977</v>
      </c>
    </row>
    <row r="12" spans="1:62" ht="41.5" customHeight="1" x14ac:dyDescent="0.35">
      <c r="A12" s="5">
        <v>2</v>
      </c>
      <c r="B12" s="26" t="str">
        <f>'12'!B12</f>
        <v>شبرابخـــــــــــوم</v>
      </c>
      <c r="C12" s="26">
        <f>'12'!C12</f>
        <v>4445</v>
      </c>
      <c r="D12" s="26"/>
      <c r="E12" s="12"/>
      <c r="F12" s="2">
        <f>E12+'12'!F12</f>
        <v>14</v>
      </c>
      <c r="G12" s="2"/>
      <c r="H12" s="2">
        <f>G12+'12'!H12</f>
        <v>392</v>
      </c>
      <c r="I12" s="2"/>
      <c r="J12" s="2">
        <f>I12+'12'!J12</f>
        <v>1857</v>
      </c>
      <c r="K12" s="2"/>
      <c r="L12" s="2">
        <f>K12+'12'!L12</f>
        <v>0</v>
      </c>
      <c r="M12" s="2"/>
      <c r="N12" s="2">
        <f>M12+'12'!N12</f>
        <v>0</v>
      </c>
      <c r="O12" s="2"/>
      <c r="P12" s="2">
        <f>O12+'12'!P12</f>
        <v>0</v>
      </c>
      <c r="Q12" s="4">
        <f t="shared" ref="Q12:Q50" si="4">O12+M12+K12+I12+G12+E12</f>
        <v>0</v>
      </c>
      <c r="R12" s="4">
        <f>Q12+'12'!R12</f>
        <v>2263</v>
      </c>
      <c r="S12" s="27">
        <f t="shared" ref="S12:S50" si="5">R12/C12</f>
        <v>0.50911136107986499</v>
      </c>
      <c r="T12" s="12"/>
      <c r="U12" s="12">
        <f>T12+'12'!U12</f>
        <v>373</v>
      </c>
      <c r="V12" s="12"/>
      <c r="W12" s="12">
        <f>V12+'12'!W12</f>
        <v>15</v>
      </c>
      <c r="X12" s="12"/>
      <c r="Y12" s="12">
        <f>X12+'12'!Y12</f>
        <v>0</v>
      </c>
      <c r="AB12" s="5">
        <v>2</v>
      </c>
      <c r="AC12" s="26" t="str">
        <f>'12'!AC12</f>
        <v>شبرابخـــــــــــوم</v>
      </c>
      <c r="AD12" s="28">
        <f>'12'!AI12</f>
        <v>158</v>
      </c>
      <c r="AE12" s="3"/>
      <c r="AF12" s="28">
        <f>AE12+'12'!AF12</f>
        <v>390</v>
      </c>
      <c r="AG12" s="4"/>
      <c r="AH12" s="28">
        <f>AG12+'12'!AH12</f>
        <v>232</v>
      </c>
      <c r="AI12" s="4">
        <f>AD12+AE12-AG12</f>
        <v>158</v>
      </c>
      <c r="AJ12" s="11" t="e">
        <f t="shared" si="0"/>
        <v>#DIV/0!</v>
      </c>
      <c r="AK12" s="53">
        <f t="shared" si="1"/>
        <v>9.7543103448275854</v>
      </c>
      <c r="AM12" s="340"/>
      <c r="AN12" s="42" t="str">
        <f>'12'!AN12</f>
        <v>420604225A</v>
      </c>
      <c r="AO12" s="42">
        <f>'12'!AT12</f>
        <v>100</v>
      </c>
      <c r="AP12" s="16"/>
      <c r="AQ12" s="17">
        <f>AP12+'12'!AQ12</f>
        <v>100</v>
      </c>
      <c r="AR12" s="16"/>
      <c r="AS12" s="17">
        <f>AR12+'12'!AS12</f>
        <v>0</v>
      </c>
      <c r="AT12" s="44">
        <f>AO12+AP12-AR12</f>
        <v>100</v>
      </c>
      <c r="AU12" s="56"/>
      <c r="AW12" s="26" t="str">
        <f>'12'!AW12</f>
        <v>شبرابخـــــــــــوم</v>
      </c>
      <c r="AX12" s="12">
        <f>'12'!AX12</f>
        <v>6</v>
      </c>
      <c r="AY12" s="12">
        <f>'12'!AY12</f>
        <v>2215</v>
      </c>
      <c r="AZ12" s="12"/>
      <c r="BA12" s="12"/>
      <c r="BB12" s="12">
        <f>BA12+'12'!BB12</f>
        <v>2306</v>
      </c>
      <c r="BC12" s="30">
        <f t="shared" si="2"/>
        <v>1.0410835214446952</v>
      </c>
      <c r="BD12" s="12">
        <f>'12'!BD12</f>
        <v>16</v>
      </c>
      <c r="BE12" s="12">
        <f>'12'!BE12</f>
        <v>729</v>
      </c>
      <c r="BF12" s="12"/>
      <c r="BG12" s="12"/>
      <c r="BH12" s="12">
        <f>BG12+'12'!BH12</f>
        <v>224</v>
      </c>
      <c r="BI12" s="30">
        <f t="shared" si="3"/>
        <v>0.30727023319615915</v>
      </c>
    </row>
    <row r="13" spans="1:62" ht="41.5" customHeight="1" x14ac:dyDescent="0.35">
      <c r="A13" s="5">
        <v>3</v>
      </c>
      <c r="B13" s="26" t="str">
        <f>'12'!B13</f>
        <v>ميت بره</v>
      </c>
      <c r="C13" s="26">
        <f>'12'!C13</f>
        <v>11614</v>
      </c>
      <c r="D13" s="26"/>
      <c r="E13" s="12"/>
      <c r="F13" s="2">
        <f>E13+'12'!F13</f>
        <v>45</v>
      </c>
      <c r="G13" s="2"/>
      <c r="H13" s="2">
        <f>G13+'12'!H13</f>
        <v>465</v>
      </c>
      <c r="I13" s="2"/>
      <c r="J13" s="2">
        <f>I13+'12'!J13</f>
        <v>3703</v>
      </c>
      <c r="K13" s="2"/>
      <c r="L13" s="2">
        <f>K13+'12'!L13</f>
        <v>0</v>
      </c>
      <c r="M13" s="2"/>
      <c r="N13" s="2">
        <f>M13+'12'!N13</f>
        <v>0</v>
      </c>
      <c r="O13" s="2"/>
      <c r="P13" s="2">
        <f>O13+'12'!P13</f>
        <v>0</v>
      </c>
      <c r="Q13" s="4">
        <f t="shared" si="4"/>
        <v>0</v>
      </c>
      <c r="R13" s="4">
        <f>Q13+'12'!R13</f>
        <v>4213</v>
      </c>
      <c r="S13" s="27">
        <f t="shared" si="5"/>
        <v>0.36275185121405201</v>
      </c>
      <c r="T13" s="12"/>
      <c r="U13" s="12">
        <f>T13+'12'!U13</f>
        <v>641</v>
      </c>
      <c r="V13" s="12"/>
      <c r="W13" s="12">
        <f>V13+'12'!W13</f>
        <v>0</v>
      </c>
      <c r="X13" s="12"/>
      <c r="Y13" s="12">
        <f>X13+'12'!Y13</f>
        <v>0</v>
      </c>
      <c r="AB13" s="5">
        <v>3</v>
      </c>
      <c r="AC13" s="26" t="str">
        <f>'12'!AC13</f>
        <v>ميت بره</v>
      </c>
      <c r="AD13" s="28">
        <f>'12'!AI13</f>
        <v>584</v>
      </c>
      <c r="AE13" s="3"/>
      <c r="AF13" s="28">
        <f>AE13+'12'!AF13</f>
        <v>1020</v>
      </c>
      <c r="AG13" s="4"/>
      <c r="AH13" s="28">
        <f>AG13+'12'!AH13</f>
        <v>436</v>
      </c>
      <c r="AI13" s="4">
        <f t="shared" ref="AI13:AI50" si="6">AD13+AE13-AG13</f>
        <v>584</v>
      </c>
      <c r="AJ13" s="11" t="e">
        <f t="shared" si="0"/>
        <v>#DIV/0!</v>
      </c>
      <c r="AK13" s="53">
        <f t="shared" si="1"/>
        <v>9.6628440366972477</v>
      </c>
      <c r="AM13" s="340"/>
      <c r="AN13" s="46" t="s">
        <v>43</v>
      </c>
      <c r="AO13" s="45">
        <f t="shared" ref="AO13:AT13" si="7">SUM(AO10:AO12)</f>
        <v>3224</v>
      </c>
      <c r="AP13" s="45">
        <f t="shared" si="7"/>
        <v>0</v>
      </c>
      <c r="AQ13" s="45">
        <f t="shared" si="7"/>
        <v>8723</v>
      </c>
      <c r="AR13" s="45">
        <f t="shared" si="7"/>
        <v>0</v>
      </c>
      <c r="AS13" s="45">
        <f t="shared" si="7"/>
        <v>5499</v>
      </c>
      <c r="AT13" s="47">
        <f t="shared" si="7"/>
        <v>3224</v>
      </c>
      <c r="AU13" s="56"/>
      <c r="AW13" s="26" t="str">
        <f>'12'!AW13</f>
        <v>ميت بره</v>
      </c>
      <c r="AX13" s="12">
        <f>'12'!AX13</f>
        <v>8</v>
      </c>
      <c r="AY13" s="12">
        <f>'12'!AY13</f>
        <v>4849</v>
      </c>
      <c r="AZ13" s="12"/>
      <c r="BA13" s="12"/>
      <c r="BB13" s="12">
        <f>BA13+'12'!BB13</f>
        <v>4093</v>
      </c>
      <c r="BC13" s="30">
        <f t="shared" si="2"/>
        <v>0.84409156527118989</v>
      </c>
      <c r="BD13" s="12">
        <f>'12'!BD13</f>
        <v>21</v>
      </c>
      <c r="BE13" s="12">
        <f>'12'!BE13</f>
        <v>1129</v>
      </c>
      <c r="BF13" s="12"/>
      <c r="BG13" s="12"/>
      <c r="BH13" s="12">
        <f>BG13+'12'!BH13</f>
        <v>128</v>
      </c>
      <c r="BI13" s="30">
        <f t="shared" si="3"/>
        <v>0.11337466784765279</v>
      </c>
    </row>
    <row r="14" spans="1:62" ht="41.5" customHeight="1" thickBot="1" x14ac:dyDescent="0.4">
      <c r="A14" s="5">
        <v>4</v>
      </c>
      <c r="B14" s="26" t="str">
        <f>'12'!B14</f>
        <v>أبنــــــــــــــــهس</v>
      </c>
      <c r="C14" s="26">
        <f>'12'!C14</f>
        <v>5029</v>
      </c>
      <c r="D14" s="26"/>
      <c r="E14" s="12"/>
      <c r="F14" s="2">
        <f>E14+'12'!F14</f>
        <v>14</v>
      </c>
      <c r="G14" s="2"/>
      <c r="H14" s="2">
        <f>G14+'12'!H14</f>
        <v>349</v>
      </c>
      <c r="I14" s="2"/>
      <c r="J14" s="2">
        <f>I14+'12'!J14</f>
        <v>2016</v>
      </c>
      <c r="K14" s="2"/>
      <c r="L14" s="2">
        <f>K14+'12'!L14</f>
        <v>0</v>
      </c>
      <c r="M14" s="2"/>
      <c r="N14" s="2">
        <f>M14+'12'!N14</f>
        <v>0</v>
      </c>
      <c r="O14" s="2"/>
      <c r="P14" s="2">
        <f>O14+'12'!P14</f>
        <v>0</v>
      </c>
      <c r="Q14" s="4">
        <f t="shared" si="4"/>
        <v>0</v>
      </c>
      <c r="R14" s="4">
        <f>Q14+'12'!R14</f>
        <v>2379</v>
      </c>
      <c r="S14" s="27">
        <f t="shared" si="5"/>
        <v>0.47305627361304436</v>
      </c>
      <c r="T14" s="12"/>
      <c r="U14" s="12">
        <f>T14+'12'!U14</f>
        <v>341</v>
      </c>
      <c r="V14" s="12"/>
      <c r="W14" s="12">
        <f>V14+'12'!W14</f>
        <v>29</v>
      </c>
      <c r="X14" s="12"/>
      <c r="Y14" s="12">
        <f>X14+'12'!Y14</f>
        <v>0</v>
      </c>
      <c r="AB14" s="5">
        <v>4</v>
      </c>
      <c r="AC14" s="26" t="str">
        <f>'12'!AC14</f>
        <v>أبنــــــــــــــــهس</v>
      </c>
      <c r="AD14" s="28">
        <f>'12'!AI14</f>
        <v>196</v>
      </c>
      <c r="AE14" s="3"/>
      <c r="AF14" s="28">
        <f>AE14+'12'!AF14</f>
        <v>440</v>
      </c>
      <c r="AG14" s="4"/>
      <c r="AH14" s="28">
        <f>AG14+'12'!AH14</f>
        <v>244</v>
      </c>
      <c r="AI14" s="4">
        <f t="shared" si="6"/>
        <v>196</v>
      </c>
      <c r="AJ14" s="11" t="e">
        <f t="shared" si="0"/>
        <v>#DIV/0!</v>
      </c>
      <c r="AK14" s="53">
        <f t="shared" si="1"/>
        <v>9.75</v>
      </c>
      <c r="AM14" s="316" t="s">
        <v>42</v>
      </c>
      <c r="AN14" s="317"/>
      <c r="AO14" s="318"/>
      <c r="AP14" s="319"/>
      <c r="AQ14" s="319"/>
      <c r="AR14" s="319"/>
      <c r="AS14" s="320"/>
      <c r="AT14" s="39">
        <f>AT13+AI51</f>
        <v>6357</v>
      </c>
      <c r="AU14" s="57"/>
      <c r="AW14" s="26" t="str">
        <f>'12'!AW14</f>
        <v>أبنــــــــــــــــهس</v>
      </c>
      <c r="AX14" s="12">
        <f>'12'!AX14</f>
        <v>7</v>
      </c>
      <c r="AY14" s="12">
        <f>'12'!AY14</f>
        <v>2531</v>
      </c>
      <c r="AZ14" s="12"/>
      <c r="BA14" s="12"/>
      <c r="BB14" s="12">
        <f>BA14+'12'!BB14</f>
        <v>2092</v>
      </c>
      <c r="BC14" s="30">
        <f t="shared" si="2"/>
        <v>0.82655077044646386</v>
      </c>
      <c r="BD14" s="12">
        <f>'12'!BD14</f>
        <v>23</v>
      </c>
      <c r="BE14" s="12">
        <f>'12'!BE14</f>
        <v>921</v>
      </c>
      <c r="BF14" s="12"/>
      <c r="BG14" s="12"/>
      <c r="BH14" s="12">
        <f>BG14+'12'!BH14</f>
        <v>287</v>
      </c>
      <c r="BI14" s="30">
        <f t="shared" si="3"/>
        <v>0.31161780673181327</v>
      </c>
    </row>
    <row r="15" spans="1:62" ht="41.5" customHeight="1" x14ac:dyDescent="0.35">
      <c r="A15" s="5">
        <v>5</v>
      </c>
      <c r="B15" s="26" t="str">
        <f>'12'!B15</f>
        <v>ميت ســـــــــراج</v>
      </c>
      <c r="C15" s="26">
        <f>'12'!C15</f>
        <v>2369</v>
      </c>
      <c r="D15" s="26"/>
      <c r="E15" s="12"/>
      <c r="F15" s="2">
        <f>E15+'12'!F15</f>
        <v>4</v>
      </c>
      <c r="G15" s="2"/>
      <c r="H15" s="2">
        <f>G15+'12'!H15</f>
        <v>472</v>
      </c>
      <c r="I15" s="2"/>
      <c r="J15" s="2">
        <f>I15+'12'!J15</f>
        <v>839</v>
      </c>
      <c r="K15" s="2"/>
      <c r="L15" s="2">
        <f>K15+'12'!L15</f>
        <v>0</v>
      </c>
      <c r="M15" s="2"/>
      <c r="N15" s="2">
        <f>M15+'12'!N15</f>
        <v>0</v>
      </c>
      <c r="O15" s="2"/>
      <c r="P15" s="2">
        <f>O15+'12'!P15</f>
        <v>0</v>
      </c>
      <c r="Q15" s="4">
        <f t="shared" si="4"/>
        <v>0</v>
      </c>
      <c r="R15" s="4">
        <f>Q15+'12'!R15</f>
        <v>1315</v>
      </c>
      <c r="S15" s="27">
        <f t="shared" si="5"/>
        <v>0.55508653440270161</v>
      </c>
      <c r="T15" s="12"/>
      <c r="U15" s="12">
        <f>T15+'12'!U15</f>
        <v>105</v>
      </c>
      <c r="V15" s="12"/>
      <c r="W15" s="12">
        <f>V15+'12'!W15</f>
        <v>37</v>
      </c>
      <c r="X15" s="12"/>
      <c r="Y15" s="12">
        <f>X15+'12'!Y15</f>
        <v>0</v>
      </c>
      <c r="AB15" s="5">
        <v>5</v>
      </c>
      <c r="AC15" s="26" t="str">
        <f>'12'!AC15</f>
        <v>ميت ســـــــــراج</v>
      </c>
      <c r="AD15" s="28">
        <f>'12'!AI15</f>
        <v>74</v>
      </c>
      <c r="AE15" s="3"/>
      <c r="AF15" s="28">
        <f>AE15+'12'!AF15</f>
        <v>209</v>
      </c>
      <c r="AG15" s="4"/>
      <c r="AH15" s="28">
        <f>AG15+'12'!AH15</f>
        <v>135</v>
      </c>
      <c r="AI15" s="4">
        <f t="shared" si="6"/>
        <v>74</v>
      </c>
      <c r="AJ15" s="11" t="e">
        <f t="shared" si="0"/>
        <v>#DIV/0!</v>
      </c>
      <c r="AK15" s="53">
        <f t="shared" si="1"/>
        <v>9.7407407407407405</v>
      </c>
      <c r="AW15" s="26" t="str">
        <f>'12'!AW15</f>
        <v>ميت ســـــــــراج</v>
      </c>
      <c r="AX15" s="12">
        <f>'12'!AX15</f>
        <v>2</v>
      </c>
      <c r="AY15" s="12">
        <f>'12'!AY15</f>
        <v>1041</v>
      </c>
      <c r="AZ15" s="12"/>
      <c r="BA15" s="12"/>
      <c r="BB15" s="12">
        <f>BA15+'12'!BB15</f>
        <v>874</v>
      </c>
      <c r="BC15" s="30">
        <f t="shared" si="2"/>
        <v>0.83957732949087416</v>
      </c>
      <c r="BD15" s="12">
        <f>'12'!BD15</f>
        <v>5</v>
      </c>
      <c r="BE15" s="12">
        <f>'12'!BE15</f>
        <v>310</v>
      </c>
      <c r="BF15" s="12"/>
      <c r="BG15" s="12"/>
      <c r="BH15" s="12">
        <f>BG15+'12'!BH15</f>
        <v>385</v>
      </c>
      <c r="BI15" s="30">
        <f t="shared" si="3"/>
        <v>1.2419354838709677</v>
      </c>
    </row>
    <row r="16" spans="1:62" ht="41.5" customHeight="1" x14ac:dyDescent="0.35">
      <c r="A16" s="5">
        <v>6</v>
      </c>
      <c r="B16" s="26" t="str">
        <f>'12'!B16</f>
        <v>أم خــــــــــــــنان</v>
      </c>
      <c r="C16" s="26">
        <f>'12'!C16</f>
        <v>4900</v>
      </c>
      <c r="D16" s="26"/>
      <c r="E16" s="12"/>
      <c r="F16" s="2">
        <f>E16+'12'!F16</f>
        <v>11</v>
      </c>
      <c r="G16" s="2"/>
      <c r="H16" s="2">
        <f>G16+'12'!H16</f>
        <v>280</v>
      </c>
      <c r="I16" s="2"/>
      <c r="J16" s="2">
        <f>I16+'12'!J16</f>
        <v>1942</v>
      </c>
      <c r="K16" s="2"/>
      <c r="L16" s="2">
        <f>K16+'12'!L16</f>
        <v>0</v>
      </c>
      <c r="M16" s="2"/>
      <c r="N16" s="2">
        <f>M16+'12'!N16</f>
        <v>0</v>
      </c>
      <c r="O16" s="2"/>
      <c r="P16" s="2">
        <f>O16+'12'!P16</f>
        <v>0</v>
      </c>
      <c r="Q16" s="4">
        <f t="shared" si="4"/>
        <v>0</v>
      </c>
      <c r="R16" s="4">
        <f>Q16+'12'!R16</f>
        <v>2233</v>
      </c>
      <c r="S16" s="27">
        <f t="shared" si="5"/>
        <v>0.45571428571428574</v>
      </c>
      <c r="T16" s="12"/>
      <c r="U16" s="12">
        <f>T16+'12'!U16</f>
        <v>375</v>
      </c>
      <c r="V16" s="12"/>
      <c r="W16" s="12">
        <f>V16+'12'!W16</f>
        <v>0</v>
      </c>
      <c r="X16" s="12"/>
      <c r="Y16" s="12">
        <f>X16+'12'!Y16</f>
        <v>0</v>
      </c>
      <c r="AB16" s="5">
        <v>6</v>
      </c>
      <c r="AC16" s="26" t="str">
        <f>'12'!AC16</f>
        <v>أم خــــــــــــــنان</v>
      </c>
      <c r="AD16" s="28">
        <f>'12'!AI16</f>
        <v>204</v>
      </c>
      <c r="AE16" s="3"/>
      <c r="AF16" s="28">
        <f>AE16+'12'!AF16</f>
        <v>430</v>
      </c>
      <c r="AG16" s="4"/>
      <c r="AH16" s="28">
        <f>AG16+'12'!AH16</f>
        <v>226</v>
      </c>
      <c r="AI16" s="4">
        <f t="shared" si="6"/>
        <v>204</v>
      </c>
      <c r="AJ16" s="11" t="e">
        <f t="shared" si="0"/>
        <v>#DIV/0!</v>
      </c>
      <c r="AK16" s="53">
        <f t="shared" si="1"/>
        <v>9.8805309734513269</v>
      </c>
      <c r="AW16" s="26" t="str">
        <f>'12'!AW16</f>
        <v>أم خــــــــــــــنان</v>
      </c>
      <c r="AX16" s="12">
        <f>'12'!AX16</f>
        <v>8</v>
      </c>
      <c r="AY16" s="12">
        <f>'12'!AY16</f>
        <v>2981</v>
      </c>
      <c r="AZ16" s="12"/>
      <c r="BA16" s="12"/>
      <c r="BB16" s="12">
        <f>BA16+'12'!BB16</f>
        <v>2132</v>
      </c>
      <c r="BC16" s="30">
        <f t="shared" si="2"/>
        <v>0.71519624287151962</v>
      </c>
      <c r="BD16" s="12">
        <f>'12'!BD16</f>
        <v>12</v>
      </c>
      <c r="BE16" s="12">
        <f>'12'!BE16</f>
        <v>1313</v>
      </c>
      <c r="BF16" s="12"/>
      <c r="BG16" s="12"/>
      <c r="BH16" s="12">
        <f>BG16+'12'!BH16</f>
        <v>0</v>
      </c>
      <c r="BI16" s="30">
        <f t="shared" si="3"/>
        <v>0</v>
      </c>
    </row>
    <row r="17" spans="1:61" ht="41.5" customHeight="1" x14ac:dyDescent="0.35">
      <c r="A17" s="5">
        <v>7</v>
      </c>
      <c r="B17" s="26" t="str">
        <f>'12'!B17</f>
        <v>أجهور الرمل</v>
      </c>
      <c r="C17" s="26">
        <f>'12'!C17</f>
        <v>3590</v>
      </c>
      <c r="D17" s="26"/>
      <c r="E17" s="12"/>
      <c r="F17" s="2">
        <f>E17+'12'!F17</f>
        <v>17</v>
      </c>
      <c r="G17" s="2"/>
      <c r="H17" s="2">
        <f>G17+'12'!H17</f>
        <v>591</v>
      </c>
      <c r="I17" s="2"/>
      <c r="J17" s="2">
        <f>I17+'12'!J17</f>
        <v>1489</v>
      </c>
      <c r="K17" s="2"/>
      <c r="L17" s="2">
        <f>K17+'12'!L17</f>
        <v>0</v>
      </c>
      <c r="M17" s="2"/>
      <c r="N17" s="2">
        <f>M17+'12'!N17</f>
        <v>0</v>
      </c>
      <c r="O17" s="2"/>
      <c r="P17" s="2">
        <f>O17+'12'!P17</f>
        <v>0</v>
      </c>
      <c r="Q17" s="4">
        <f t="shared" si="4"/>
        <v>0</v>
      </c>
      <c r="R17" s="4">
        <f>Q17+'12'!R17</f>
        <v>2097</v>
      </c>
      <c r="S17" s="27">
        <f t="shared" si="5"/>
        <v>0.58412256267409468</v>
      </c>
      <c r="T17" s="12"/>
      <c r="U17" s="12">
        <f>T17+'12'!U17</f>
        <v>360</v>
      </c>
      <c r="V17" s="12"/>
      <c r="W17" s="12">
        <f>V17+'12'!W17</f>
        <v>121</v>
      </c>
      <c r="X17" s="12"/>
      <c r="Y17" s="12">
        <f>X17+'12'!Y17</f>
        <v>0</v>
      </c>
      <c r="AB17" s="5">
        <v>7</v>
      </c>
      <c r="AC17" s="26" t="str">
        <f>'12'!AC17</f>
        <v>أجهور الرمل</v>
      </c>
      <c r="AD17" s="28">
        <f>'12'!AI17</f>
        <v>100</v>
      </c>
      <c r="AE17" s="3"/>
      <c r="AF17" s="28">
        <f>AE17+'12'!AF17</f>
        <v>316</v>
      </c>
      <c r="AG17" s="4"/>
      <c r="AH17" s="28">
        <f>AG17+'12'!AH17</f>
        <v>216</v>
      </c>
      <c r="AI17" s="4">
        <f t="shared" si="6"/>
        <v>100</v>
      </c>
      <c r="AJ17" s="11" t="e">
        <f t="shared" si="0"/>
        <v>#DIV/0!</v>
      </c>
      <c r="AK17" s="53">
        <f t="shared" si="1"/>
        <v>9.7083333333333339</v>
      </c>
      <c r="AW17" s="26" t="str">
        <f>'12'!AW17</f>
        <v>أجهور الرمل</v>
      </c>
      <c r="AX17" s="12">
        <f>'12'!AX17</f>
        <v>4</v>
      </c>
      <c r="AY17" s="12">
        <f>'12'!AY17</f>
        <v>1796</v>
      </c>
      <c r="AZ17" s="12"/>
      <c r="BA17" s="12"/>
      <c r="BB17" s="12">
        <f>BA17+'12'!BB17</f>
        <v>1422</v>
      </c>
      <c r="BC17" s="30">
        <f t="shared" si="2"/>
        <v>0.79175946547884191</v>
      </c>
      <c r="BD17" s="12">
        <f>'12'!BD17</f>
        <v>3</v>
      </c>
      <c r="BE17" s="12">
        <f>'12'!BE17</f>
        <v>100</v>
      </c>
      <c r="BF17" s="12"/>
      <c r="BG17" s="12"/>
      <c r="BH17" s="12">
        <f>BG17+'12'!BH17</f>
        <v>441</v>
      </c>
      <c r="BI17" s="30">
        <f t="shared" si="3"/>
        <v>4.41</v>
      </c>
    </row>
    <row r="18" spans="1:61" ht="41.5" customHeight="1" x14ac:dyDescent="0.35">
      <c r="A18" s="5">
        <v>8</v>
      </c>
      <c r="B18" s="26" t="str">
        <f>'12'!B18</f>
        <v>منشأة دمــــــــــلو</v>
      </c>
      <c r="C18" s="26">
        <f>'12'!C18</f>
        <v>1320</v>
      </c>
      <c r="D18" s="26"/>
      <c r="E18" s="12"/>
      <c r="F18" s="2">
        <f>E18+'12'!F18</f>
        <v>18</v>
      </c>
      <c r="G18" s="2"/>
      <c r="H18" s="2">
        <f>G18+'12'!H18</f>
        <v>528</v>
      </c>
      <c r="I18" s="2"/>
      <c r="J18" s="2">
        <f>I18+'12'!J18</f>
        <v>704</v>
      </c>
      <c r="K18" s="2"/>
      <c r="L18" s="2">
        <f>K18+'12'!L18</f>
        <v>0</v>
      </c>
      <c r="M18" s="2"/>
      <c r="N18" s="2">
        <f>M18+'12'!N18</f>
        <v>0</v>
      </c>
      <c r="O18" s="2"/>
      <c r="P18" s="2">
        <f>O18+'12'!P18</f>
        <v>0</v>
      </c>
      <c r="Q18" s="4">
        <f t="shared" si="4"/>
        <v>0</v>
      </c>
      <c r="R18" s="4">
        <f>Q18+'12'!R18</f>
        <v>1250</v>
      </c>
      <c r="S18" s="27">
        <f t="shared" si="5"/>
        <v>0.94696969696969702</v>
      </c>
      <c r="T18" s="12"/>
      <c r="U18" s="12">
        <f>T18+'12'!U18</f>
        <v>175</v>
      </c>
      <c r="V18" s="12"/>
      <c r="W18" s="12">
        <f>V18+'12'!W18</f>
        <v>38</v>
      </c>
      <c r="X18" s="12"/>
      <c r="Y18" s="12">
        <f>X18+'12'!Y18</f>
        <v>0</v>
      </c>
      <c r="AB18" s="5">
        <v>8</v>
      </c>
      <c r="AC18" s="26" t="str">
        <f>'12'!AC18</f>
        <v>منشأة دمــــــــــلو</v>
      </c>
      <c r="AD18" s="28">
        <f>'12'!AI18</f>
        <v>4</v>
      </c>
      <c r="AE18" s="3"/>
      <c r="AF18" s="28">
        <f>AE18+'12'!AF18</f>
        <v>135</v>
      </c>
      <c r="AG18" s="4"/>
      <c r="AH18" s="28">
        <f>AG18+'12'!AH18</f>
        <v>131</v>
      </c>
      <c r="AI18" s="4">
        <f t="shared" si="6"/>
        <v>4</v>
      </c>
      <c r="AJ18" s="11" t="e">
        <f t="shared" si="0"/>
        <v>#DIV/0!</v>
      </c>
      <c r="AK18" s="53">
        <f t="shared" si="1"/>
        <v>9.5419847328244281</v>
      </c>
      <c r="AW18" s="26" t="str">
        <f>'12'!AW18</f>
        <v>منشأة دمــــــــــلو</v>
      </c>
      <c r="AX18" s="12">
        <f>'12'!AX18</f>
        <v>2</v>
      </c>
      <c r="AY18" s="12">
        <f>'12'!AY18</f>
        <v>896</v>
      </c>
      <c r="AZ18" s="12"/>
      <c r="BA18" s="12"/>
      <c r="BB18" s="12">
        <f>BA18+'12'!BB18</f>
        <v>748</v>
      </c>
      <c r="BC18" s="30">
        <f t="shared" si="2"/>
        <v>0.8348214285714286</v>
      </c>
      <c r="BD18" s="12">
        <f>'12'!BD18</f>
        <v>8</v>
      </c>
      <c r="BE18" s="12">
        <f>'12'!BE18</f>
        <v>340</v>
      </c>
      <c r="BF18" s="12"/>
      <c r="BG18" s="12"/>
      <c r="BH18" s="12">
        <f>BG18+'12'!BH18</f>
        <v>328</v>
      </c>
      <c r="BI18" s="30">
        <f t="shared" si="3"/>
        <v>0.96470588235294119</v>
      </c>
    </row>
    <row r="19" spans="1:61" ht="41.5" customHeight="1" x14ac:dyDescent="0.35">
      <c r="A19" s="5">
        <v>9</v>
      </c>
      <c r="B19" s="26" t="str">
        <f>'12'!B19</f>
        <v>شـــــــــــــرانيس</v>
      </c>
      <c r="C19" s="26">
        <f>'12'!C19</f>
        <v>1414</v>
      </c>
      <c r="D19" s="26"/>
      <c r="E19" s="12"/>
      <c r="F19" s="2">
        <f>E19+'12'!F19</f>
        <v>11</v>
      </c>
      <c r="G19" s="2"/>
      <c r="H19" s="2">
        <f>G19+'12'!H19</f>
        <v>359</v>
      </c>
      <c r="I19" s="2"/>
      <c r="J19" s="2">
        <f>I19+'12'!J19</f>
        <v>618</v>
      </c>
      <c r="K19" s="2"/>
      <c r="L19" s="2">
        <f>K19+'12'!L19</f>
        <v>0</v>
      </c>
      <c r="M19" s="2"/>
      <c r="N19" s="2">
        <f>M19+'12'!N19</f>
        <v>0</v>
      </c>
      <c r="O19" s="2"/>
      <c r="P19" s="2">
        <f>O19+'12'!P19</f>
        <v>0</v>
      </c>
      <c r="Q19" s="4">
        <f t="shared" si="4"/>
        <v>0</v>
      </c>
      <c r="R19" s="4">
        <f>Q19+'12'!R19</f>
        <v>988</v>
      </c>
      <c r="S19" s="27">
        <f t="shared" si="5"/>
        <v>0.69872701555869876</v>
      </c>
      <c r="T19" s="12"/>
      <c r="U19" s="12">
        <f>T19+'12'!U19</f>
        <v>143</v>
      </c>
      <c r="V19" s="12"/>
      <c r="W19" s="12">
        <f>V19+'12'!W19</f>
        <v>0</v>
      </c>
      <c r="X19" s="12"/>
      <c r="Y19" s="12">
        <f>X19+'12'!Y19</f>
        <v>0</v>
      </c>
      <c r="AB19" s="5">
        <v>9</v>
      </c>
      <c r="AC19" s="26" t="str">
        <f>'12'!AC19</f>
        <v>شـــــــــــــرانيس</v>
      </c>
      <c r="AD19" s="28">
        <f>'12'!AI19</f>
        <v>22</v>
      </c>
      <c r="AE19" s="3"/>
      <c r="AF19" s="28">
        <f>AE19+'12'!AF19</f>
        <v>125</v>
      </c>
      <c r="AG19" s="4"/>
      <c r="AH19" s="28">
        <f>AG19+'12'!AH19</f>
        <v>103</v>
      </c>
      <c r="AI19" s="4">
        <f t="shared" si="6"/>
        <v>22</v>
      </c>
      <c r="AJ19" s="11" t="e">
        <f t="shared" si="0"/>
        <v>#DIV/0!</v>
      </c>
      <c r="AK19" s="53">
        <f t="shared" si="1"/>
        <v>9.5922330097087372</v>
      </c>
      <c r="AW19" s="26" t="str">
        <f>'12'!AW19</f>
        <v>شـــــــــــــرانيس</v>
      </c>
      <c r="AX19" s="12">
        <f>'12'!AX19</f>
        <v>2</v>
      </c>
      <c r="AY19" s="12">
        <f>'12'!AY19</f>
        <v>675</v>
      </c>
      <c r="AZ19" s="12"/>
      <c r="BA19" s="12"/>
      <c r="BB19" s="12">
        <f>BA19+'12'!BB19</f>
        <v>569</v>
      </c>
      <c r="BC19" s="30">
        <f t="shared" si="2"/>
        <v>0.84296296296296291</v>
      </c>
      <c r="BD19" s="12">
        <f>'12'!BD19</f>
        <v>2</v>
      </c>
      <c r="BE19" s="12">
        <f>'12'!BE19</f>
        <v>397</v>
      </c>
      <c r="BF19" s="12"/>
      <c r="BG19" s="12"/>
      <c r="BH19" s="12">
        <f>BG19+'12'!BH19</f>
        <v>349</v>
      </c>
      <c r="BI19" s="30">
        <f t="shared" si="3"/>
        <v>0.87909319899244331</v>
      </c>
    </row>
    <row r="20" spans="1:61" ht="41.5" customHeight="1" x14ac:dyDescent="0.35">
      <c r="A20" s="5">
        <v>10</v>
      </c>
      <c r="B20" s="26" t="str">
        <f>'12'!B20</f>
        <v>قويســـــــــنا البلد</v>
      </c>
      <c r="C20" s="26">
        <f>'12'!C20</f>
        <v>4115</v>
      </c>
      <c r="D20" s="26"/>
      <c r="E20" s="12"/>
      <c r="F20" s="2">
        <f>E20+'12'!F20</f>
        <v>27</v>
      </c>
      <c r="G20" s="2"/>
      <c r="H20" s="2">
        <f>G20+'12'!H20</f>
        <v>406</v>
      </c>
      <c r="I20" s="2"/>
      <c r="J20" s="2">
        <f>I20+'12'!J20</f>
        <v>1286</v>
      </c>
      <c r="K20" s="2"/>
      <c r="L20" s="2">
        <f>K20+'12'!L20</f>
        <v>0</v>
      </c>
      <c r="M20" s="2"/>
      <c r="N20" s="2">
        <f>M20+'12'!N20</f>
        <v>0</v>
      </c>
      <c r="O20" s="2"/>
      <c r="P20" s="2">
        <f>O20+'12'!P20</f>
        <v>0</v>
      </c>
      <c r="Q20" s="4">
        <f t="shared" si="4"/>
        <v>0</v>
      </c>
      <c r="R20" s="4">
        <f>Q20+'12'!R20</f>
        <v>1719</v>
      </c>
      <c r="S20" s="27">
        <f t="shared" si="5"/>
        <v>0.41773997569866345</v>
      </c>
      <c r="T20" s="12"/>
      <c r="U20" s="12">
        <f>T20+'12'!U20</f>
        <v>405</v>
      </c>
      <c r="V20" s="12"/>
      <c r="W20" s="12">
        <f>V20+'12'!W20</f>
        <v>144</v>
      </c>
      <c r="X20" s="12"/>
      <c r="Y20" s="12">
        <f>X20+'12'!Y20</f>
        <v>0</v>
      </c>
      <c r="AB20" s="5">
        <v>10</v>
      </c>
      <c r="AC20" s="26" t="str">
        <f>'12'!AC20</f>
        <v>قويســـــــــنا البلد</v>
      </c>
      <c r="AD20" s="28">
        <f>'12'!AI20</f>
        <v>185</v>
      </c>
      <c r="AE20" s="3"/>
      <c r="AF20" s="28">
        <f>AE20+'12'!AF20</f>
        <v>360</v>
      </c>
      <c r="AG20" s="4"/>
      <c r="AH20" s="28">
        <f>AG20+'12'!AH20</f>
        <v>175</v>
      </c>
      <c r="AI20" s="4">
        <f t="shared" si="6"/>
        <v>185</v>
      </c>
      <c r="AJ20" s="11" t="e">
        <f t="shared" si="0"/>
        <v>#DIV/0!</v>
      </c>
      <c r="AK20" s="53">
        <f t="shared" si="1"/>
        <v>9.8228571428571421</v>
      </c>
      <c r="AW20" s="26" t="str">
        <f>'12'!AW20</f>
        <v>قويســـــــــنا البلد</v>
      </c>
      <c r="AX20" s="12">
        <f>'12'!AX20</f>
        <v>2</v>
      </c>
      <c r="AY20" s="12">
        <f>'12'!AY20</f>
        <v>1539</v>
      </c>
      <c r="AZ20" s="12"/>
      <c r="BA20" s="12"/>
      <c r="BB20" s="12">
        <f>BA20+'12'!BB20</f>
        <v>1355</v>
      </c>
      <c r="BC20" s="30">
        <f t="shared" si="2"/>
        <v>0.88044184535412606</v>
      </c>
      <c r="BD20" s="12">
        <f>'12'!BD20</f>
        <v>7</v>
      </c>
      <c r="BE20" s="12">
        <f>'12'!BE20</f>
        <v>580</v>
      </c>
      <c r="BF20" s="12"/>
      <c r="BG20" s="12"/>
      <c r="BH20" s="12">
        <f>BG20+'12'!BH20</f>
        <v>204</v>
      </c>
      <c r="BI20" s="30">
        <f t="shared" si="3"/>
        <v>0.35172413793103446</v>
      </c>
    </row>
    <row r="21" spans="1:61" ht="41.5" customHeight="1" x14ac:dyDescent="0.35">
      <c r="A21" s="5">
        <v>11</v>
      </c>
      <c r="B21" s="26" t="str">
        <f>'12'!B21</f>
        <v>بجيرم</v>
      </c>
      <c r="C21" s="26">
        <f>'12'!C21</f>
        <v>1782</v>
      </c>
      <c r="D21" s="26"/>
      <c r="E21" s="12"/>
      <c r="F21" s="2">
        <f>E21+'12'!F21</f>
        <v>8</v>
      </c>
      <c r="G21" s="2"/>
      <c r="H21" s="2">
        <f>G21+'12'!H21</f>
        <v>406</v>
      </c>
      <c r="I21" s="2"/>
      <c r="J21" s="2">
        <f>I21+'12'!J21</f>
        <v>755</v>
      </c>
      <c r="K21" s="2"/>
      <c r="L21" s="2">
        <f>K21+'12'!L21</f>
        <v>0</v>
      </c>
      <c r="M21" s="2"/>
      <c r="N21" s="2">
        <f>M21+'12'!N21</f>
        <v>0</v>
      </c>
      <c r="O21" s="2"/>
      <c r="P21" s="2">
        <f>O21+'12'!P21</f>
        <v>0</v>
      </c>
      <c r="Q21" s="4">
        <f t="shared" si="4"/>
        <v>0</v>
      </c>
      <c r="R21" s="4">
        <f>Q21+'12'!R21</f>
        <v>1169</v>
      </c>
      <c r="S21" s="27">
        <f t="shared" si="5"/>
        <v>0.65600448933782263</v>
      </c>
      <c r="T21" s="12"/>
      <c r="U21" s="12">
        <f>T21+'12'!U21</f>
        <v>126</v>
      </c>
      <c r="V21" s="12"/>
      <c r="W21" s="12">
        <f>V21+'12'!W21</f>
        <v>44</v>
      </c>
      <c r="X21" s="12"/>
      <c r="Y21" s="12">
        <f>X21+'12'!Y21</f>
        <v>0</v>
      </c>
      <c r="AB21" s="5">
        <v>11</v>
      </c>
      <c r="AC21" s="26" t="str">
        <f>'12'!AC21</f>
        <v>بجيرم</v>
      </c>
      <c r="AD21" s="28">
        <f>'12'!AI21</f>
        <v>37</v>
      </c>
      <c r="AE21" s="3"/>
      <c r="AF21" s="28">
        <f>AE21+'12'!AF21</f>
        <v>157</v>
      </c>
      <c r="AG21" s="4"/>
      <c r="AH21" s="28">
        <f>AG21+'12'!AH21</f>
        <v>120</v>
      </c>
      <c r="AI21" s="4">
        <f t="shared" si="6"/>
        <v>37</v>
      </c>
      <c r="AJ21" s="11" t="e">
        <f t="shared" si="0"/>
        <v>#DIV/0!</v>
      </c>
      <c r="AK21" s="53">
        <f t="shared" si="1"/>
        <v>9.7416666666666671</v>
      </c>
      <c r="AW21" s="26" t="str">
        <f>'12'!AW21</f>
        <v>بجيرم</v>
      </c>
      <c r="AX21" s="12">
        <f>'12'!AX21</f>
        <v>4</v>
      </c>
      <c r="AY21" s="12">
        <f>'12'!AY21</f>
        <v>946</v>
      </c>
      <c r="AZ21" s="12"/>
      <c r="BA21" s="12"/>
      <c r="BB21" s="12">
        <f>BA21+'12'!BB21</f>
        <v>823</v>
      </c>
      <c r="BC21" s="30">
        <f t="shared" si="2"/>
        <v>0.86997885835095135</v>
      </c>
      <c r="BD21" s="12">
        <f>'12'!BD21</f>
        <v>4</v>
      </c>
      <c r="BE21" s="12">
        <f>'12'!BE21</f>
        <v>99</v>
      </c>
      <c r="BF21" s="12"/>
      <c r="BG21" s="12"/>
      <c r="BH21" s="12">
        <f>BG21+'12'!BH21</f>
        <v>99</v>
      </c>
      <c r="BI21" s="30">
        <f t="shared" si="3"/>
        <v>1</v>
      </c>
    </row>
    <row r="22" spans="1:61" ht="30" customHeight="1" x14ac:dyDescent="0.35">
      <c r="A22" s="5">
        <v>12</v>
      </c>
      <c r="B22" s="26" t="str">
        <f>'12'!B22</f>
        <v>كفر بنى غريـــان</v>
      </c>
      <c r="C22" s="26">
        <f>'12'!C22</f>
        <v>2184</v>
      </c>
      <c r="D22" s="26"/>
      <c r="E22" s="12"/>
      <c r="F22" s="2">
        <f>E22+'12'!F22</f>
        <v>12</v>
      </c>
      <c r="G22" s="2"/>
      <c r="H22" s="2">
        <f>G22+'12'!H22</f>
        <v>471</v>
      </c>
      <c r="I22" s="2"/>
      <c r="J22" s="2">
        <f>I22+'12'!J22</f>
        <v>971</v>
      </c>
      <c r="K22" s="2"/>
      <c r="L22" s="2">
        <f>K22+'12'!L22</f>
        <v>0</v>
      </c>
      <c r="M22" s="2"/>
      <c r="N22" s="2">
        <f>M22+'12'!N22</f>
        <v>0</v>
      </c>
      <c r="O22" s="2"/>
      <c r="P22" s="2">
        <f>O22+'12'!P22</f>
        <v>0</v>
      </c>
      <c r="Q22" s="4">
        <f t="shared" si="4"/>
        <v>0</v>
      </c>
      <c r="R22" s="4">
        <f>Q22+'12'!R22</f>
        <v>1454</v>
      </c>
      <c r="S22" s="27">
        <f t="shared" si="5"/>
        <v>0.66575091575091572</v>
      </c>
      <c r="T22" s="12"/>
      <c r="U22" s="12">
        <f>T22+'12'!U22</f>
        <v>174</v>
      </c>
      <c r="V22" s="12"/>
      <c r="W22" s="12">
        <f>V22+'12'!W22</f>
        <v>7</v>
      </c>
      <c r="X22" s="12"/>
      <c r="Y22" s="12">
        <f>X22+'12'!Y22</f>
        <v>0</v>
      </c>
      <c r="AB22" s="5">
        <v>12</v>
      </c>
      <c r="AC22" s="26" t="str">
        <f>'12'!AC22</f>
        <v>كفر بنى غريـــان</v>
      </c>
      <c r="AD22" s="28">
        <f>'12'!AI22</f>
        <v>42</v>
      </c>
      <c r="AE22" s="3"/>
      <c r="AF22" s="28">
        <f>AE22+'12'!AF22</f>
        <v>192</v>
      </c>
      <c r="AG22" s="4"/>
      <c r="AH22" s="28">
        <f>AG22+'12'!AH22</f>
        <v>150</v>
      </c>
      <c r="AI22" s="4">
        <f t="shared" si="6"/>
        <v>42</v>
      </c>
      <c r="AJ22" s="11" t="e">
        <f t="shared" si="0"/>
        <v>#DIV/0!</v>
      </c>
      <c r="AK22" s="53">
        <f t="shared" si="1"/>
        <v>9.6933333333333334</v>
      </c>
      <c r="AW22" s="26" t="str">
        <f>'12'!AW22</f>
        <v>كفر بنى غريـــان</v>
      </c>
      <c r="AX22" s="12">
        <f>'12'!AX22</f>
        <v>3</v>
      </c>
      <c r="AY22" s="12">
        <f>'12'!AY22</f>
        <v>1327</v>
      </c>
      <c r="AZ22" s="12"/>
      <c r="BA22" s="12"/>
      <c r="BB22" s="12">
        <f>BA22+'12'!BB22</f>
        <v>994</v>
      </c>
      <c r="BC22" s="30">
        <f t="shared" si="2"/>
        <v>0.74905802562170309</v>
      </c>
      <c r="BD22" s="12">
        <f>'12'!BD22</f>
        <v>9</v>
      </c>
      <c r="BE22" s="12">
        <f>'12'!BE22</f>
        <v>381</v>
      </c>
      <c r="BF22" s="12"/>
      <c r="BG22" s="12"/>
      <c r="BH22" s="12">
        <f>BG22+'12'!BH22</f>
        <v>387</v>
      </c>
      <c r="BI22" s="30">
        <f t="shared" si="3"/>
        <v>1.015748031496063</v>
      </c>
    </row>
    <row r="23" spans="1:61" ht="30" customHeight="1" x14ac:dyDescent="0.35">
      <c r="A23" s="5">
        <v>13</v>
      </c>
      <c r="B23" s="26" t="str">
        <f>'12'!B23</f>
        <v>بــقســـــــــــــــــا</v>
      </c>
      <c r="C23" s="26">
        <f>'12'!C23</f>
        <v>862</v>
      </c>
      <c r="D23" s="26"/>
      <c r="E23" s="12"/>
      <c r="F23" s="2">
        <f>E23+'12'!F23</f>
        <v>8</v>
      </c>
      <c r="G23" s="2"/>
      <c r="H23" s="2">
        <f>G23+'12'!H23</f>
        <v>160</v>
      </c>
      <c r="I23" s="2"/>
      <c r="J23" s="2">
        <f>I23+'12'!J23</f>
        <v>359</v>
      </c>
      <c r="K23" s="2"/>
      <c r="L23" s="2">
        <f>K23+'12'!L23</f>
        <v>0</v>
      </c>
      <c r="M23" s="2"/>
      <c r="N23" s="2">
        <f>M23+'12'!N23</f>
        <v>0</v>
      </c>
      <c r="O23" s="2"/>
      <c r="P23" s="2">
        <f>O23+'12'!P23</f>
        <v>0</v>
      </c>
      <c r="Q23" s="4">
        <f t="shared" si="4"/>
        <v>0</v>
      </c>
      <c r="R23" s="4">
        <f>Q23+'12'!R23</f>
        <v>527</v>
      </c>
      <c r="S23" s="27">
        <f t="shared" si="5"/>
        <v>0.61136890951276102</v>
      </c>
      <c r="T23" s="12"/>
      <c r="U23" s="12">
        <f>T23+'12'!U23</f>
        <v>36</v>
      </c>
      <c r="V23" s="12"/>
      <c r="W23" s="12">
        <f>V23+'12'!W23</f>
        <v>14</v>
      </c>
      <c r="X23" s="12"/>
      <c r="Y23" s="12">
        <f>X23+'12'!Y23</f>
        <v>0</v>
      </c>
      <c r="AB23" s="5">
        <v>13</v>
      </c>
      <c r="AC23" s="26" t="str">
        <f>'12'!AC23</f>
        <v>بــقســـــــــــــــــا</v>
      </c>
      <c r="AD23" s="28">
        <f>'12'!AI23</f>
        <v>22</v>
      </c>
      <c r="AE23" s="3"/>
      <c r="AF23" s="28">
        <f>AE23+'12'!AF23</f>
        <v>75</v>
      </c>
      <c r="AG23" s="4"/>
      <c r="AH23" s="28">
        <f>AG23+'12'!AH23</f>
        <v>53</v>
      </c>
      <c r="AI23" s="4">
        <f t="shared" si="6"/>
        <v>22</v>
      </c>
      <c r="AJ23" s="11" t="e">
        <f t="shared" si="0"/>
        <v>#DIV/0!</v>
      </c>
      <c r="AK23" s="53">
        <f t="shared" si="1"/>
        <v>9.9433962264150946</v>
      </c>
      <c r="AW23" s="26" t="str">
        <f>'12'!AW23</f>
        <v>بــقســـــــــــــــــا</v>
      </c>
      <c r="AX23" s="12">
        <f>'12'!AX23</f>
        <v>1</v>
      </c>
      <c r="AY23" s="12">
        <f>'12'!AY23</f>
        <v>311</v>
      </c>
      <c r="AZ23" s="12"/>
      <c r="BA23" s="12"/>
      <c r="BB23" s="12">
        <f>BA23+'12'!BB23</f>
        <v>297</v>
      </c>
      <c r="BC23" s="30">
        <f t="shared" si="2"/>
        <v>0.954983922829582</v>
      </c>
      <c r="BD23" s="12">
        <f>'12'!BD23</f>
        <v>1</v>
      </c>
      <c r="BE23" s="12">
        <f>'12'!BE23</f>
        <v>40</v>
      </c>
      <c r="BF23" s="12"/>
      <c r="BG23" s="12"/>
      <c r="BH23" s="12">
        <f>BG23+'12'!BH23</f>
        <v>30</v>
      </c>
      <c r="BI23" s="30">
        <f t="shared" si="3"/>
        <v>0.75</v>
      </c>
    </row>
    <row r="24" spans="1:61" ht="37.15" customHeight="1" x14ac:dyDescent="0.35">
      <c r="A24" s="5">
        <v>14</v>
      </c>
      <c r="B24" s="26" t="str">
        <f>'12'!B24</f>
        <v>كفــــــــر الأكرم</v>
      </c>
      <c r="C24" s="26">
        <f>'12'!C24</f>
        <v>918</v>
      </c>
      <c r="D24" s="26"/>
      <c r="E24" s="12"/>
      <c r="F24" s="2">
        <f>E24+'12'!F24</f>
        <v>3</v>
      </c>
      <c r="G24" s="2"/>
      <c r="H24" s="2">
        <f>G24+'12'!H24</f>
        <v>233</v>
      </c>
      <c r="I24" s="2"/>
      <c r="J24" s="2">
        <f>I24+'12'!J24</f>
        <v>392</v>
      </c>
      <c r="K24" s="2"/>
      <c r="L24" s="2">
        <f>K24+'12'!L24</f>
        <v>0</v>
      </c>
      <c r="M24" s="2"/>
      <c r="N24" s="2">
        <f>M24+'12'!N24</f>
        <v>0</v>
      </c>
      <c r="O24" s="2"/>
      <c r="P24" s="2">
        <f>O24+'12'!P24</f>
        <v>0</v>
      </c>
      <c r="Q24" s="4">
        <f t="shared" si="4"/>
        <v>0</v>
      </c>
      <c r="R24" s="4">
        <f>Q24+'12'!R24</f>
        <v>628</v>
      </c>
      <c r="S24" s="27">
        <f t="shared" si="5"/>
        <v>0.68409586056644878</v>
      </c>
      <c r="T24" s="12"/>
      <c r="U24" s="12">
        <f>T24+'12'!U24</f>
        <v>87</v>
      </c>
      <c r="V24" s="12"/>
      <c r="W24" s="12">
        <f>V24+'12'!W24</f>
        <v>9</v>
      </c>
      <c r="X24" s="12"/>
      <c r="Y24" s="12">
        <f>X24+'12'!Y24</f>
        <v>0</v>
      </c>
      <c r="AB24" s="5">
        <v>14</v>
      </c>
      <c r="AC24" s="26" t="str">
        <f>'12'!AC24</f>
        <v>كفــــــــر الأكرم</v>
      </c>
      <c r="AD24" s="28">
        <f>'12'!AI24</f>
        <v>15</v>
      </c>
      <c r="AE24" s="3"/>
      <c r="AF24" s="28">
        <f>AE24+'12'!AF24</f>
        <v>80</v>
      </c>
      <c r="AG24" s="4"/>
      <c r="AH24" s="28">
        <f>AG24+'12'!AH24</f>
        <v>65</v>
      </c>
      <c r="AI24" s="4">
        <f t="shared" si="6"/>
        <v>15</v>
      </c>
      <c r="AJ24" s="11" t="e">
        <f t="shared" si="0"/>
        <v>#DIV/0!</v>
      </c>
      <c r="AK24" s="53">
        <f t="shared" si="1"/>
        <v>9.661538461538461</v>
      </c>
      <c r="AW24" s="26" t="str">
        <f>'12'!AW24</f>
        <v>كفــــــــر الأكرم</v>
      </c>
      <c r="AX24" s="12">
        <f>'12'!AX24</f>
        <v>2</v>
      </c>
      <c r="AY24" s="12">
        <f>'12'!AY24</f>
        <v>540</v>
      </c>
      <c r="AZ24" s="12"/>
      <c r="BA24" s="12"/>
      <c r="BB24" s="12">
        <f>BA24+'12'!BB24</f>
        <v>380</v>
      </c>
      <c r="BC24" s="30">
        <f t="shared" si="2"/>
        <v>0.70370370370370372</v>
      </c>
      <c r="BD24" s="12">
        <f>'12'!BD24</f>
        <v>2</v>
      </c>
      <c r="BE24" s="12">
        <f>'12'!BE24</f>
        <v>115</v>
      </c>
      <c r="BF24" s="12"/>
      <c r="BG24" s="12"/>
      <c r="BH24" s="12">
        <f>BG24+'12'!BH24</f>
        <v>160</v>
      </c>
      <c r="BI24" s="30">
        <f t="shared" si="3"/>
        <v>1.3913043478260869</v>
      </c>
    </row>
    <row r="25" spans="1:61" ht="28.9" customHeight="1" x14ac:dyDescent="0.35">
      <c r="A25" s="5">
        <v>15</v>
      </c>
      <c r="B25" s="26" t="str">
        <f>'12'!B25</f>
        <v>كفـــــــــر إبنهس</v>
      </c>
      <c r="C25" s="26">
        <f>'12'!C25</f>
        <v>2072</v>
      </c>
      <c r="D25" s="26"/>
      <c r="E25" s="12"/>
      <c r="F25" s="2">
        <f>E25+'12'!F25</f>
        <v>6</v>
      </c>
      <c r="G25" s="2"/>
      <c r="H25" s="2">
        <f>G25+'12'!H25</f>
        <v>345</v>
      </c>
      <c r="I25" s="2"/>
      <c r="J25" s="2">
        <f>I25+'12'!J25</f>
        <v>974</v>
      </c>
      <c r="K25" s="2"/>
      <c r="L25" s="2">
        <f>K25+'12'!L25</f>
        <v>0</v>
      </c>
      <c r="M25" s="2"/>
      <c r="N25" s="2">
        <f>M25+'12'!N25</f>
        <v>0</v>
      </c>
      <c r="O25" s="2"/>
      <c r="P25" s="2">
        <f>O25+'12'!P25</f>
        <v>0</v>
      </c>
      <c r="Q25" s="4">
        <f t="shared" si="4"/>
        <v>0</v>
      </c>
      <c r="R25" s="4">
        <f>Q25+'12'!R25</f>
        <v>1325</v>
      </c>
      <c r="S25" s="27">
        <f t="shared" si="5"/>
        <v>0.63947876447876451</v>
      </c>
      <c r="T25" s="12"/>
      <c r="U25" s="12">
        <f>T25+'12'!U25</f>
        <v>173</v>
      </c>
      <c r="V25" s="12"/>
      <c r="W25" s="12">
        <f>V25+'12'!W25</f>
        <v>50</v>
      </c>
      <c r="X25" s="12"/>
      <c r="Y25" s="12">
        <f>X25+'12'!Y25</f>
        <v>0</v>
      </c>
      <c r="AB25" s="5">
        <v>15</v>
      </c>
      <c r="AC25" s="26" t="str">
        <f>'12'!AC25</f>
        <v>كفـــــــــر إبنهس</v>
      </c>
      <c r="AD25" s="28">
        <f>'12'!AI25</f>
        <v>31</v>
      </c>
      <c r="AE25" s="3"/>
      <c r="AF25" s="28">
        <f>AE25+'12'!AF25</f>
        <v>180</v>
      </c>
      <c r="AG25" s="4"/>
      <c r="AH25" s="28">
        <f>AG25+'12'!AH25</f>
        <v>149</v>
      </c>
      <c r="AI25" s="4">
        <f t="shared" si="6"/>
        <v>31</v>
      </c>
      <c r="AJ25" s="11" t="e">
        <f t="shared" si="0"/>
        <v>#DIV/0!</v>
      </c>
      <c r="AK25" s="53">
        <f t="shared" si="1"/>
        <v>8.8926174496644297</v>
      </c>
      <c r="AW25" s="26" t="str">
        <f>'12'!AW25</f>
        <v>كفـــــــــر إبنهس</v>
      </c>
      <c r="AX25" s="12">
        <f>'12'!AX25</f>
        <v>3</v>
      </c>
      <c r="AY25" s="12">
        <f>'12'!AY25</f>
        <v>1013</v>
      </c>
      <c r="AZ25" s="12"/>
      <c r="BA25" s="12"/>
      <c r="BB25" s="12">
        <f>BA25+'12'!BB25</f>
        <v>838</v>
      </c>
      <c r="BC25" s="30">
        <f t="shared" si="2"/>
        <v>0.82724580454096741</v>
      </c>
      <c r="BD25" s="12">
        <f>'12'!BD25</f>
        <v>4</v>
      </c>
      <c r="BE25" s="12">
        <f>'12'!BE25</f>
        <v>620</v>
      </c>
      <c r="BF25" s="12"/>
      <c r="BG25" s="12"/>
      <c r="BH25" s="12">
        <f>BG25+'12'!BH25</f>
        <v>507</v>
      </c>
      <c r="BI25" s="30">
        <f t="shared" si="3"/>
        <v>0.81774193548387097</v>
      </c>
    </row>
    <row r="26" spans="1:61" ht="28.9" customHeight="1" x14ac:dyDescent="0.35">
      <c r="A26" s="5">
        <v>16</v>
      </c>
      <c r="B26" s="26" t="str">
        <f>'12'!B26</f>
        <v>الرمــــــــــــــالى</v>
      </c>
      <c r="C26" s="26">
        <f>'12'!C26</f>
        <v>2699</v>
      </c>
      <c r="D26" s="26"/>
      <c r="E26" s="12"/>
      <c r="F26" s="2">
        <f>E26+'12'!F26</f>
        <v>27</v>
      </c>
      <c r="G26" s="2"/>
      <c r="H26" s="2">
        <f>G26+'12'!H26</f>
        <v>312</v>
      </c>
      <c r="I26" s="2"/>
      <c r="J26" s="2">
        <f>I26+'12'!J26</f>
        <v>993</v>
      </c>
      <c r="K26" s="2"/>
      <c r="L26" s="2">
        <f>K26+'12'!L26</f>
        <v>0</v>
      </c>
      <c r="M26" s="2"/>
      <c r="N26" s="2">
        <f>M26+'12'!N26</f>
        <v>0</v>
      </c>
      <c r="O26" s="2"/>
      <c r="P26" s="2">
        <f>O26+'12'!P26</f>
        <v>0</v>
      </c>
      <c r="Q26" s="4">
        <f t="shared" si="4"/>
        <v>0</v>
      </c>
      <c r="R26" s="4">
        <f>Q26+'12'!R26</f>
        <v>1332</v>
      </c>
      <c r="S26" s="27">
        <f t="shared" si="5"/>
        <v>0.49351611708040016</v>
      </c>
      <c r="T26" s="12"/>
      <c r="U26" s="12">
        <f>T26+'12'!U26</f>
        <v>114</v>
      </c>
      <c r="V26" s="12"/>
      <c r="W26" s="12">
        <f>V26+'12'!W26</f>
        <v>108</v>
      </c>
      <c r="X26" s="12"/>
      <c r="Y26" s="12">
        <f>X26+'12'!Y26</f>
        <v>1</v>
      </c>
      <c r="Z26" s="38"/>
      <c r="AB26" s="5">
        <v>16</v>
      </c>
      <c r="AC26" s="26" t="str">
        <f>'12'!AC26</f>
        <v>الرمــــــــــــــالى</v>
      </c>
      <c r="AD26" s="28">
        <f>'12'!AI26</f>
        <v>96</v>
      </c>
      <c r="AE26" s="3"/>
      <c r="AF26" s="28">
        <f>AE26+'12'!AF26</f>
        <v>235</v>
      </c>
      <c r="AG26" s="4"/>
      <c r="AH26" s="28">
        <f>AG26+'12'!AH26</f>
        <v>139</v>
      </c>
      <c r="AI26" s="4">
        <f t="shared" si="6"/>
        <v>96</v>
      </c>
      <c r="AJ26" s="11" t="e">
        <f t="shared" si="0"/>
        <v>#DIV/0!</v>
      </c>
      <c r="AK26" s="53">
        <f t="shared" si="1"/>
        <v>9.5827338129496411</v>
      </c>
      <c r="AV26" s="38"/>
      <c r="AW26" s="26" t="str">
        <f>'12'!AW26</f>
        <v>الرمــــــــــــــالى</v>
      </c>
      <c r="AX26" s="12">
        <f>'12'!AX26</f>
        <v>3</v>
      </c>
      <c r="AY26" s="12">
        <f>'12'!AY26</f>
        <v>1486</v>
      </c>
      <c r="AZ26" s="12"/>
      <c r="BA26" s="12"/>
      <c r="BB26" s="12">
        <f>BA26+'12'!BB26</f>
        <v>1149</v>
      </c>
      <c r="BC26" s="30">
        <f t="shared" si="2"/>
        <v>0.77321668909825036</v>
      </c>
      <c r="BD26" s="12">
        <f>'12'!BD26</f>
        <v>3</v>
      </c>
      <c r="BE26" s="12">
        <f>'12'!BE26</f>
        <v>98</v>
      </c>
      <c r="BF26" s="12"/>
      <c r="BG26" s="12"/>
      <c r="BH26" s="12">
        <f>BG26+'12'!BH26</f>
        <v>0</v>
      </c>
      <c r="BI26" s="30">
        <f t="shared" si="3"/>
        <v>0</v>
      </c>
    </row>
    <row r="27" spans="1:61" ht="28.9" customHeight="1" x14ac:dyDescent="0.35">
      <c r="A27" s="5">
        <v>17</v>
      </c>
      <c r="B27" s="26" t="str">
        <f>'12'!B27</f>
        <v>مصطــــــــــــاى</v>
      </c>
      <c r="C27" s="26">
        <f>'12'!C27</f>
        <v>2666</v>
      </c>
      <c r="D27" s="26"/>
      <c r="E27" s="12"/>
      <c r="F27" s="2">
        <f>E27+'12'!F27</f>
        <v>54</v>
      </c>
      <c r="G27" s="2"/>
      <c r="H27" s="2">
        <f>G27+'12'!H27</f>
        <v>364</v>
      </c>
      <c r="I27" s="2"/>
      <c r="J27" s="2">
        <f>I27+'12'!J27</f>
        <v>1154</v>
      </c>
      <c r="K27" s="2"/>
      <c r="L27" s="2">
        <f>K27+'12'!L27</f>
        <v>0</v>
      </c>
      <c r="M27" s="2"/>
      <c r="N27" s="2">
        <f>M27+'12'!N27</f>
        <v>0</v>
      </c>
      <c r="O27" s="2"/>
      <c r="P27" s="2">
        <f>O27+'12'!P27</f>
        <v>0</v>
      </c>
      <c r="Q27" s="4">
        <f t="shared" si="4"/>
        <v>0</v>
      </c>
      <c r="R27" s="4">
        <f>Q27+'12'!R27</f>
        <v>1572</v>
      </c>
      <c r="S27" s="27">
        <f t="shared" si="5"/>
        <v>0.58964741185296321</v>
      </c>
      <c r="T27" s="12"/>
      <c r="U27" s="12">
        <f>T27+'12'!U27</f>
        <v>45</v>
      </c>
      <c r="V27" s="12"/>
      <c r="W27" s="12">
        <f>V27+'12'!W27</f>
        <v>15</v>
      </c>
      <c r="X27" s="12"/>
      <c r="Y27" s="12">
        <f>X27+'12'!Y27</f>
        <v>0</v>
      </c>
      <c r="AB27" s="5">
        <v>17</v>
      </c>
      <c r="AC27" s="26" t="str">
        <f>'12'!AC27</f>
        <v>مصطــــــــــــاى</v>
      </c>
      <c r="AD27" s="28">
        <f>'12'!AI27</f>
        <v>74</v>
      </c>
      <c r="AE27" s="3"/>
      <c r="AF27" s="28">
        <f>AE27+'12'!AF27</f>
        <v>234</v>
      </c>
      <c r="AG27" s="4"/>
      <c r="AH27" s="28">
        <f>AG27+'12'!AH27</f>
        <v>160</v>
      </c>
      <c r="AI27" s="4">
        <f t="shared" si="6"/>
        <v>74</v>
      </c>
      <c r="AJ27" s="11" t="e">
        <f t="shared" si="0"/>
        <v>#DIV/0!</v>
      </c>
      <c r="AK27" s="53">
        <f t="shared" si="1"/>
        <v>9.8249999999999993</v>
      </c>
      <c r="AW27" s="26" t="str">
        <f>'12'!AW27</f>
        <v>مصطــــــــــــاى</v>
      </c>
      <c r="AX27" s="12">
        <f>'12'!AX27</f>
        <v>3</v>
      </c>
      <c r="AY27" s="12">
        <f>'12'!AY27</f>
        <v>1709</v>
      </c>
      <c r="AZ27" s="12"/>
      <c r="BA27" s="12"/>
      <c r="BB27" s="12">
        <f>BA27+'12'!BB27</f>
        <v>1252</v>
      </c>
      <c r="BC27" s="30">
        <f t="shared" si="2"/>
        <v>0.73259215915740195</v>
      </c>
      <c r="BD27" s="12">
        <f>'12'!BD27</f>
        <v>6</v>
      </c>
      <c r="BE27" s="12">
        <f>'12'!BE27</f>
        <v>696</v>
      </c>
      <c r="BF27" s="12"/>
      <c r="BG27" s="12"/>
      <c r="BH27" s="12">
        <f>BG27+'12'!BH27</f>
        <v>120</v>
      </c>
      <c r="BI27" s="30">
        <f t="shared" si="3"/>
        <v>0.17241379310344829</v>
      </c>
    </row>
    <row r="28" spans="1:61" ht="28.9" customHeight="1" x14ac:dyDescent="0.35">
      <c r="A28" s="5">
        <v>18</v>
      </c>
      <c r="B28" s="26" t="str">
        <f>'12'!B28</f>
        <v>كفر طـــــــه شبرا</v>
      </c>
      <c r="C28" s="26">
        <f>'12'!C28</f>
        <v>1795</v>
      </c>
      <c r="D28" s="26"/>
      <c r="E28" s="12"/>
      <c r="F28" s="2">
        <f>E28+'12'!F28</f>
        <v>8</v>
      </c>
      <c r="G28" s="2"/>
      <c r="H28" s="2">
        <f>G28+'12'!H28</f>
        <v>294</v>
      </c>
      <c r="I28" s="2"/>
      <c r="J28" s="2">
        <f>I28+'12'!J28</f>
        <v>940</v>
      </c>
      <c r="K28" s="2"/>
      <c r="L28" s="2">
        <f>K28+'12'!L28</f>
        <v>0</v>
      </c>
      <c r="M28" s="2"/>
      <c r="N28" s="2">
        <f>M28+'12'!N28</f>
        <v>0</v>
      </c>
      <c r="O28" s="2"/>
      <c r="P28" s="2">
        <f>O28+'12'!P28</f>
        <v>0</v>
      </c>
      <c r="Q28" s="4">
        <f t="shared" si="4"/>
        <v>0</v>
      </c>
      <c r="R28" s="4">
        <f>Q28+'12'!R28</f>
        <v>1242</v>
      </c>
      <c r="S28" s="27">
        <f t="shared" si="5"/>
        <v>0.69192200557103067</v>
      </c>
      <c r="T28" s="12"/>
      <c r="U28" s="12">
        <f>T28+'12'!U28</f>
        <v>136</v>
      </c>
      <c r="V28" s="12"/>
      <c r="W28" s="12">
        <f>V28+'12'!W28</f>
        <v>33</v>
      </c>
      <c r="X28" s="12"/>
      <c r="Y28" s="12">
        <f>X28+'12'!Y28</f>
        <v>0</v>
      </c>
      <c r="AB28" s="5">
        <v>18</v>
      </c>
      <c r="AC28" s="26" t="str">
        <f>'12'!AC28</f>
        <v>كفر طـــــــه شبرا</v>
      </c>
      <c r="AD28" s="28">
        <f>'12'!AI28</f>
        <v>28</v>
      </c>
      <c r="AE28" s="3"/>
      <c r="AF28" s="28">
        <f>AE28+'12'!AF28</f>
        <v>158</v>
      </c>
      <c r="AG28" s="4"/>
      <c r="AH28" s="28">
        <f>AG28+'12'!AH28</f>
        <v>130</v>
      </c>
      <c r="AI28" s="4">
        <f t="shared" si="6"/>
        <v>28</v>
      </c>
      <c r="AJ28" s="11" t="e">
        <f t="shared" si="0"/>
        <v>#DIV/0!</v>
      </c>
      <c r="AK28" s="53">
        <f t="shared" si="1"/>
        <v>9.5538461538461537</v>
      </c>
      <c r="AW28" s="26" t="str">
        <f>'12'!AW28</f>
        <v>كفر طـــــــه شبرا</v>
      </c>
      <c r="AX28" s="12">
        <f>'12'!AX28</f>
        <v>4</v>
      </c>
      <c r="AY28" s="12">
        <f>'12'!AY28</f>
        <v>948</v>
      </c>
      <c r="AZ28" s="12"/>
      <c r="BA28" s="12"/>
      <c r="BB28" s="12">
        <f>BA28+'12'!BB28</f>
        <v>827</v>
      </c>
      <c r="BC28" s="30">
        <f t="shared" si="2"/>
        <v>0.87236286919831219</v>
      </c>
      <c r="BD28" s="12">
        <f>'12'!BD28</f>
        <v>7</v>
      </c>
      <c r="BE28" s="12">
        <f>'12'!BE28</f>
        <v>300</v>
      </c>
      <c r="BF28" s="12"/>
      <c r="BG28" s="12"/>
      <c r="BH28" s="12">
        <f>BG28+'12'!BH28</f>
        <v>403</v>
      </c>
      <c r="BI28" s="30">
        <f t="shared" si="3"/>
        <v>1.3433333333333333</v>
      </c>
    </row>
    <row r="29" spans="1:61" ht="28.9" customHeight="1" x14ac:dyDescent="0.35">
      <c r="A29" s="5">
        <v>19</v>
      </c>
      <c r="B29" s="26" t="str">
        <f>'12'!B29</f>
        <v>كفر أبـــو الحسن</v>
      </c>
      <c r="C29" s="26">
        <f>'12'!C29</f>
        <v>1397</v>
      </c>
      <c r="D29" s="26"/>
      <c r="E29" s="12"/>
      <c r="F29" s="2">
        <f>E29+'12'!F29</f>
        <v>4</v>
      </c>
      <c r="G29" s="2"/>
      <c r="H29" s="2">
        <f>G29+'12'!H29</f>
        <v>238</v>
      </c>
      <c r="I29" s="2"/>
      <c r="J29" s="2">
        <f>I29+'12'!J29</f>
        <v>841</v>
      </c>
      <c r="K29" s="2"/>
      <c r="L29" s="2">
        <f>K29+'12'!L29</f>
        <v>0</v>
      </c>
      <c r="M29" s="2"/>
      <c r="N29" s="2">
        <f>M29+'12'!N29</f>
        <v>0</v>
      </c>
      <c r="O29" s="2"/>
      <c r="P29" s="2">
        <f>O29+'12'!P29</f>
        <v>0</v>
      </c>
      <c r="Q29" s="4">
        <f t="shared" si="4"/>
        <v>0</v>
      </c>
      <c r="R29" s="4">
        <f>Q29+'12'!R29</f>
        <v>1083</v>
      </c>
      <c r="S29" s="27">
        <f t="shared" si="5"/>
        <v>0.77523264137437364</v>
      </c>
      <c r="T29" s="12"/>
      <c r="U29" s="12">
        <f>T29+'12'!U29</f>
        <v>205</v>
      </c>
      <c r="V29" s="12"/>
      <c r="W29" s="12">
        <f>V29+'12'!W29</f>
        <v>18</v>
      </c>
      <c r="X29" s="12"/>
      <c r="Y29" s="12">
        <f>X29+'12'!Y29</f>
        <v>0</v>
      </c>
      <c r="AB29" s="5">
        <v>19</v>
      </c>
      <c r="AC29" s="26" t="str">
        <f>'12'!AC29</f>
        <v>كفر أبـــو الحسن</v>
      </c>
      <c r="AD29" s="28">
        <f>'12'!AI29</f>
        <v>22</v>
      </c>
      <c r="AE29" s="3"/>
      <c r="AF29" s="28">
        <f>AE29+'12'!AF29</f>
        <v>133</v>
      </c>
      <c r="AG29" s="4"/>
      <c r="AH29" s="28">
        <f>AG29+'12'!AH29</f>
        <v>111</v>
      </c>
      <c r="AI29" s="4">
        <f t="shared" si="6"/>
        <v>22</v>
      </c>
      <c r="AJ29" s="11" t="e">
        <f t="shared" si="0"/>
        <v>#DIV/0!</v>
      </c>
      <c r="AK29" s="53">
        <f t="shared" si="1"/>
        <v>9.7567567567567561</v>
      </c>
      <c r="AW29" s="26" t="str">
        <f>'12'!AW29</f>
        <v>كفر أبـــو الحسن</v>
      </c>
      <c r="AX29" s="12">
        <f>'12'!AX29</f>
        <v>3</v>
      </c>
      <c r="AY29" s="12">
        <f>'12'!AY29</f>
        <v>912</v>
      </c>
      <c r="AZ29" s="12"/>
      <c r="BA29" s="12"/>
      <c r="BB29" s="12">
        <f>BA29+'12'!BB29</f>
        <v>760</v>
      </c>
      <c r="BC29" s="30">
        <f t="shared" si="2"/>
        <v>0.83333333333333337</v>
      </c>
      <c r="BD29" s="12">
        <f>'12'!BD29</f>
        <v>9</v>
      </c>
      <c r="BE29" s="12">
        <f>'12'!BE29</f>
        <v>258</v>
      </c>
      <c r="BF29" s="12"/>
      <c r="BG29" s="12"/>
      <c r="BH29" s="12">
        <f>BG29+'12'!BH29</f>
        <v>351</v>
      </c>
      <c r="BI29" s="30">
        <f t="shared" si="3"/>
        <v>1.3604651162790697</v>
      </c>
    </row>
    <row r="30" spans="1:61" ht="28.9" customHeight="1" x14ac:dyDescent="0.35">
      <c r="A30" s="5">
        <v>20</v>
      </c>
      <c r="B30" s="26" t="str">
        <f>'12'!B30</f>
        <v>ميت أبـــــوشيخه</v>
      </c>
      <c r="C30" s="26">
        <f>'12'!C30</f>
        <v>1134</v>
      </c>
      <c r="D30" s="26"/>
      <c r="E30" s="12"/>
      <c r="F30" s="2">
        <f>E30+'12'!F30</f>
        <v>10</v>
      </c>
      <c r="G30" s="2"/>
      <c r="H30" s="2">
        <f>G30+'12'!H30</f>
        <v>144</v>
      </c>
      <c r="I30" s="2"/>
      <c r="J30" s="2">
        <f>I30+'12'!J30</f>
        <v>435</v>
      </c>
      <c r="K30" s="2"/>
      <c r="L30" s="2">
        <f>K30+'12'!L30</f>
        <v>0</v>
      </c>
      <c r="M30" s="2"/>
      <c r="N30" s="2">
        <f>M30+'12'!N30</f>
        <v>0</v>
      </c>
      <c r="O30" s="2"/>
      <c r="P30" s="2">
        <f>O30+'12'!P30</f>
        <v>0</v>
      </c>
      <c r="Q30" s="4">
        <f t="shared" si="4"/>
        <v>0</v>
      </c>
      <c r="R30" s="4">
        <f>Q30+'12'!R30</f>
        <v>589</v>
      </c>
      <c r="S30" s="27">
        <f t="shared" si="5"/>
        <v>0.51940035273368612</v>
      </c>
      <c r="T30" s="12"/>
      <c r="U30" s="12">
        <f>T30+'12'!U30</f>
        <v>68</v>
      </c>
      <c r="V30" s="12"/>
      <c r="W30" s="12">
        <f>V30+'12'!W30</f>
        <v>10</v>
      </c>
      <c r="X30" s="12"/>
      <c r="Y30" s="12">
        <f>X30+'12'!Y30</f>
        <v>0</v>
      </c>
      <c r="AB30" s="5">
        <v>20</v>
      </c>
      <c r="AC30" s="26" t="str">
        <f>'12'!AC30</f>
        <v>ميت أبـــــوشيخه</v>
      </c>
      <c r="AD30" s="28">
        <f>'12'!AI30</f>
        <v>40</v>
      </c>
      <c r="AE30" s="3"/>
      <c r="AF30" s="28">
        <f>AE30+'12'!AF30</f>
        <v>100</v>
      </c>
      <c r="AG30" s="4"/>
      <c r="AH30" s="28">
        <f>AG30+'12'!AH30</f>
        <v>60</v>
      </c>
      <c r="AI30" s="4">
        <f t="shared" si="6"/>
        <v>40</v>
      </c>
      <c r="AJ30" s="11" t="e">
        <f t="shared" si="0"/>
        <v>#DIV/0!</v>
      </c>
      <c r="AK30" s="53">
        <f t="shared" si="1"/>
        <v>9.8166666666666664</v>
      </c>
      <c r="AW30" s="26" t="str">
        <f>'12'!AW30</f>
        <v>ميت أبـــــوشيخه</v>
      </c>
      <c r="AX30" s="12">
        <f>'12'!AX30</f>
        <v>2</v>
      </c>
      <c r="AY30" s="12">
        <f>'12'!AY30</f>
        <v>560</v>
      </c>
      <c r="AZ30" s="12"/>
      <c r="BA30" s="12"/>
      <c r="BB30" s="12">
        <f>BA30+'12'!BB30</f>
        <v>459</v>
      </c>
      <c r="BC30" s="30">
        <f t="shared" si="2"/>
        <v>0.81964285714285712</v>
      </c>
      <c r="BD30" s="12">
        <f>'12'!BD30</f>
        <v>2</v>
      </c>
      <c r="BE30" s="12">
        <f>'12'!BE30</f>
        <v>107</v>
      </c>
      <c r="BF30" s="12"/>
      <c r="BG30" s="12"/>
      <c r="BH30" s="12">
        <f>BG30+'12'!BH30</f>
        <v>85</v>
      </c>
      <c r="BI30" s="30">
        <f t="shared" si="3"/>
        <v>0.79439252336448596</v>
      </c>
    </row>
    <row r="31" spans="1:61" ht="28.9" customHeight="1" x14ac:dyDescent="0.35">
      <c r="A31" s="5">
        <v>21</v>
      </c>
      <c r="B31" s="26" t="str">
        <f>'12'!B31</f>
        <v>طــــــــــــه شبرا</v>
      </c>
      <c r="C31" s="26">
        <f>'12'!C31</f>
        <v>5149</v>
      </c>
      <c r="D31" s="26"/>
      <c r="E31" s="12"/>
      <c r="F31" s="2">
        <f>E31+'12'!F31</f>
        <v>22</v>
      </c>
      <c r="G31" s="2"/>
      <c r="H31" s="2">
        <f>G31+'12'!H31</f>
        <v>967</v>
      </c>
      <c r="I31" s="2"/>
      <c r="J31" s="2">
        <f>I31+'12'!J31</f>
        <v>1288</v>
      </c>
      <c r="K31" s="2"/>
      <c r="L31" s="2">
        <f>K31+'12'!L31</f>
        <v>0</v>
      </c>
      <c r="M31" s="2"/>
      <c r="N31" s="2">
        <f>M31+'12'!N31</f>
        <v>0</v>
      </c>
      <c r="O31" s="2"/>
      <c r="P31" s="2">
        <f>O31+'12'!P31</f>
        <v>0</v>
      </c>
      <c r="Q31" s="4">
        <f t="shared" si="4"/>
        <v>0</v>
      </c>
      <c r="R31" s="4">
        <f>Q31+'12'!R31</f>
        <v>2277</v>
      </c>
      <c r="S31" s="27">
        <f t="shared" si="5"/>
        <v>0.442221790638959</v>
      </c>
      <c r="T31" s="12"/>
      <c r="U31" s="12">
        <f>T31+'12'!U31</f>
        <v>277</v>
      </c>
      <c r="V31" s="12"/>
      <c r="W31" s="12">
        <f>V31+'12'!W31</f>
        <v>3</v>
      </c>
      <c r="X31" s="12"/>
      <c r="Y31" s="12">
        <f>X31+'12'!Y31</f>
        <v>0</v>
      </c>
      <c r="AB31" s="5">
        <v>21</v>
      </c>
      <c r="AC31" s="26" t="str">
        <f>'12'!AC31</f>
        <v>طــــــــــــه شبرا</v>
      </c>
      <c r="AD31" s="28">
        <f>'12'!AI31</f>
        <v>216</v>
      </c>
      <c r="AE31" s="3"/>
      <c r="AF31" s="28">
        <f>AE31+'12'!AF31</f>
        <v>452</v>
      </c>
      <c r="AG31" s="4"/>
      <c r="AH31" s="28">
        <f>AG31+'12'!AH31</f>
        <v>236</v>
      </c>
      <c r="AI31" s="4">
        <f t="shared" si="6"/>
        <v>216</v>
      </c>
      <c r="AJ31" s="11" t="e">
        <f t="shared" si="0"/>
        <v>#DIV/0!</v>
      </c>
      <c r="AK31" s="53">
        <f t="shared" si="1"/>
        <v>9.648305084745763</v>
      </c>
      <c r="AW31" s="26" t="str">
        <f>'12'!AW31</f>
        <v>طــــــــــــه شبرا</v>
      </c>
      <c r="AX31" s="12">
        <f>'12'!AX31</f>
        <v>6</v>
      </c>
      <c r="AY31" s="12">
        <f>'12'!AY31</f>
        <v>2219</v>
      </c>
      <c r="AZ31" s="12"/>
      <c r="BA31" s="12"/>
      <c r="BB31" s="12">
        <f>BA31+'12'!BB31</f>
        <v>1367</v>
      </c>
      <c r="BC31" s="30">
        <f t="shared" si="2"/>
        <v>0.61604326273095988</v>
      </c>
      <c r="BD31" s="12">
        <f>'12'!BD31</f>
        <v>8</v>
      </c>
      <c r="BE31" s="12">
        <f>'12'!BE31</f>
        <v>748</v>
      </c>
      <c r="BF31" s="12"/>
      <c r="BG31" s="12"/>
      <c r="BH31" s="12">
        <f>BG31+'12'!BH31</f>
        <v>690</v>
      </c>
      <c r="BI31" s="30">
        <f t="shared" si="3"/>
        <v>0.92245989304812837</v>
      </c>
    </row>
    <row r="32" spans="1:61" ht="28.9" customHeight="1" x14ac:dyDescent="0.35">
      <c r="A32" s="5">
        <v>22</v>
      </c>
      <c r="B32" s="26" t="str">
        <f>'12'!B32</f>
        <v>أشـــــــــــــــــليم</v>
      </c>
      <c r="C32" s="26">
        <f>'12'!C32</f>
        <v>2638</v>
      </c>
      <c r="D32" s="26"/>
      <c r="E32" s="12"/>
      <c r="F32" s="2">
        <f>E32+'12'!F32</f>
        <v>19</v>
      </c>
      <c r="G32" s="2"/>
      <c r="H32" s="2">
        <f>G32+'12'!H32</f>
        <v>606</v>
      </c>
      <c r="I32" s="2"/>
      <c r="J32" s="2">
        <f>I32+'12'!J32</f>
        <v>1522</v>
      </c>
      <c r="K32" s="2"/>
      <c r="L32" s="2">
        <f>K32+'12'!L32</f>
        <v>0</v>
      </c>
      <c r="M32" s="2"/>
      <c r="N32" s="2">
        <f>M32+'12'!N32</f>
        <v>0</v>
      </c>
      <c r="O32" s="2"/>
      <c r="P32" s="2">
        <f>O32+'12'!P32</f>
        <v>0</v>
      </c>
      <c r="Q32" s="4">
        <f t="shared" si="4"/>
        <v>0</v>
      </c>
      <c r="R32" s="4">
        <f>Q32+'12'!R32</f>
        <v>2147</v>
      </c>
      <c r="S32" s="27">
        <f t="shared" si="5"/>
        <v>0.81387414708112205</v>
      </c>
      <c r="T32" s="12"/>
      <c r="U32" s="12">
        <f>T32+'12'!U32</f>
        <v>149</v>
      </c>
      <c r="V32" s="12"/>
      <c r="W32" s="12">
        <f>V32+'12'!W32</f>
        <v>119</v>
      </c>
      <c r="X32" s="12"/>
      <c r="Y32" s="12">
        <f>X32+'12'!Y32</f>
        <v>0</v>
      </c>
      <c r="AB32" s="5">
        <v>22</v>
      </c>
      <c r="AC32" s="26" t="str">
        <f>'12'!AC32</f>
        <v>أشـــــــــــــــــليم</v>
      </c>
      <c r="AD32" s="28">
        <f>'12'!AI32</f>
        <v>31</v>
      </c>
      <c r="AE32" s="3"/>
      <c r="AF32" s="28">
        <f>AE32+'12'!AF32</f>
        <v>252</v>
      </c>
      <c r="AG32" s="4"/>
      <c r="AH32" s="28">
        <f>AG32+'12'!AH32</f>
        <v>221</v>
      </c>
      <c r="AI32" s="4">
        <f t="shared" si="6"/>
        <v>31</v>
      </c>
      <c r="AJ32" s="11" t="e">
        <f t="shared" si="0"/>
        <v>#DIV/0!</v>
      </c>
      <c r="AK32" s="53">
        <f t="shared" si="1"/>
        <v>9.7149321266968318</v>
      </c>
      <c r="AW32" s="26" t="str">
        <f>'12'!AW32</f>
        <v>أشـــــــــــــــــليم</v>
      </c>
      <c r="AX32" s="12">
        <f>'12'!AX32</f>
        <v>8</v>
      </c>
      <c r="AY32" s="12">
        <f>'12'!AY32</f>
        <v>1819</v>
      </c>
      <c r="AZ32" s="12"/>
      <c r="BA32" s="12"/>
      <c r="BB32" s="12">
        <f>BA32+'12'!BB32</f>
        <v>1506</v>
      </c>
      <c r="BC32" s="30">
        <f t="shared" si="2"/>
        <v>0.82792743265530511</v>
      </c>
      <c r="BD32" s="12">
        <f>'12'!BD32</f>
        <v>7</v>
      </c>
      <c r="BE32" s="12">
        <f>'12'!BE32</f>
        <v>176</v>
      </c>
      <c r="BF32" s="12"/>
      <c r="BG32" s="12"/>
      <c r="BH32" s="12">
        <f>BG32+'12'!BH32</f>
        <v>531</v>
      </c>
      <c r="BI32" s="30">
        <f t="shared" si="3"/>
        <v>3.0170454545454546</v>
      </c>
    </row>
    <row r="33" spans="1:61" ht="28.9" customHeight="1" x14ac:dyDescent="0.35">
      <c r="A33" s="5">
        <v>23</v>
      </c>
      <c r="B33" s="26" t="str">
        <f>'12'!B33</f>
        <v>شبرا قبالــــــــــه</v>
      </c>
      <c r="C33" s="26">
        <f>'12'!C33</f>
        <v>2050</v>
      </c>
      <c r="D33" s="26"/>
      <c r="E33" s="12"/>
      <c r="F33" s="2">
        <f>E33+'12'!F33</f>
        <v>23</v>
      </c>
      <c r="G33" s="2"/>
      <c r="H33" s="2">
        <f>G33+'12'!H33</f>
        <v>644</v>
      </c>
      <c r="I33" s="2"/>
      <c r="J33" s="2">
        <f>I33+'12'!J33</f>
        <v>773</v>
      </c>
      <c r="K33" s="2"/>
      <c r="L33" s="2">
        <f>K33+'12'!L33</f>
        <v>0</v>
      </c>
      <c r="M33" s="2"/>
      <c r="N33" s="2">
        <f>M33+'12'!N33</f>
        <v>0</v>
      </c>
      <c r="O33" s="2"/>
      <c r="P33" s="2">
        <f>O33+'12'!P33</f>
        <v>0</v>
      </c>
      <c r="Q33" s="4">
        <f t="shared" si="4"/>
        <v>0</v>
      </c>
      <c r="R33" s="4">
        <f>Q33+'12'!R33</f>
        <v>1440</v>
      </c>
      <c r="S33" s="27">
        <f t="shared" si="5"/>
        <v>0.70243902439024386</v>
      </c>
      <c r="T33" s="12"/>
      <c r="U33" s="12">
        <f>T33+'12'!U33</f>
        <v>96</v>
      </c>
      <c r="V33" s="12"/>
      <c r="W33" s="12">
        <f>V33+'12'!W33</f>
        <v>64</v>
      </c>
      <c r="X33" s="12"/>
      <c r="Y33" s="12">
        <f>X33+'12'!Y33</f>
        <v>0</v>
      </c>
      <c r="AB33" s="5">
        <v>23</v>
      </c>
      <c r="AC33" s="26" t="str">
        <f>'12'!AC33</f>
        <v>شبرا قبالــــــــــه</v>
      </c>
      <c r="AD33" s="28">
        <f>'12'!AI33</f>
        <v>36</v>
      </c>
      <c r="AE33" s="3"/>
      <c r="AF33" s="28">
        <f>AE33+'12'!AF33</f>
        <v>180</v>
      </c>
      <c r="AG33" s="4"/>
      <c r="AH33" s="28">
        <f>AG33+'12'!AH33</f>
        <v>144</v>
      </c>
      <c r="AI33" s="4">
        <f t="shared" si="6"/>
        <v>36</v>
      </c>
      <c r="AJ33" s="11" t="e">
        <f t="shared" si="0"/>
        <v>#DIV/0!</v>
      </c>
      <c r="AK33" s="53">
        <f t="shared" si="1"/>
        <v>10</v>
      </c>
      <c r="AW33" s="26" t="str">
        <f>'12'!AW33</f>
        <v>شبرا قبالــــــــــه</v>
      </c>
      <c r="AX33" s="12">
        <f>'12'!AX33</f>
        <v>1</v>
      </c>
      <c r="AY33" s="12">
        <f>'12'!AY33</f>
        <v>918</v>
      </c>
      <c r="AZ33" s="12"/>
      <c r="BA33" s="12"/>
      <c r="BB33" s="12">
        <f>BA33+'12'!BB33</f>
        <v>780</v>
      </c>
      <c r="BC33" s="30">
        <f t="shared" si="2"/>
        <v>0.84967320261437906</v>
      </c>
      <c r="BD33" s="12">
        <f>'12'!BD33</f>
        <v>5</v>
      </c>
      <c r="BE33" s="12">
        <f>'12'!BE33</f>
        <v>375</v>
      </c>
      <c r="BF33" s="12"/>
      <c r="BG33" s="12"/>
      <c r="BH33" s="12">
        <f>BG33+'12'!BH33</f>
        <v>430</v>
      </c>
      <c r="BI33" s="30">
        <f t="shared" si="3"/>
        <v>1.1466666666666667</v>
      </c>
    </row>
    <row r="34" spans="1:61" ht="28.9" customHeight="1" x14ac:dyDescent="0.35">
      <c r="A34" s="5">
        <v>24</v>
      </c>
      <c r="B34" s="26" t="str">
        <f>'12'!B34</f>
        <v>عرب الرمـــــــل</v>
      </c>
      <c r="C34" s="26">
        <f>'12'!C34</f>
        <v>5755</v>
      </c>
      <c r="D34" s="26"/>
      <c r="E34" s="12"/>
      <c r="F34" s="2">
        <f>E34+'12'!F34</f>
        <v>22</v>
      </c>
      <c r="G34" s="2"/>
      <c r="H34" s="2">
        <f>G34+'12'!H34</f>
        <v>1011</v>
      </c>
      <c r="I34" s="2"/>
      <c r="J34" s="2">
        <f>I34+'12'!J34</f>
        <v>1364</v>
      </c>
      <c r="K34" s="2"/>
      <c r="L34" s="2">
        <f>K34+'12'!L34</f>
        <v>0</v>
      </c>
      <c r="M34" s="2"/>
      <c r="N34" s="2">
        <f>M34+'12'!N34</f>
        <v>0</v>
      </c>
      <c r="O34" s="2"/>
      <c r="P34" s="2">
        <f>O34+'12'!P34</f>
        <v>0</v>
      </c>
      <c r="Q34" s="4">
        <f t="shared" si="4"/>
        <v>0</v>
      </c>
      <c r="R34" s="4">
        <f>Q34+'12'!R34</f>
        <v>2397</v>
      </c>
      <c r="S34" s="27">
        <f t="shared" si="5"/>
        <v>0.41650738488271066</v>
      </c>
      <c r="T34" s="12"/>
      <c r="U34" s="12">
        <f>T34+'12'!U34</f>
        <v>562</v>
      </c>
      <c r="V34" s="12"/>
      <c r="W34" s="12">
        <f>V34+'12'!W34</f>
        <v>41</v>
      </c>
      <c r="X34" s="12"/>
      <c r="Y34" s="12">
        <f>X34+'12'!Y34</f>
        <v>0</v>
      </c>
      <c r="AB34" s="5">
        <v>24</v>
      </c>
      <c r="AC34" s="26" t="str">
        <f>'12'!AC34</f>
        <v>عرب الرمـــــــل</v>
      </c>
      <c r="AD34" s="28">
        <f>'12'!AI34</f>
        <v>263</v>
      </c>
      <c r="AE34" s="3"/>
      <c r="AF34" s="28">
        <f>AE34+'12'!AF34</f>
        <v>505</v>
      </c>
      <c r="AG34" s="4"/>
      <c r="AH34" s="28">
        <f>AG34+'12'!AH34</f>
        <v>242</v>
      </c>
      <c r="AI34" s="4">
        <f t="shared" si="6"/>
        <v>263</v>
      </c>
      <c r="AJ34" s="11" t="e">
        <f t="shared" si="0"/>
        <v>#DIV/0!</v>
      </c>
      <c r="AK34" s="53">
        <f t="shared" si="1"/>
        <v>9.9049586776859506</v>
      </c>
      <c r="AW34" s="26" t="str">
        <f>'12'!AW34</f>
        <v>عرب الرمـــــــل</v>
      </c>
      <c r="AX34" s="12">
        <f>'12'!AX34</f>
        <v>6</v>
      </c>
      <c r="AY34" s="12">
        <f>'12'!AY34</f>
        <v>2210</v>
      </c>
      <c r="AZ34" s="12"/>
      <c r="BA34" s="12"/>
      <c r="BB34" s="12">
        <f>BA34+'12'!BB34</f>
        <v>1456</v>
      </c>
      <c r="BC34" s="30">
        <f t="shared" si="2"/>
        <v>0.6588235294117647</v>
      </c>
      <c r="BD34" s="12">
        <f>'12'!BD34</f>
        <v>9</v>
      </c>
      <c r="BE34" s="12">
        <f>'12'!BE34</f>
        <v>932</v>
      </c>
      <c r="BF34" s="12"/>
      <c r="BG34" s="12"/>
      <c r="BH34" s="12">
        <f>BG34+'12'!BH34</f>
        <v>941</v>
      </c>
      <c r="BI34" s="30">
        <f t="shared" si="3"/>
        <v>1.0096566523605151</v>
      </c>
    </row>
    <row r="35" spans="1:61" ht="28.9" customHeight="1" x14ac:dyDescent="0.35">
      <c r="A35" s="5">
        <v>25</v>
      </c>
      <c r="B35" s="26" t="str">
        <f>'12'!B35</f>
        <v>كفر ميت سراج</v>
      </c>
      <c r="C35" s="26">
        <f>'12'!C35</f>
        <v>1840</v>
      </c>
      <c r="D35" s="26"/>
      <c r="E35" s="12"/>
      <c r="F35" s="2">
        <f>E35+'12'!F35</f>
        <v>8</v>
      </c>
      <c r="G35" s="2"/>
      <c r="H35" s="2">
        <f>G35+'12'!H35</f>
        <v>386</v>
      </c>
      <c r="I35" s="2"/>
      <c r="J35" s="2">
        <f>I35+'12'!J35</f>
        <v>773</v>
      </c>
      <c r="K35" s="2"/>
      <c r="L35" s="2">
        <f>K35+'12'!L35</f>
        <v>0</v>
      </c>
      <c r="M35" s="2"/>
      <c r="N35" s="2">
        <f>M35+'12'!N35</f>
        <v>0</v>
      </c>
      <c r="O35" s="2"/>
      <c r="P35" s="2">
        <f>O35+'12'!P35</f>
        <v>0</v>
      </c>
      <c r="Q35" s="4">
        <f t="shared" si="4"/>
        <v>0</v>
      </c>
      <c r="R35" s="4">
        <f>Q35+'12'!R35</f>
        <v>1167</v>
      </c>
      <c r="S35" s="27">
        <f t="shared" si="5"/>
        <v>0.63423913043478264</v>
      </c>
      <c r="T35" s="12"/>
      <c r="U35" s="12">
        <f>T35+'12'!U35</f>
        <v>174</v>
      </c>
      <c r="V35" s="12"/>
      <c r="W35" s="12">
        <f>V35+'12'!W35</f>
        <v>11</v>
      </c>
      <c r="X35" s="12"/>
      <c r="Y35" s="12">
        <f>X35+'12'!Y35</f>
        <v>0</v>
      </c>
      <c r="AB35" s="5">
        <v>25</v>
      </c>
      <c r="AC35" s="26" t="str">
        <f>'12'!AC35</f>
        <v>كفر ميت سراج</v>
      </c>
      <c r="AD35" s="28">
        <f>'12'!AI35</f>
        <v>41</v>
      </c>
      <c r="AE35" s="3"/>
      <c r="AF35" s="28">
        <f>AE35+'12'!AF35</f>
        <v>162</v>
      </c>
      <c r="AG35" s="4"/>
      <c r="AH35" s="28">
        <f>AG35+'12'!AH35</f>
        <v>121</v>
      </c>
      <c r="AI35" s="4">
        <f t="shared" si="6"/>
        <v>41</v>
      </c>
      <c r="AJ35" s="11" t="e">
        <f t="shared" si="0"/>
        <v>#DIV/0!</v>
      </c>
      <c r="AK35" s="53">
        <f t="shared" si="1"/>
        <v>9.6446280991735538</v>
      </c>
      <c r="AW35" s="26" t="str">
        <f>'12'!AW35</f>
        <v>كفر ميت سراج</v>
      </c>
      <c r="AX35" s="12">
        <f>'12'!AX35</f>
        <v>3</v>
      </c>
      <c r="AY35" s="12">
        <f>'12'!AY35</f>
        <v>1011</v>
      </c>
      <c r="AZ35" s="12"/>
      <c r="BA35" s="12"/>
      <c r="BB35" s="12">
        <f>BA35+'12'!BB35</f>
        <v>773</v>
      </c>
      <c r="BC35" s="30">
        <f t="shared" si="2"/>
        <v>0.76458951533135511</v>
      </c>
      <c r="BD35" s="12">
        <f>'12'!BD35</f>
        <v>4</v>
      </c>
      <c r="BE35" s="12">
        <f>'12'!BE35</f>
        <v>413</v>
      </c>
      <c r="BF35" s="12"/>
      <c r="BG35" s="12"/>
      <c r="BH35" s="12">
        <f>BG35+'12'!BH35</f>
        <v>232</v>
      </c>
      <c r="BI35" s="30">
        <f t="shared" si="3"/>
        <v>0.56174334140435833</v>
      </c>
    </row>
    <row r="36" spans="1:61" ht="28.9" customHeight="1" x14ac:dyDescent="0.35">
      <c r="A36" s="5">
        <v>26</v>
      </c>
      <c r="B36" s="26" t="str">
        <f>'12'!B36</f>
        <v>كفر أبشيش</v>
      </c>
      <c r="C36" s="26">
        <f>'12'!C36</f>
        <v>1345</v>
      </c>
      <c r="D36" s="26"/>
      <c r="E36" s="12"/>
      <c r="F36" s="2">
        <f>E36+'12'!F36</f>
        <v>14</v>
      </c>
      <c r="G36" s="2"/>
      <c r="H36" s="2">
        <f>G36+'12'!H36</f>
        <v>207</v>
      </c>
      <c r="I36" s="2"/>
      <c r="J36" s="2">
        <f>I36+'12'!J36</f>
        <v>725</v>
      </c>
      <c r="K36" s="2"/>
      <c r="L36" s="2">
        <f>K36+'12'!L36</f>
        <v>0</v>
      </c>
      <c r="M36" s="2"/>
      <c r="N36" s="2">
        <f>M36+'12'!N36</f>
        <v>0</v>
      </c>
      <c r="O36" s="2"/>
      <c r="P36" s="2">
        <f>O36+'12'!P36</f>
        <v>0</v>
      </c>
      <c r="Q36" s="4">
        <f t="shared" si="4"/>
        <v>0</v>
      </c>
      <c r="R36" s="4">
        <f>Q36+'12'!R36</f>
        <v>946</v>
      </c>
      <c r="S36" s="27">
        <f t="shared" si="5"/>
        <v>0.70334572490706315</v>
      </c>
      <c r="T36" s="12"/>
      <c r="U36" s="12">
        <f>T36+'12'!U36</f>
        <v>113</v>
      </c>
      <c r="V36" s="12"/>
      <c r="W36" s="12">
        <f>V36+'12'!W36</f>
        <v>4</v>
      </c>
      <c r="X36" s="12"/>
      <c r="Y36" s="12">
        <f>X36+'12'!Y36</f>
        <v>0</v>
      </c>
      <c r="AB36" s="5">
        <v>26</v>
      </c>
      <c r="AC36" s="26" t="str">
        <f>'12'!AC36</f>
        <v>كفر أبشيش</v>
      </c>
      <c r="AD36" s="28">
        <f>'12'!AI36</f>
        <v>24</v>
      </c>
      <c r="AE36" s="3"/>
      <c r="AF36" s="28">
        <f>AE36+'12'!AF36</f>
        <v>119</v>
      </c>
      <c r="AG36" s="4"/>
      <c r="AH36" s="28">
        <f>AG36+'12'!AH36</f>
        <v>95</v>
      </c>
      <c r="AI36" s="4">
        <f t="shared" si="6"/>
        <v>24</v>
      </c>
      <c r="AJ36" s="11" t="e">
        <f t="shared" si="0"/>
        <v>#DIV/0!</v>
      </c>
      <c r="AK36" s="53">
        <f t="shared" si="1"/>
        <v>9.9578947368421051</v>
      </c>
      <c r="AW36" s="26" t="str">
        <f>'12'!AW36</f>
        <v>كفر أبشيش</v>
      </c>
      <c r="AX36" s="12">
        <f>'12'!AX36</f>
        <v>1</v>
      </c>
      <c r="AY36" s="12">
        <f>'12'!AY36</f>
        <v>860</v>
      </c>
      <c r="AZ36" s="12"/>
      <c r="BA36" s="12"/>
      <c r="BB36" s="12">
        <f>BA36+'12'!BB36</f>
        <v>730</v>
      </c>
      <c r="BC36" s="30">
        <f t="shared" si="2"/>
        <v>0.84883720930232553</v>
      </c>
      <c r="BD36" s="12">
        <f>'12'!BD36</f>
        <v>4</v>
      </c>
      <c r="BE36" s="12">
        <f>'12'!BE36</f>
        <v>194</v>
      </c>
      <c r="BF36" s="12"/>
      <c r="BG36" s="12"/>
      <c r="BH36" s="12">
        <f>BG36+'12'!BH36</f>
        <v>0</v>
      </c>
      <c r="BI36" s="30">
        <f t="shared" si="3"/>
        <v>0</v>
      </c>
    </row>
    <row r="37" spans="1:61" ht="28.9" customHeight="1" x14ac:dyDescent="0.35">
      <c r="A37" s="5">
        <v>27</v>
      </c>
      <c r="B37" s="26" t="str">
        <f>'12'!B37</f>
        <v>كفر ميت العبسى</v>
      </c>
      <c r="C37" s="26">
        <f>'12'!C37</f>
        <v>1180</v>
      </c>
      <c r="D37" s="26"/>
      <c r="E37" s="12"/>
      <c r="F37" s="2">
        <f>E37+'12'!F37</f>
        <v>12</v>
      </c>
      <c r="G37" s="2"/>
      <c r="H37" s="2">
        <f>G37+'12'!H37</f>
        <v>248</v>
      </c>
      <c r="I37" s="2"/>
      <c r="J37" s="2">
        <f>I37+'12'!J37</f>
        <v>443</v>
      </c>
      <c r="K37" s="2"/>
      <c r="L37" s="2">
        <f>K37+'12'!L37</f>
        <v>0</v>
      </c>
      <c r="M37" s="2"/>
      <c r="N37" s="2">
        <f>M37+'12'!N37</f>
        <v>0</v>
      </c>
      <c r="O37" s="2"/>
      <c r="P37" s="2">
        <f>O37+'12'!P37</f>
        <v>0</v>
      </c>
      <c r="Q37" s="4">
        <f t="shared" si="4"/>
        <v>0</v>
      </c>
      <c r="R37" s="4">
        <f>Q37+'12'!R37</f>
        <v>703</v>
      </c>
      <c r="S37" s="27">
        <f t="shared" si="5"/>
        <v>0.59576271186440677</v>
      </c>
      <c r="T37" s="12"/>
      <c r="U37" s="12">
        <f>T37+'12'!U37</f>
        <v>53</v>
      </c>
      <c r="V37" s="12"/>
      <c r="W37" s="12">
        <f>V37+'12'!W37</f>
        <v>11</v>
      </c>
      <c r="X37" s="12"/>
      <c r="Y37" s="12">
        <f>X37+'12'!Y37</f>
        <v>0</v>
      </c>
      <c r="AB37" s="5">
        <v>27</v>
      </c>
      <c r="AC37" s="26" t="str">
        <f>'12'!AC37</f>
        <v>كفر ميت العبسى</v>
      </c>
      <c r="AD37" s="28">
        <f>'12'!AI37</f>
        <v>33</v>
      </c>
      <c r="AE37" s="3"/>
      <c r="AF37" s="28">
        <f>AE37+'12'!AF37</f>
        <v>104</v>
      </c>
      <c r="AG37" s="4"/>
      <c r="AH37" s="28">
        <f>AG37+'12'!AH37</f>
        <v>71</v>
      </c>
      <c r="AI37" s="4">
        <f t="shared" si="6"/>
        <v>33</v>
      </c>
      <c r="AJ37" s="11" t="e">
        <f t="shared" si="0"/>
        <v>#DIV/0!</v>
      </c>
      <c r="AK37" s="53">
        <f t="shared" si="1"/>
        <v>9.9014084507042259</v>
      </c>
      <c r="AW37" s="26" t="str">
        <f>'12'!AW37</f>
        <v>كفر ميت العبسى</v>
      </c>
      <c r="AX37" s="12">
        <f>'12'!AX37</f>
        <v>2</v>
      </c>
      <c r="AY37" s="12">
        <f>'12'!AY37</f>
        <v>494</v>
      </c>
      <c r="AZ37" s="12"/>
      <c r="BA37" s="12"/>
      <c r="BB37" s="12">
        <f>BA37+'12'!BB37</f>
        <v>418</v>
      </c>
      <c r="BC37" s="30">
        <f t="shared" si="2"/>
        <v>0.84615384615384615</v>
      </c>
      <c r="BD37" s="12">
        <f>'12'!BD37</f>
        <v>4</v>
      </c>
      <c r="BE37" s="12">
        <f>'12'!BE37</f>
        <v>114</v>
      </c>
      <c r="BF37" s="12"/>
      <c r="BG37" s="12"/>
      <c r="BH37" s="12">
        <f>BG37+'12'!BH37</f>
        <v>73</v>
      </c>
      <c r="BI37" s="30">
        <f t="shared" si="3"/>
        <v>0.64035087719298245</v>
      </c>
    </row>
    <row r="38" spans="1:61" ht="28.9" customHeight="1" x14ac:dyDescent="0.35">
      <c r="A38" s="5">
        <v>28</v>
      </c>
      <c r="B38" s="26" t="str">
        <f>'12'!B38</f>
        <v>كفر وهــــــــــب</v>
      </c>
      <c r="C38" s="26">
        <f>'12'!C38</f>
        <v>1854.9999999999998</v>
      </c>
      <c r="D38" s="26"/>
      <c r="E38" s="12"/>
      <c r="F38" s="2">
        <f>E38+'12'!F38</f>
        <v>7</v>
      </c>
      <c r="G38" s="2"/>
      <c r="H38" s="2">
        <f>G38+'12'!H38</f>
        <v>265</v>
      </c>
      <c r="I38" s="2"/>
      <c r="J38" s="2">
        <f>I38+'12'!J38</f>
        <v>618</v>
      </c>
      <c r="K38" s="2"/>
      <c r="L38" s="2">
        <f>K38+'12'!L38</f>
        <v>0</v>
      </c>
      <c r="M38" s="2"/>
      <c r="N38" s="2">
        <f>M38+'12'!N38</f>
        <v>0</v>
      </c>
      <c r="O38" s="2"/>
      <c r="P38" s="2">
        <f>O38+'12'!P38</f>
        <v>0</v>
      </c>
      <c r="Q38" s="4">
        <f t="shared" si="4"/>
        <v>0</v>
      </c>
      <c r="R38" s="4">
        <f>Q38+'12'!R38</f>
        <v>890</v>
      </c>
      <c r="S38" s="27">
        <f t="shared" si="5"/>
        <v>0.47978436657681944</v>
      </c>
      <c r="T38" s="12"/>
      <c r="U38" s="12">
        <f>T38+'12'!U38</f>
        <v>123</v>
      </c>
      <c r="V38" s="12"/>
      <c r="W38" s="12">
        <f>V38+'12'!W38</f>
        <v>7</v>
      </c>
      <c r="X38" s="12"/>
      <c r="Y38" s="12">
        <f>X38+'12'!Y38</f>
        <v>0</v>
      </c>
      <c r="AB38" s="5">
        <v>28</v>
      </c>
      <c r="AC38" s="26" t="str">
        <f>'12'!AC38</f>
        <v>كفر وهــــــــــب</v>
      </c>
      <c r="AD38" s="28">
        <f>'12'!AI38</f>
        <v>72</v>
      </c>
      <c r="AE38" s="3"/>
      <c r="AF38" s="28">
        <f>AE38+'12'!AF38</f>
        <v>163</v>
      </c>
      <c r="AG38" s="4"/>
      <c r="AH38" s="28">
        <f>AG38+'12'!AH38</f>
        <v>91</v>
      </c>
      <c r="AI38" s="4">
        <f t="shared" si="6"/>
        <v>72</v>
      </c>
      <c r="AJ38" s="11" t="e">
        <f t="shared" si="0"/>
        <v>#DIV/0!</v>
      </c>
      <c r="AK38" s="53">
        <f t="shared" si="1"/>
        <v>9.780219780219781</v>
      </c>
      <c r="AW38" s="26" t="str">
        <f>'12'!AW38</f>
        <v>كفر وهــــــــــب</v>
      </c>
      <c r="AX38" s="12">
        <f>'12'!AX38</f>
        <v>2</v>
      </c>
      <c r="AY38" s="12">
        <f>'12'!AY38</f>
        <v>793</v>
      </c>
      <c r="AZ38" s="12"/>
      <c r="BA38" s="12"/>
      <c r="BB38" s="12">
        <f>BA38+'12'!BB38</f>
        <v>623</v>
      </c>
      <c r="BC38" s="30">
        <f t="shared" si="2"/>
        <v>0.78562421185372</v>
      </c>
      <c r="BD38" s="12">
        <f>'12'!BD38</f>
        <v>3</v>
      </c>
      <c r="BE38" s="12">
        <f>'12'!BE38</f>
        <v>180</v>
      </c>
      <c r="BF38" s="12"/>
      <c r="BG38" s="12"/>
      <c r="BH38" s="12">
        <f>BG38+'12'!BH38</f>
        <v>160</v>
      </c>
      <c r="BI38" s="30">
        <f t="shared" si="3"/>
        <v>0.88888888888888884</v>
      </c>
    </row>
    <row r="39" spans="1:61" ht="28.9" customHeight="1" x14ac:dyDescent="0.35">
      <c r="A39" s="5">
        <v>29</v>
      </c>
      <c r="B39" s="26" t="str">
        <f>'12'!B39</f>
        <v>دمــــــــــــــهوج</v>
      </c>
      <c r="C39" s="26">
        <f>'12'!C39</f>
        <v>2738</v>
      </c>
      <c r="D39" s="26"/>
      <c r="E39" s="12"/>
      <c r="F39" s="2">
        <f>E39+'12'!F39</f>
        <v>11</v>
      </c>
      <c r="G39" s="2"/>
      <c r="H39" s="2">
        <f>G39+'12'!H39</f>
        <v>437</v>
      </c>
      <c r="I39" s="2"/>
      <c r="J39" s="2">
        <f>I39+'12'!J39</f>
        <v>832</v>
      </c>
      <c r="K39" s="2"/>
      <c r="L39" s="2">
        <f>K39+'12'!L39</f>
        <v>0</v>
      </c>
      <c r="M39" s="2"/>
      <c r="N39" s="2">
        <f>M39+'12'!N39</f>
        <v>0</v>
      </c>
      <c r="O39" s="2"/>
      <c r="P39" s="2">
        <f>O39+'12'!P39</f>
        <v>0</v>
      </c>
      <c r="Q39" s="4">
        <f t="shared" si="4"/>
        <v>0</v>
      </c>
      <c r="R39" s="4">
        <f>Q39+'12'!R39</f>
        <v>1280</v>
      </c>
      <c r="S39" s="27">
        <f t="shared" si="5"/>
        <v>0.46749452154857563</v>
      </c>
      <c r="T39" s="12"/>
      <c r="U39" s="12">
        <f>T39+'12'!U39</f>
        <v>158</v>
      </c>
      <c r="V39" s="12"/>
      <c r="W39" s="12">
        <f>V39+'12'!W39</f>
        <v>7</v>
      </c>
      <c r="X39" s="12"/>
      <c r="Y39" s="12">
        <f>X39+'12'!Y39</f>
        <v>0</v>
      </c>
      <c r="AB39" s="5">
        <v>29</v>
      </c>
      <c r="AC39" s="26" t="str">
        <f>'12'!AC39</f>
        <v>دمــــــــــــــهوج</v>
      </c>
      <c r="AD39" s="28">
        <f>'12'!AI39</f>
        <v>109</v>
      </c>
      <c r="AE39" s="3"/>
      <c r="AF39" s="28">
        <f>AE39+'12'!AF39</f>
        <v>240</v>
      </c>
      <c r="AG39" s="4"/>
      <c r="AH39" s="28">
        <f>AG39+'12'!AH39</f>
        <v>131</v>
      </c>
      <c r="AI39" s="4">
        <f t="shared" si="6"/>
        <v>109</v>
      </c>
      <c r="AJ39" s="11" t="e">
        <f t="shared" si="0"/>
        <v>#DIV/0!</v>
      </c>
      <c r="AK39" s="53">
        <f t="shared" si="1"/>
        <v>9.770992366412214</v>
      </c>
      <c r="AW39" s="26" t="str">
        <f>'12'!AW39</f>
        <v>دمــــــــــــــهوج</v>
      </c>
      <c r="AX39" s="12">
        <f>'12'!AX39</f>
        <v>2</v>
      </c>
      <c r="AY39" s="12">
        <f>'12'!AY39</f>
        <v>1086</v>
      </c>
      <c r="AZ39" s="12"/>
      <c r="BA39" s="12"/>
      <c r="BB39" s="12">
        <f>BA39+'12'!BB39</f>
        <v>834</v>
      </c>
      <c r="BC39" s="30">
        <f t="shared" si="2"/>
        <v>0.76795580110497241</v>
      </c>
      <c r="BD39" s="12">
        <f>'12'!BD39</f>
        <v>10</v>
      </c>
      <c r="BE39" s="12">
        <f>'12'!BE39</f>
        <v>455</v>
      </c>
      <c r="BF39" s="12"/>
      <c r="BG39" s="12"/>
      <c r="BH39" s="12">
        <f>BG39+'12'!BH39</f>
        <v>439</v>
      </c>
      <c r="BI39" s="30">
        <f t="shared" si="3"/>
        <v>0.96483516483516485</v>
      </c>
    </row>
    <row r="40" spans="1:61" ht="28.9" customHeight="1" x14ac:dyDescent="0.35">
      <c r="A40" s="5">
        <v>30</v>
      </c>
      <c r="B40" s="26" t="str">
        <f>'12'!B40</f>
        <v>كفر زين الدين</v>
      </c>
      <c r="C40" s="26">
        <f>'12'!C40</f>
        <v>819</v>
      </c>
      <c r="D40" s="26"/>
      <c r="E40" s="12"/>
      <c r="F40" s="2">
        <f>E40+'12'!F40</f>
        <v>9</v>
      </c>
      <c r="G40" s="2"/>
      <c r="H40" s="2">
        <f>G40+'12'!H40</f>
        <v>266</v>
      </c>
      <c r="I40" s="2"/>
      <c r="J40" s="2">
        <f>I40+'12'!J40</f>
        <v>430</v>
      </c>
      <c r="K40" s="2"/>
      <c r="L40" s="2">
        <f>K40+'12'!L40</f>
        <v>0</v>
      </c>
      <c r="M40" s="2"/>
      <c r="N40" s="2">
        <f>M40+'12'!N40</f>
        <v>0</v>
      </c>
      <c r="O40" s="2"/>
      <c r="P40" s="2">
        <f>O40+'12'!P40</f>
        <v>0</v>
      </c>
      <c r="Q40" s="4">
        <f t="shared" si="4"/>
        <v>0</v>
      </c>
      <c r="R40" s="4">
        <f>Q40+'12'!R40</f>
        <v>705</v>
      </c>
      <c r="S40" s="27">
        <f t="shared" si="5"/>
        <v>0.86080586080586086</v>
      </c>
      <c r="T40" s="12"/>
      <c r="U40" s="12">
        <f>T40+'12'!U40</f>
        <v>76</v>
      </c>
      <c r="V40" s="12"/>
      <c r="W40" s="12">
        <f>V40+'12'!W40</f>
        <v>26</v>
      </c>
      <c r="X40" s="12"/>
      <c r="Y40" s="12">
        <f>X40+'12'!Y40</f>
        <v>0</v>
      </c>
      <c r="AB40" s="5">
        <v>30</v>
      </c>
      <c r="AC40" s="26" t="str">
        <f>'12'!AC40</f>
        <v>كفر زين الدين</v>
      </c>
      <c r="AD40" s="28">
        <f>'12'!AI40</f>
        <v>9</v>
      </c>
      <c r="AE40" s="3"/>
      <c r="AF40" s="28">
        <f>AE40+'12'!AF40</f>
        <v>80</v>
      </c>
      <c r="AG40" s="4"/>
      <c r="AH40" s="28">
        <f>AG40+'12'!AH40</f>
        <v>71</v>
      </c>
      <c r="AI40" s="4">
        <f t="shared" si="6"/>
        <v>9</v>
      </c>
      <c r="AJ40" s="11" t="e">
        <f t="shared" si="0"/>
        <v>#DIV/0!</v>
      </c>
      <c r="AK40" s="53">
        <f t="shared" si="1"/>
        <v>9.929577464788732</v>
      </c>
      <c r="AW40" s="26" t="str">
        <f>'12'!AW40</f>
        <v>كفر زين الدين</v>
      </c>
      <c r="AX40" s="12">
        <f>'12'!AX40</f>
        <v>1</v>
      </c>
      <c r="AY40" s="12">
        <f>'12'!AY40</f>
        <v>563</v>
      </c>
      <c r="AZ40" s="12"/>
      <c r="BA40" s="12"/>
      <c r="BB40" s="12">
        <f>BA40+'12'!BB40</f>
        <v>364</v>
      </c>
      <c r="BC40" s="30">
        <f t="shared" si="2"/>
        <v>0.64653641207815271</v>
      </c>
      <c r="BD40" s="12">
        <f>'12'!BD40</f>
        <v>2</v>
      </c>
      <c r="BE40" s="12">
        <f>'12'!BE40</f>
        <v>87</v>
      </c>
      <c r="BF40" s="12"/>
      <c r="BG40" s="12"/>
      <c r="BH40" s="12">
        <f>BG40+'12'!BH40</f>
        <v>166</v>
      </c>
      <c r="BI40" s="30">
        <f t="shared" si="3"/>
        <v>1.9080459770114941</v>
      </c>
    </row>
    <row r="41" spans="1:61" ht="28.9" customHeight="1" x14ac:dyDescent="0.35">
      <c r="A41" s="5">
        <v>31</v>
      </c>
      <c r="B41" s="26" t="str">
        <f>'12'!B41</f>
        <v>عزبــة أبوالنصر</v>
      </c>
      <c r="C41" s="26">
        <f>'12'!C41</f>
        <v>410</v>
      </c>
      <c r="D41" s="26"/>
      <c r="E41" s="12"/>
      <c r="F41" s="2">
        <f>E41+'12'!F41</f>
        <v>10</v>
      </c>
      <c r="G41" s="2"/>
      <c r="H41" s="2">
        <f>G41+'12'!H41</f>
        <v>229</v>
      </c>
      <c r="I41" s="2"/>
      <c r="J41" s="2">
        <f>I41+'12'!J41</f>
        <v>120</v>
      </c>
      <c r="K41" s="2"/>
      <c r="L41" s="2">
        <f>K41+'12'!L41</f>
        <v>0</v>
      </c>
      <c r="M41" s="2"/>
      <c r="N41" s="2">
        <f>M41+'12'!N41</f>
        <v>0</v>
      </c>
      <c r="O41" s="2"/>
      <c r="P41" s="2">
        <f>O41+'12'!P41</f>
        <v>0</v>
      </c>
      <c r="Q41" s="4">
        <f t="shared" si="4"/>
        <v>0</v>
      </c>
      <c r="R41" s="4">
        <f>Q41+'12'!R41</f>
        <v>359</v>
      </c>
      <c r="S41" s="27">
        <f t="shared" si="5"/>
        <v>0.87560975609756098</v>
      </c>
      <c r="T41" s="12"/>
      <c r="U41" s="12">
        <f>T41+'12'!U41</f>
        <v>0</v>
      </c>
      <c r="V41" s="12"/>
      <c r="W41" s="12">
        <f>V41+'12'!W41</f>
        <v>0</v>
      </c>
      <c r="X41" s="12"/>
      <c r="Y41" s="12">
        <f>X41+'12'!Y41</f>
        <v>0</v>
      </c>
      <c r="AB41" s="5">
        <v>31</v>
      </c>
      <c r="AC41" s="26" t="str">
        <f>'12'!AC41</f>
        <v>عزبــة أبوالنصر</v>
      </c>
      <c r="AD41" s="28">
        <f>'12'!AI41</f>
        <v>4</v>
      </c>
      <c r="AE41" s="3"/>
      <c r="AF41" s="28">
        <f>AE41+'12'!AF41</f>
        <v>41</v>
      </c>
      <c r="AG41" s="4"/>
      <c r="AH41" s="28">
        <f>AG41+'12'!AH41</f>
        <v>37</v>
      </c>
      <c r="AI41" s="4">
        <f t="shared" si="6"/>
        <v>4</v>
      </c>
      <c r="AJ41" s="11" t="e">
        <f t="shared" si="0"/>
        <v>#DIV/0!</v>
      </c>
      <c r="AK41" s="53">
        <f t="shared" si="1"/>
        <v>9.7027027027027035</v>
      </c>
      <c r="AW41" s="26" t="str">
        <f>'12'!AW41</f>
        <v>عزبــة أبوالنصر</v>
      </c>
      <c r="AX41" s="12">
        <f>'12'!AX41</f>
        <v>2</v>
      </c>
      <c r="AY41" s="12">
        <f>'12'!AY41</f>
        <v>70</v>
      </c>
      <c r="AZ41" s="12"/>
      <c r="BA41" s="12"/>
      <c r="BB41" s="12">
        <f>BA41+'12'!BB41</f>
        <v>65</v>
      </c>
      <c r="BC41" s="30">
        <f t="shared" si="2"/>
        <v>0.9285714285714286</v>
      </c>
      <c r="BD41" s="12">
        <f>'12'!BD41</f>
        <v>3</v>
      </c>
      <c r="BE41" s="12">
        <f>'12'!BE41</f>
        <v>75</v>
      </c>
      <c r="BF41" s="12"/>
      <c r="BG41" s="12"/>
      <c r="BH41" s="12">
        <f>BG41+'12'!BH41</f>
        <v>36</v>
      </c>
      <c r="BI41" s="30">
        <f t="shared" si="3"/>
        <v>0.48</v>
      </c>
    </row>
    <row r="42" spans="1:61" ht="28.9" customHeight="1" x14ac:dyDescent="0.35">
      <c r="A42" s="5">
        <v>32</v>
      </c>
      <c r="B42" s="26" t="str">
        <f>'12'!B42</f>
        <v>شمنديــــــــــــــل</v>
      </c>
      <c r="C42" s="26">
        <f>'12'!C42</f>
        <v>880</v>
      </c>
      <c r="D42" s="26"/>
      <c r="E42" s="12"/>
      <c r="F42" s="2">
        <f>E42+'12'!F42</f>
        <v>7</v>
      </c>
      <c r="G42" s="2"/>
      <c r="H42" s="2">
        <f>G42+'12'!H42</f>
        <v>219</v>
      </c>
      <c r="I42" s="2"/>
      <c r="J42" s="2">
        <f>I42+'12'!J42</f>
        <v>421</v>
      </c>
      <c r="K42" s="2"/>
      <c r="L42" s="2">
        <f>K42+'12'!L42</f>
        <v>0</v>
      </c>
      <c r="M42" s="2"/>
      <c r="N42" s="2">
        <f>M42+'12'!N42</f>
        <v>0</v>
      </c>
      <c r="O42" s="2"/>
      <c r="P42" s="2">
        <f>O42+'12'!P42</f>
        <v>0</v>
      </c>
      <c r="Q42" s="4">
        <f t="shared" si="4"/>
        <v>0</v>
      </c>
      <c r="R42" s="4">
        <f>Q42+'12'!R42</f>
        <v>647</v>
      </c>
      <c r="S42" s="27">
        <f t="shared" si="5"/>
        <v>0.73522727272727273</v>
      </c>
      <c r="T42" s="12"/>
      <c r="U42" s="12">
        <f>T42+'12'!U42</f>
        <v>69</v>
      </c>
      <c r="V42" s="12"/>
      <c r="W42" s="12">
        <f>V42+'12'!W42</f>
        <v>11</v>
      </c>
      <c r="X42" s="12"/>
      <c r="Y42" s="12">
        <f>X42+'12'!Y42</f>
        <v>0</v>
      </c>
      <c r="AB42" s="5">
        <v>32</v>
      </c>
      <c r="AC42" s="26" t="str">
        <f>'12'!AC42</f>
        <v>شمنديــــــــــــــل</v>
      </c>
      <c r="AD42" s="28">
        <f>'12'!AI42</f>
        <v>9</v>
      </c>
      <c r="AE42" s="3"/>
      <c r="AF42" s="28">
        <f>AE42+'12'!AF42</f>
        <v>78</v>
      </c>
      <c r="AG42" s="4"/>
      <c r="AH42" s="28">
        <f>AG42+'12'!AH42</f>
        <v>69</v>
      </c>
      <c r="AI42" s="4">
        <f t="shared" si="6"/>
        <v>9</v>
      </c>
      <c r="AJ42" s="11" t="e">
        <f t="shared" si="0"/>
        <v>#DIV/0!</v>
      </c>
      <c r="AK42" s="53">
        <f t="shared" si="1"/>
        <v>9.3768115942028984</v>
      </c>
      <c r="AW42" s="26" t="str">
        <f>'12'!AW42</f>
        <v>شمنديــــــــــــــل</v>
      </c>
      <c r="AX42" s="12">
        <f>'12'!AX42</f>
        <v>2</v>
      </c>
      <c r="AY42" s="12">
        <f>'12'!AY42</f>
        <v>569</v>
      </c>
      <c r="AZ42" s="12"/>
      <c r="BA42" s="12"/>
      <c r="BB42" s="12">
        <f>BA42+'12'!BB42</f>
        <v>453</v>
      </c>
      <c r="BC42" s="30">
        <f t="shared" si="2"/>
        <v>0.79613356766256593</v>
      </c>
      <c r="BD42" s="12">
        <f>'12'!BD42</f>
        <v>1</v>
      </c>
      <c r="BE42" s="12">
        <f>'12'!BE42</f>
        <v>39</v>
      </c>
      <c r="BF42" s="12"/>
      <c r="BG42" s="12"/>
      <c r="BH42" s="12">
        <f>BG42+'12'!BH42</f>
        <v>82</v>
      </c>
      <c r="BI42" s="30">
        <f t="shared" si="3"/>
        <v>2.1025641025641026</v>
      </c>
    </row>
    <row r="43" spans="1:61" ht="28.9" customHeight="1" x14ac:dyDescent="0.35">
      <c r="A43" s="5">
        <v>33</v>
      </c>
      <c r="B43" s="26" t="str">
        <f>'12'!B43</f>
        <v>كفور الرمل</v>
      </c>
      <c r="C43" s="26">
        <f>'12'!C43</f>
        <v>1721</v>
      </c>
      <c r="D43" s="26"/>
      <c r="E43" s="12"/>
      <c r="F43" s="2">
        <f>E43+'12'!F43</f>
        <v>17</v>
      </c>
      <c r="G43" s="2"/>
      <c r="H43" s="2">
        <f>G43+'12'!H43</f>
        <v>505</v>
      </c>
      <c r="I43" s="2"/>
      <c r="J43" s="2">
        <f>I43+'12'!J43</f>
        <v>718</v>
      </c>
      <c r="K43" s="2"/>
      <c r="L43" s="2">
        <f>K43+'12'!L43</f>
        <v>0</v>
      </c>
      <c r="M43" s="2"/>
      <c r="N43" s="2">
        <f>M43+'12'!N43</f>
        <v>0</v>
      </c>
      <c r="O43" s="2"/>
      <c r="P43" s="2">
        <f>O43+'12'!P43</f>
        <v>0</v>
      </c>
      <c r="Q43" s="4">
        <f t="shared" si="4"/>
        <v>0</v>
      </c>
      <c r="R43" s="4">
        <f>Q43+'12'!R43</f>
        <v>1240</v>
      </c>
      <c r="S43" s="27">
        <f t="shared" si="5"/>
        <v>0.72051133062173156</v>
      </c>
      <c r="T43" s="12"/>
      <c r="U43" s="12">
        <f>T43+'12'!U43</f>
        <v>192</v>
      </c>
      <c r="V43" s="12"/>
      <c r="W43" s="12">
        <f>V43+'12'!W43</f>
        <v>100</v>
      </c>
      <c r="X43" s="12"/>
      <c r="Y43" s="12">
        <f>X43+'12'!Y43</f>
        <v>0</v>
      </c>
      <c r="AB43" s="5">
        <v>33</v>
      </c>
      <c r="AC43" s="26" t="str">
        <f>'12'!AC43</f>
        <v>كفور الرمل</v>
      </c>
      <c r="AD43" s="28">
        <f>'12'!AI43</f>
        <v>15</v>
      </c>
      <c r="AE43" s="3"/>
      <c r="AF43" s="28">
        <f>AE43+'12'!AF43</f>
        <v>150</v>
      </c>
      <c r="AG43" s="4"/>
      <c r="AH43" s="28">
        <f>AG43+'12'!AH43</f>
        <v>135</v>
      </c>
      <c r="AI43" s="4">
        <f t="shared" si="6"/>
        <v>15</v>
      </c>
      <c r="AJ43" s="11" t="e">
        <f t="shared" si="0"/>
        <v>#DIV/0!</v>
      </c>
      <c r="AK43" s="53">
        <f t="shared" si="1"/>
        <v>9.1851851851851851</v>
      </c>
      <c r="AW43" s="26" t="str">
        <f>'12'!AW43</f>
        <v>كفور الرمل</v>
      </c>
      <c r="AX43" s="12">
        <f>'12'!AX43</f>
        <v>4</v>
      </c>
      <c r="AY43" s="12">
        <f>'12'!AY43</f>
        <v>1335</v>
      </c>
      <c r="AZ43" s="12"/>
      <c r="BA43" s="12"/>
      <c r="BB43" s="12">
        <f>BA43+'12'!BB43</f>
        <v>918</v>
      </c>
      <c r="BC43" s="30">
        <f t="shared" si="2"/>
        <v>0.68764044943820224</v>
      </c>
      <c r="BD43" s="12">
        <f>'12'!BD43</f>
        <v>7</v>
      </c>
      <c r="BE43" s="12">
        <f>'12'!BE43</f>
        <v>753</v>
      </c>
      <c r="BF43" s="12"/>
      <c r="BG43" s="12"/>
      <c r="BH43" s="12">
        <f>BG43+'12'!BH43</f>
        <v>414</v>
      </c>
      <c r="BI43" s="30">
        <f t="shared" si="3"/>
        <v>0.54980079681274896</v>
      </c>
    </row>
    <row r="44" spans="1:61" ht="28.9" customHeight="1" x14ac:dyDescent="0.35">
      <c r="A44" s="5">
        <v>34</v>
      </c>
      <c r="B44" s="26" t="str">
        <f>'12'!B44</f>
        <v>منشأة أم خنان</v>
      </c>
      <c r="C44" s="26">
        <f>'12'!C44</f>
        <v>510</v>
      </c>
      <c r="D44" s="26"/>
      <c r="E44" s="12"/>
      <c r="F44" s="2">
        <f>E44+'12'!F44</f>
        <v>12</v>
      </c>
      <c r="G44" s="2"/>
      <c r="H44" s="2">
        <f>G44+'12'!H44</f>
        <v>194</v>
      </c>
      <c r="I44" s="2"/>
      <c r="J44" s="2">
        <f>I44+'12'!J44</f>
        <v>291</v>
      </c>
      <c r="K44" s="2"/>
      <c r="L44" s="2">
        <f>K44+'12'!L44</f>
        <v>0</v>
      </c>
      <c r="M44" s="2"/>
      <c r="N44" s="2">
        <f>M44+'12'!N44</f>
        <v>0</v>
      </c>
      <c r="O44" s="2"/>
      <c r="P44" s="2">
        <f>O44+'12'!P44</f>
        <v>0</v>
      </c>
      <c r="Q44" s="4">
        <f t="shared" si="4"/>
        <v>0</v>
      </c>
      <c r="R44" s="4">
        <f>Q44+'12'!R44</f>
        <v>497</v>
      </c>
      <c r="S44" s="27">
        <f t="shared" si="5"/>
        <v>0.97450980392156861</v>
      </c>
      <c r="T44" s="12"/>
      <c r="U44" s="12">
        <f>T44+'12'!U44</f>
        <v>11</v>
      </c>
      <c r="V44" s="12"/>
      <c r="W44" s="12">
        <f>V44+'12'!W44</f>
        <v>7</v>
      </c>
      <c r="X44" s="12"/>
      <c r="Y44" s="12">
        <f>X44+'12'!Y44</f>
        <v>0</v>
      </c>
      <c r="AB44" s="5">
        <v>34</v>
      </c>
      <c r="AC44" s="26" t="str">
        <f>'12'!AC44</f>
        <v>منشأة أم خنان</v>
      </c>
      <c r="AD44" s="28">
        <f>'12'!AI44</f>
        <v>4</v>
      </c>
      <c r="AE44" s="3"/>
      <c r="AF44" s="28">
        <f>AE44+'12'!AF44</f>
        <v>55</v>
      </c>
      <c r="AG44" s="4"/>
      <c r="AH44" s="28">
        <f>AG44+'12'!AH44</f>
        <v>51</v>
      </c>
      <c r="AI44" s="4">
        <f t="shared" si="6"/>
        <v>4</v>
      </c>
      <c r="AJ44" s="11" t="e">
        <f t="shared" si="0"/>
        <v>#DIV/0!</v>
      </c>
      <c r="AK44" s="53">
        <f t="shared" si="1"/>
        <v>9.7450980392156854</v>
      </c>
      <c r="AW44" s="26" t="str">
        <f>'12'!AW44</f>
        <v>منشأة أم خنان</v>
      </c>
      <c r="AX44" s="12">
        <f>'12'!AX44</f>
        <v>1</v>
      </c>
      <c r="AY44" s="12">
        <f>'12'!AY44</f>
        <v>277</v>
      </c>
      <c r="AZ44" s="12"/>
      <c r="BA44" s="12"/>
      <c r="BB44" s="12">
        <f>BA44+'12'!BB44</f>
        <v>269</v>
      </c>
      <c r="BC44" s="30">
        <f t="shared" si="2"/>
        <v>0.97111913357400725</v>
      </c>
      <c r="BD44" s="12">
        <f>'12'!BD44</f>
        <v>3</v>
      </c>
      <c r="BE44" s="12">
        <f>'12'!BE44</f>
        <v>170</v>
      </c>
      <c r="BF44" s="12"/>
      <c r="BG44" s="12"/>
      <c r="BH44" s="12">
        <f>BG44+'12'!BH44</f>
        <v>115</v>
      </c>
      <c r="BI44" s="30">
        <f t="shared" si="3"/>
        <v>0.67647058823529416</v>
      </c>
    </row>
    <row r="45" spans="1:61" ht="28.9" customHeight="1" x14ac:dyDescent="0.35">
      <c r="A45" s="5">
        <v>35</v>
      </c>
      <c r="B45" s="26">
        <f>'12'!B45</f>
        <v>0</v>
      </c>
      <c r="C45" s="26">
        <f>'12'!C45</f>
        <v>0</v>
      </c>
      <c r="D45" s="26"/>
      <c r="E45" s="12"/>
      <c r="F45" s="2">
        <f>E45+'12'!F45</f>
        <v>0</v>
      </c>
      <c r="G45" s="2"/>
      <c r="H45" s="2">
        <f>G45+'12'!H45</f>
        <v>0</v>
      </c>
      <c r="I45" s="2"/>
      <c r="J45" s="2">
        <f>I45+'12'!J45</f>
        <v>0</v>
      </c>
      <c r="K45" s="2"/>
      <c r="L45" s="2">
        <f>K45+'12'!L45</f>
        <v>0</v>
      </c>
      <c r="M45" s="2"/>
      <c r="N45" s="2">
        <f>M45+'12'!N45</f>
        <v>0</v>
      </c>
      <c r="O45" s="2"/>
      <c r="P45" s="2">
        <f>O45+'12'!P45</f>
        <v>0</v>
      </c>
      <c r="Q45" s="4">
        <f t="shared" si="4"/>
        <v>0</v>
      </c>
      <c r="R45" s="4">
        <f>Q45+'12'!R45</f>
        <v>0</v>
      </c>
      <c r="S45" s="27" t="e">
        <f t="shared" si="5"/>
        <v>#DIV/0!</v>
      </c>
      <c r="T45" s="12"/>
      <c r="U45" s="12">
        <f>T45+'12'!U45</f>
        <v>0</v>
      </c>
      <c r="V45" s="12"/>
      <c r="W45" s="12">
        <f>V45+'12'!W45</f>
        <v>0</v>
      </c>
      <c r="X45" s="12"/>
      <c r="Y45" s="12">
        <f>X45+'12'!Y45</f>
        <v>0</v>
      </c>
      <c r="AB45" s="5">
        <v>35</v>
      </c>
      <c r="AC45" s="26">
        <f>'12'!AC45</f>
        <v>0</v>
      </c>
      <c r="AD45" s="28">
        <f>'12'!AI45</f>
        <v>0</v>
      </c>
      <c r="AE45" s="3"/>
      <c r="AF45" s="28">
        <f>AE45+'12'!AF45</f>
        <v>0</v>
      </c>
      <c r="AG45" s="4"/>
      <c r="AH45" s="28">
        <f>AG45+'12'!AH45</f>
        <v>0</v>
      </c>
      <c r="AI45" s="4">
        <f t="shared" si="6"/>
        <v>0</v>
      </c>
      <c r="AJ45" s="11" t="e">
        <f t="shared" si="0"/>
        <v>#DIV/0!</v>
      </c>
      <c r="AK45" s="53" t="e">
        <f t="shared" si="1"/>
        <v>#DIV/0!</v>
      </c>
      <c r="AW45" s="26">
        <f>'12'!AW45</f>
        <v>0</v>
      </c>
      <c r="AX45" s="12">
        <f>'12'!AX45</f>
        <v>0</v>
      </c>
      <c r="AY45" s="12">
        <f>'12'!AY45</f>
        <v>0</v>
      </c>
      <c r="AZ45" s="12"/>
      <c r="BA45" s="12"/>
      <c r="BB45" s="12">
        <f>BA45+'12'!BB45</f>
        <v>0</v>
      </c>
      <c r="BC45" s="30" t="e">
        <f t="shared" si="2"/>
        <v>#DIV/0!</v>
      </c>
      <c r="BD45" s="12">
        <f>'12'!BD45</f>
        <v>0</v>
      </c>
      <c r="BE45" s="12">
        <f>'12'!BE45</f>
        <v>0</v>
      </c>
      <c r="BF45" s="12"/>
      <c r="BG45" s="12"/>
      <c r="BH45" s="12">
        <f>BG45+'12'!BH45</f>
        <v>0</v>
      </c>
      <c r="BI45" s="30" t="e">
        <f t="shared" si="3"/>
        <v>#DIV/0!</v>
      </c>
    </row>
    <row r="46" spans="1:61" ht="28.9" customHeight="1" x14ac:dyDescent="0.35">
      <c r="A46" s="5">
        <v>36</v>
      </c>
      <c r="B46" s="26">
        <f>'12'!B46</f>
        <v>0</v>
      </c>
      <c r="C46" s="26">
        <f>'12'!C46</f>
        <v>0</v>
      </c>
      <c r="D46" s="26"/>
      <c r="E46" s="12"/>
      <c r="F46" s="2">
        <f>E46+'12'!F46</f>
        <v>0</v>
      </c>
      <c r="G46" s="2"/>
      <c r="H46" s="2">
        <f>G46+'12'!H46</f>
        <v>0</v>
      </c>
      <c r="I46" s="2"/>
      <c r="J46" s="2">
        <f>I46+'12'!J46</f>
        <v>0</v>
      </c>
      <c r="K46" s="2"/>
      <c r="L46" s="2">
        <f>K46+'12'!L46</f>
        <v>0</v>
      </c>
      <c r="M46" s="2"/>
      <c r="N46" s="2">
        <f>M46+'12'!N46</f>
        <v>0</v>
      </c>
      <c r="O46" s="2"/>
      <c r="P46" s="2">
        <f>O46+'12'!P46</f>
        <v>0</v>
      </c>
      <c r="Q46" s="4">
        <f t="shared" si="4"/>
        <v>0</v>
      </c>
      <c r="R46" s="4">
        <f>Q46+'12'!R46</f>
        <v>0</v>
      </c>
      <c r="S46" s="27" t="e">
        <f t="shared" si="5"/>
        <v>#DIV/0!</v>
      </c>
      <c r="T46" s="12"/>
      <c r="U46" s="12">
        <f>T46+'12'!U46</f>
        <v>0</v>
      </c>
      <c r="V46" s="12"/>
      <c r="W46" s="12">
        <f>V46+'12'!W46</f>
        <v>0</v>
      </c>
      <c r="X46" s="12"/>
      <c r="Y46" s="12">
        <f>X46+'12'!Y46</f>
        <v>0</v>
      </c>
      <c r="AB46" s="5">
        <v>36</v>
      </c>
      <c r="AC46" s="26">
        <f>'12'!AC46</f>
        <v>0</v>
      </c>
      <c r="AD46" s="28">
        <f>'12'!AI46</f>
        <v>0</v>
      </c>
      <c r="AE46" s="3"/>
      <c r="AF46" s="28">
        <f>AE46+'12'!AF46</f>
        <v>0</v>
      </c>
      <c r="AG46" s="4"/>
      <c r="AH46" s="28">
        <f>AG46+'12'!AH46</f>
        <v>0</v>
      </c>
      <c r="AI46" s="4">
        <f t="shared" si="6"/>
        <v>0</v>
      </c>
      <c r="AJ46" s="11" t="e">
        <f t="shared" si="0"/>
        <v>#DIV/0!</v>
      </c>
      <c r="AK46" s="53" t="e">
        <f t="shared" si="1"/>
        <v>#DIV/0!</v>
      </c>
      <c r="AW46" s="26">
        <f>'12'!AW46</f>
        <v>0</v>
      </c>
      <c r="AX46" s="12">
        <f>'12'!AX46</f>
        <v>0</v>
      </c>
      <c r="AY46" s="12">
        <f>'12'!AY46</f>
        <v>0</v>
      </c>
      <c r="AZ46" s="12"/>
      <c r="BA46" s="12"/>
      <c r="BB46" s="12">
        <f>BA46+'12'!BB46</f>
        <v>0</v>
      </c>
      <c r="BC46" s="30" t="e">
        <f t="shared" si="2"/>
        <v>#DIV/0!</v>
      </c>
      <c r="BD46" s="12">
        <f>'12'!BD46</f>
        <v>0</v>
      </c>
      <c r="BE46" s="12">
        <f>'12'!BE46</f>
        <v>0</v>
      </c>
      <c r="BF46" s="12"/>
      <c r="BG46" s="12"/>
      <c r="BH46" s="12">
        <f>BG46+'12'!BH46</f>
        <v>0</v>
      </c>
      <c r="BI46" s="30" t="e">
        <f t="shared" si="3"/>
        <v>#DIV/0!</v>
      </c>
    </row>
    <row r="47" spans="1:61" ht="28.9" customHeight="1" x14ac:dyDescent="0.35">
      <c r="A47" s="5">
        <v>37</v>
      </c>
      <c r="B47" s="26">
        <f>'12'!B47</f>
        <v>0</v>
      </c>
      <c r="C47" s="26">
        <f>'12'!C47</f>
        <v>0</v>
      </c>
      <c r="D47" s="26"/>
      <c r="E47" s="12"/>
      <c r="F47" s="2">
        <f>E47+'12'!F47</f>
        <v>0</v>
      </c>
      <c r="G47" s="2"/>
      <c r="H47" s="2">
        <f>G47+'12'!H47</f>
        <v>0</v>
      </c>
      <c r="I47" s="2"/>
      <c r="J47" s="2">
        <f>I47+'12'!J47</f>
        <v>0</v>
      </c>
      <c r="K47" s="2"/>
      <c r="L47" s="2">
        <f>K47+'12'!L47</f>
        <v>0</v>
      </c>
      <c r="M47" s="2"/>
      <c r="N47" s="2">
        <f>M47+'12'!N47</f>
        <v>0</v>
      </c>
      <c r="O47" s="2"/>
      <c r="P47" s="2">
        <f>O47+'12'!P47</f>
        <v>0</v>
      </c>
      <c r="Q47" s="4">
        <f t="shared" si="4"/>
        <v>0</v>
      </c>
      <c r="R47" s="4">
        <f>Q47+'12'!R47</f>
        <v>0</v>
      </c>
      <c r="S47" s="27" t="e">
        <f t="shared" si="5"/>
        <v>#DIV/0!</v>
      </c>
      <c r="T47" s="12"/>
      <c r="U47" s="12">
        <f>T47+'12'!U47</f>
        <v>0</v>
      </c>
      <c r="V47" s="12"/>
      <c r="W47" s="12">
        <f>V47+'12'!W47</f>
        <v>0</v>
      </c>
      <c r="X47" s="12"/>
      <c r="Y47" s="12">
        <f>X47+'12'!Y47</f>
        <v>0</v>
      </c>
      <c r="AB47" s="5">
        <v>37</v>
      </c>
      <c r="AC47" s="26">
        <f>'12'!AC47</f>
        <v>0</v>
      </c>
      <c r="AD47" s="28">
        <f>'12'!AI47</f>
        <v>0</v>
      </c>
      <c r="AE47" s="3"/>
      <c r="AF47" s="28">
        <f>AE47+'12'!AF47</f>
        <v>0</v>
      </c>
      <c r="AG47" s="4"/>
      <c r="AH47" s="28">
        <f>AG47+'12'!AH47</f>
        <v>0</v>
      </c>
      <c r="AI47" s="4">
        <f t="shared" si="6"/>
        <v>0</v>
      </c>
      <c r="AJ47" s="11" t="e">
        <f t="shared" si="0"/>
        <v>#DIV/0!</v>
      </c>
      <c r="AK47" s="53" t="e">
        <f t="shared" si="1"/>
        <v>#DIV/0!</v>
      </c>
      <c r="AW47" s="26">
        <f>'12'!AW47</f>
        <v>0</v>
      </c>
      <c r="AX47" s="12">
        <f>'12'!AX47</f>
        <v>0</v>
      </c>
      <c r="AY47" s="12">
        <f>'12'!AY47</f>
        <v>0</v>
      </c>
      <c r="AZ47" s="12"/>
      <c r="BA47" s="12"/>
      <c r="BB47" s="12">
        <f>BA47+'12'!BB47</f>
        <v>0</v>
      </c>
      <c r="BC47" s="30" t="e">
        <f t="shared" si="2"/>
        <v>#DIV/0!</v>
      </c>
      <c r="BD47" s="12">
        <f>'12'!BD47</f>
        <v>0</v>
      </c>
      <c r="BE47" s="12">
        <f>'12'!BE47</f>
        <v>0</v>
      </c>
      <c r="BF47" s="12"/>
      <c r="BG47" s="12"/>
      <c r="BH47" s="12">
        <f>BG47+'12'!BH47</f>
        <v>0</v>
      </c>
      <c r="BI47" s="30" t="e">
        <f t="shared" si="3"/>
        <v>#DIV/0!</v>
      </c>
    </row>
    <row r="48" spans="1:61" ht="28.9" customHeight="1" x14ac:dyDescent="0.35">
      <c r="A48" s="5">
        <v>38</v>
      </c>
      <c r="B48" s="26">
        <f>'12'!B48</f>
        <v>0</v>
      </c>
      <c r="C48" s="26">
        <f>'12'!C48</f>
        <v>0</v>
      </c>
      <c r="D48" s="26"/>
      <c r="E48" s="12"/>
      <c r="F48" s="2">
        <f>E48+'12'!F48</f>
        <v>0</v>
      </c>
      <c r="G48" s="2"/>
      <c r="H48" s="2">
        <f>G48+'12'!H48</f>
        <v>0</v>
      </c>
      <c r="I48" s="2"/>
      <c r="J48" s="2">
        <f>I48+'12'!J48</f>
        <v>0</v>
      </c>
      <c r="K48" s="2"/>
      <c r="L48" s="2">
        <f>K48+'12'!L48</f>
        <v>0</v>
      </c>
      <c r="M48" s="2"/>
      <c r="N48" s="2">
        <f>M48+'12'!N48</f>
        <v>0</v>
      </c>
      <c r="O48" s="2"/>
      <c r="P48" s="2">
        <f>O48+'12'!P48</f>
        <v>0</v>
      </c>
      <c r="Q48" s="4">
        <f t="shared" si="4"/>
        <v>0</v>
      </c>
      <c r="R48" s="4">
        <f>Q48+'12'!R48</f>
        <v>0</v>
      </c>
      <c r="S48" s="27" t="e">
        <f t="shared" si="5"/>
        <v>#DIV/0!</v>
      </c>
      <c r="T48" s="12"/>
      <c r="U48" s="12">
        <f>T48+'12'!U48</f>
        <v>0</v>
      </c>
      <c r="V48" s="12"/>
      <c r="W48" s="12">
        <f>V48+'12'!W48</f>
        <v>0</v>
      </c>
      <c r="X48" s="12"/>
      <c r="Y48" s="12">
        <f>X48+'12'!Y48</f>
        <v>0</v>
      </c>
      <c r="AB48" s="5">
        <v>38</v>
      </c>
      <c r="AC48" s="26">
        <f>'12'!AC48</f>
        <v>0</v>
      </c>
      <c r="AD48" s="28">
        <f>'12'!AI48</f>
        <v>0</v>
      </c>
      <c r="AE48" s="3"/>
      <c r="AF48" s="28">
        <f>AE48+'12'!AF48</f>
        <v>0</v>
      </c>
      <c r="AG48" s="4"/>
      <c r="AH48" s="28">
        <f>AG48+'12'!AH48</f>
        <v>0</v>
      </c>
      <c r="AI48" s="4">
        <f t="shared" si="6"/>
        <v>0</v>
      </c>
      <c r="AJ48" s="11" t="e">
        <f t="shared" si="0"/>
        <v>#DIV/0!</v>
      </c>
      <c r="AK48" s="53" t="e">
        <f t="shared" si="1"/>
        <v>#DIV/0!</v>
      </c>
      <c r="AW48" s="26">
        <f>'12'!AW48</f>
        <v>0</v>
      </c>
      <c r="AX48" s="12">
        <f>'12'!AX48</f>
        <v>0</v>
      </c>
      <c r="AY48" s="12">
        <f>'12'!AY48</f>
        <v>0</v>
      </c>
      <c r="AZ48" s="12"/>
      <c r="BA48" s="12"/>
      <c r="BB48" s="12">
        <f>BA48+'12'!BB48</f>
        <v>0</v>
      </c>
      <c r="BC48" s="30" t="e">
        <f t="shared" si="2"/>
        <v>#DIV/0!</v>
      </c>
      <c r="BD48" s="12">
        <f>'12'!BD48</f>
        <v>0</v>
      </c>
      <c r="BE48" s="12">
        <f>'12'!BE48</f>
        <v>0</v>
      </c>
      <c r="BF48" s="12"/>
      <c r="BG48" s="12"/>
      <c r="BH48" s="12">
        <f>BG48+'12'!BH48</f>
        <v>0</v>
      </c>
      <c r="BI48" s="30" t="e">
        <f t="shared" si="3"/>
        <v>#DIV/0!</v>
      </c>
    </row>
    <row r="49" spans="1:61" ht="28.9" customHeight="1" x14ac:dyDescent="0.35">
      <c r="A49" s="5">
        <v>39</v>
      </c>
      <c r="B49" s="26">
        <f>'12'!B49</f>
        <v>0</v>
      </c>
      <c r="C49" s="26">
        <f>'12'!C49</f>
        <v>0</v>
      </c>
      <c r="D49" s="26"/>
      <c r="E49" s="12"/>
      <c r="F49" s="2">
        <f>E49+'12'!F49</f>
        <v>0</v>
      </c>
      <c r="G49" s="2"/>
      <c r="H49" s="2">
        <f>G49+'12'!H49</f>
        <v>0</v>
      </c>
      <c r="I49" s="2"/>
      <c r="J49" s="2">
        <f>I49+'12'!J49</f>
        <v>0</v>
      </c>
      <c r="K49" s="2"/>
      <c r="L49" s="2">
        <f>K49+'12'!L49</f>
        <v>0</v>
      </c>
      <c r="M49" s="2"/>
      <c r="N49" s="2">
        <f>M49+'12'!N49</f>
        <v>0</v>
      </c>
      <c r="O49" s="2"/>
      <c r="P49" s="2">
        <f>O49+'12'!P49</f>
        <v>0</v>
      </c>
      <c r="Q49" s="4">
        <f t="shared" si="4"/>
        <v>0</v>
      </c>
      <c r="R49" s="4">
        <f>Q49+'12'!R49</f>
        <v>0</v>
      </c>
      <c r="S49" s="27" t="e">
        <f t="shared" si="5"/>
        <v>#DIV/0!</v>
      </c>
      <c r="T49" s="12"/>
      <c r="U49" s="12">
        <f>T49+'12'!U49</f>
        <v>0</v>
      </c>
      <c r="V49" s="12"/>
      <c r="W49" s="12">
        <f>V49+'12'!W49</f>
        <v>0</v>
      </c>
      <c r="X49" s="12"/>
      <c r="Y49" s="12">
        <f>X49+'12'!Y49</f>
        <v>0</v>
      </c>
      <c r="AB49" s="5">
        <v>39</v>
      </c>
      <c r="AC49" s="26">
        <f>'12'!AC49</f>
        <v>0</v>
      </c>
      <c r="AD49" s="28">
        <f>'12'!AI49</f>
        <v>0</v>
      </c>
      <c r="AE49" s="3"/>
      <c r="AF49" s="28">
        <f>AE49+'12'!AF49</f>
        <v>0</v>
      </c>
      <c r="AG49" s="4"/>
      <c r="AH49" s="28">
        <f>AG49+'12'!AH49</f>
        <v>0</v>
      </c>
      <c r="AI49" s="4">
        <f t="shared" si="6"/>
        <v>0</v>
      </c>
      <c r="AJ49" s="11" t="e">
        <f t="shared" si="0"/>
        <v>#DIV/0!</v>
      </c>
      <c r="AK49" s="53" t="e">
        <f t="shared" si="1"/>
        <v>#DIV/0!</v>
      </c>
      <c r="AW49" s="26">
        <f>'12'!AW49</f>
        <v>0</v>
      </c>
      <c r="AX49" s="12">
        <f>'12'!AX49</f>
        <v>0</v>
      </c>
      <c r="AY49" s="12">
        <f>'12'!AY49</f>
        <v>0</v>
      </c>
      <c r="AZ49" s="12"/>
      <c r="BA49" s="12"/>
      <c r="BB49" s="12">
        <f>BA49+'12'!BB49</f>
        <v>0</v>
      </c>
      <c r="BC49" s="30" t="e">
        <f t="shared" si="2"/>
        <v>#DIV/0!</v>
      </c>
      <c r="BD49" s="12">
        <f>'12'!BD49</f>
        <v>0</v>
      </c>
      <c r="BE49" s="12">
        <f>'12'!BE49</f>
        <v>0</v>
      </c>
      <c r="BF49" s="12"/>
      <c r="BG49" s="12"/>
      <c r="BH49" s="12">
        <f>BG49+'12'!BH49</f>
        <v>0</v>
      </c>
      <c r="BI49" s="30" t="e">
        <f t="shared" si="3"/>
        <v>#DIV/0!</v>
      </c>
    </row>
    <row r="50" spans="1:61" ht="28.9" customHeight="1" x14ac:dyDescent="0.35">
      <c r="A50" s="5">
        <v>40</v>
      </c>
      <c r="B50" s="26">
        <f>'12'!B50</f>
        <v>0</v>
      </c>
      <c r="C50" s="26">
        <f>'12'!C50</f>
        <v>0</v>
      </c>
      <c r="D50" s="26"/>
      <c r="E50" s="12"/>
      <c r="F50" s="2">
        <f>E50+'12'!F50</f>
        <v>0</v>
      </c>
      <c r="G50" s="2"/>
      <c r="H50" s="2">
        <f>G50+'12'!H50</f>
        <v>0</v>
      </c>
      <c r="I50" s="2"/>
      <c r="J50" s="2">
        <f>I50+'12'!J50</f>
        <v>0</v>
      </c>
      <c r="K50" s="2"/>
      <c r="L50" s="2">
        <f>K50+'12'!L50</f>
        <v>0</v>
      </c>
      <c r="M50" s="2"/>
      <c r="N50" s="2">
        <f>M50+'12'!N50</f>
        <v>0</v>
      </c>
      <c r="O50" s="2"/>
      <c r="P50" s="2">
        <f>O50+'12'!P50</f>
        <v>0</v>
      </c>
      <c r="Q50" s="4">
        <f t="shared" si="4"/>
        <v>0</v>
      </c>
      <c r="R50" s="4">
        <f>Q50+'12'!R50</f>
        <v>0</v>
      </c>
      <c r="S50" s="27" t="e">
        <f t="shared" si="5"/>
        <v>#DIV/0!</v>
      </c>
      <c r="T50" s="12"/>
      <c r="U50" s="12">
        <f>T50+'12'!U50</f>
        <v>0</v>
      </c>
      <c r="V50" s="12"/>
      <c r="W50" s="12">
        <f>V50+'12'!W50</f>
        <v>0</v>
      </c>
      <c r="X50" s="12"/>
      <c r="Y50" s="12">
        <f>X50+'12'!Y50</f>
        <v>0</v>
      </c>
      <c r="AB50" s="5">
        <v>40</v>
      </c>
      <c r="AC50" s="26">
        <f>'12'!AC50</f>
        <v>0</v>
      </c>
      <c r="AD50" s="28">
        <f>'12'!AI50</f>
        <v>0</v>
      </c>
      <c r="AE50" s="3"/>
      <c r="AF50" s="28">
        <f>AE50+'12'!AF50</f>
        <v>0</v>
      </c>
      <c r="AG50" s="4"/>
      <c r="AH50" s="28">
        <f>AG50+'12'!AH50</f>
        <v>0</v>
      </c>
      <c r="AI50" s="4">
        <f t="shared" si="6"/>
        <v>0</v>
      </c>
      <c r="AJ50" s="11" t="e">
        <f t="shared" si="0"/>
        <v>#DIV/0!</v>
      </c>
      <c r="AK50" s="53" t="e">
        <f t="shared" si="1"/>
        <v>#DIV/0!</v>
      </c>
      <c r="AW50" s="26">
        <f>'12'!AW50</f>
        <v>0</v>
      </c>
      <c r="AX50" s="12">
        <f>'12'!AX50</f>
        <v>0</v>
      </c>
      <c r="AY50" s="12">
        <f>'12'!AY50</f>
        <v>0</v>
      </c>
      <c r="AZ50" s="12"/>
      <c r="BA50" s="12"/>
      <c r="BB50" s="12">
        <f>BA50+'12'!BB50</f>
        <v>0</v>
      </c>
      <c r="BC50" s="30" t="e">
        <f t="shared" si="2"/>
        <v>#DIV/0!</v>
      </c>
      <c r="BD50" s="12">
        <f>'12'!BD50</f>
        <v>0</v>
      </c>
      <c r="BE50" s="12">
        <f>'12'!BE50</f>
        <v>0</v>
      </c>
      <c r="BF50" s="12"/>
      <c r="BG50" s="12"/>
      <c r="BH50" s="12">
        <f>BG50+'12'!BH50</f>
        <v>0</v>
      </c>
      <c r="BI50" s="30" t="e">
        <f t="shared" si="3"/>
        <v>#DIV/0!</v>
      </c>
    </row>
    <row r="51" spans="1:61" ht="25.5" thickBot="1" x14ac:dyDescent="0.4">
      <c r="A51" s="321" t="s">
        <v>26</v>
      </c>
      <c r="B51" s="321"/>
      <c r="C51" s="35">
        <f>SUM(C11:C50)</f>
        <v>97446</v>
      </c>
      <c r="D51" s="35">
        <f>SUM(D11:D50)</f>
        <v>0</v>
      </c>
      <c r="E51" s="6">
        <f>SUM(E11:E50)</f>
        <v>0</v>
      </c>
      <c r="F51" s="6">
        <f>SUM(F11:F50)</f>
        <v>533</v>
      </c>
      <c r="G51" s="6">
        <f t="shared" ref="G51:R51" si="8">SUM(G11:G50)</f>
        <v>0</v>
      </c>
      <c r="H51" s="6">
        <f t="shared" si="8"/>
        <v>14954</v>
      </c>
      <c r="I51" s="6">
        <f t="shared" si="8"/>
        <v>0</v>
      </c>
      <c r="J51" s="6">
        <f t="shared" si="8"/>
        <v>37926</v>
      </c>
      <c r="K51" s="6">
        <f t="shared" si="8"/>
        <v>0</v>
      </c>
      <c r="L51" s="6">
        <f t="shared" si="8"/>
        <v>0</v>
      </c>
      <c r="M51" s="6">
        <f t="shared" si="8"/>
        <v>0</v>
      </c>
      <c r="N51" s="6">
        <f t="shared" si="8"/>
        <v>0</v>
      </c>
      <c r="O51" s="6">
        <f t="shared" si="8"/>
        <v>0</v>
      </c>
      <c r="P51" s="6">
        <f t="shared" si="8"/>
        <v>0</v>
      </c>
      <c r="Q51" s="6">
        <f t="shared" si="8"/>
        <v>0</v>
      </c>
      <c r="R51" s="6">
        <f t="shared" si="8"/>
        <v>53413</v>
      </c>
      <c r="S51" s="10">
        <f>R51/C51</f>
        <v>0.54812922028610722</v>
      </c>
      <c r="T51" s="23">
        <f t="shared" ref="T51:Y51" si="9">SUM(T11:T50)</f>
        <v>0</v>
      </c>
      <c r="U51" s="23">
        <f t="shared" si="9"/>
        <v>7532</v>
      </c>
      <c r="V51" s="23">
        <f t="shared" si="9"/>
        <v>0</v>
      </c>
      <c r="W51" s="23">
        <f t="shared" si="9"/>
        <v>1107</v>
      </c>
      <c r="X51" s="23">
        <f t="shared" si="9"/>
        <v>0</v>
      </c>
      <c r="Y51" s="23">
        <f t="shared" si="9"/>
        <v>2</v>
      </c>
      <c r="AB51" s="37" t="s">
        <v>29</v>
      </c>
      <c r="AC51" s="37"/>
      <c r="AD51" s="34">
        <f t="shared" ref="AD51:AI51" si="10">SUM(AD11:AD50)</f>
        <v>3133</v>
      </c>
      <c r="AE51" s="23">
        <f t="shared" si="10"/>
        <v>0</v>
      </c>
      <c r="AF51" s="14">
        <f t="shared" si="10"/>
        <v>8632</v>
      </c>
      <c r="AG51" s="14">
        <f t="shared" si="10"/>
        <v>0</v>
      </c>
      <c r="AH51" s="14">
        <f t="shared" si="10"/>
        <v>5499</v>
      </c>
      <c r="AI51" s="14">
        <f t="shared" si="10"/>
        <v>3133</v>
      </c>
      <c r="AJ51" s="11" t="e">
        <f t="shared" si="0"/>
        <v>#DIV/0!</v>
      </c>
      <c r="AK51" s="53">
        <f t="shared" si="1"/>
        <v>9.713220585561011</v>
      </c>
      <c r="AW51" s="33" t="s">
        <v>26</v>
      </c>
      <c r="AX51" s="13">
        <f>SUM(AX11:AX50)</f>
        <v>121</v>
      </c>
      <c r="AY51" s="13">
        <f>SUM(AY11:AY50)</f>
        <v>50910</v>
      </c>
      <c r="AZ51" s="13">
        <f>SUM(AZ11:AZ50)</f>
        <v>0</v>
      </c>
      <c r="BA51" s="13">
        <f>SUM(BA11:BA50)</f>
        <v>0</v>
      </c>
      <c r="BB51" s="13">
        <f>SUM(BB11:BB50)</f>
        <v>39924</v>
      </c>
      <c r="BC51" s="31">
        <f t="shared" si="2"/>
        <v>0.78420742486741313</v>
      </c>
      <c r="BD51" s="32">
        <f>SUM(BD11:BD50)</f>
        <v>241</v>
      </c>
      <c r="BE51" s="32">
        <f>SUM(BE11:BE50)</f>
        <v>14990</v>
      </c>
      <c r="BF51" s="32">
        <f>SUM(BF11:BF50)</f>
        <v>0</v>
      </c>
      <c r="BG51" s="32">
        <f>SUM(BG11:BG50)</f>
        <v>0</v>
      </c>
      <c r="BH51" s="32">
        <f>SUM(BH11:BH50)</f>
        <v>9274</v>
      </c>
      <c r="BI51" s="31">
        <f t="shared" si="3"/>
        <v>0.61867911941294196</v>
      </c>
    </row>
    <row r="52" spans="1:61" ht="17.5" x14ac:dyDescent="0.35">
      <c r="AB52" s="36"/>
      <c r="AC52" s="36"/>
      <c r="AD52" s="36"/>
      <c r="AE52" s="36"/>
      <c r="AF52" s="40"/>
      <c r="AG52" s="40"/>
      <c r="AH52" s="40"/>
      <c r="AI52" s="41"/>
      <c r="AJ52" s="15"/>
      <c r="AK52" s="15"/>
    </row>
    <row r="54" spans="1:61" ht="18.5" x14ac:dyDescent="0.45">
      <c r="G54" s="322" t="s">
        <v>36</v>
      </c>
      <c r="H54" s="322"/>
      <c r="I54" s="322"/>
      <c r="J54" s="322"/>
      <c r="K54" s="322"/>
      <c r="L54" s="322"/>
      <c r="M54" s="322"/>
      <c r="N54" s="322"/>
      <c r="O54" s="322"/>
      <c r="P54" s="322"/>
      <c r="Q54" s="322"/>
      <c r="R54" s="322"/>
      <c r="S54" s="322"/>
      <c r="AB54" s="313" t="s">
        <v>44</v>
      </c>
      <c r="AC54" s="313"/>
      <c r="AD54" s="313"/>
      <c r="AE54" s="313"/>
      <c r="AF54" s="313"/>
      <c r="AG54" s="313"/>
      <c r="AH54" s="313"/>
      <c r="AI54" s="313"/>
      <c r="AJ54" s="313"/>
      <c r="AK54" s="313"/>
      <c r="AL54" s="313"/>
      <c r="AM54" s="313"/>
      <c r="AN54" s="313"/>
    </row>
    <row r="55" spans="1:61" ht="18.5" x14ac:dyDescent="0.45">
      <c r="AX55" s="313" t="s">
        <v>44</v>
      </c>
      <c r="AY55" s="313"/>
      <c r="AZ55" s="313"/>
      <c r="BA55" s="313"/>
      <c r="BB55" s="313"/>
      <c r="BC55" s="313"/>
      <c r="BD55" s="313"/>
      <c r="BE55" s="313"/>
      <c r="BF55" s="313"/>
      <c r="BG55" s="313"/>
      <c r="BH55" s="313"/>
      <c r="BI55" s="313"/>
    </row>
    <row r="56" spans="1:61" ht="15.5" x14ac:dyDescent="0.35">
      <c r="AG56" s="38"/>
      <c r="AH56" s="38"/>
      <c r="AI56" s="38"/>
    </row>
  </sheetData>
  <mergeCells count="56">
    <mergeCell ref="A6:Y6"/>
    <mergeCell ref="AF6:AN6"/>
    <mergeCell ref="AY6:BI6"/>
    <mergeCell ref="A7:Y7"/>
    <mergeCell ref="A8:A10"/>
    <mergeCell ref="B8:B10"/>
    <mergeCell ref="C8:C10"/>
    <mergeCell ref="D8:D10"/>
    <mergeCell ref="E8:J8"/>
    <mergeCell ref="K8:P8"/>
    <mergeCell ref="Q8:R9"/>
    <mergeCell ref="S8:S10"/>
    <mergeCell ref="T8:U9"/>
    <mergeCell ref="V8:W9"/>
    <mergeCell ref="X8:Y9"/>
    <mergeCell ref="AB8:AB10"/>
    <mergeCell ref="AN8:AN9"/>
    <mergeCell ref="AO8:AO9"/>
    <mergeCell ref="AP8:AQ8"/>
    <mergeCell ref="AR8:AS8"/>
    <mergeCell ref="AC8:AC10"/>
    <mergeCell ref="AD8:AD10"/>
    <mergeCell ref="AE8:AF9"/>
    <mergeCell ref="AG8:AH9"/>
    <mergeCell ref="AI8:AI10"/>
    <mergeCell ref="AJ8:AJ10"/>
    <mergeCell ref="AW8:AW10"/>
    <mergeCell ref="AX8:BC8"/>
    <mergeCell ref="BD8:BI8"/>
    <mergeCell ref="E9:F9"/>
    <mergeCell ref="G9:H9"/>
    <mergeCell ref="I9:J9"/>
    <mergeCell ref="K9:L9"/>
    <mergeCell ref="M9:N9"/>
    <mergeCell ref="AK8:AK10"/>
    <mergeCell ref="AM8:AM13"/>
    <mergeCell ref="BF9:BF10"/>
    <mergeCell ref="BG9:BG10"/>
    <mergeCell ref="BH9:BH10"/>
    <mergeCell ref="O9:P9"/>
    <mergeCell ref="AX9:AX10"/>
    <mergeCell ref="AY9:AY10"/>
    <mergeCell ref="AZ9:AZ10"/>
    <mergeCell ref="BA9:BA10"/>
    <mergeCell ref="BB9:BB10"/>
    <mergeCell ref="AT8:AT9"/>
    <mergeCell ref="AX55:BI55"/>
    <mergeCell ref="BI9:BI10"/>
    <mergeCell ref="AM14:AN14"/>
    <mergeCell ref="AO14:AS14"/>
    <mergeCell ref="A51:B51"/>
    <mergeCell ref="G54:S54"/>
    <mergeCell ref="AB54:AN54"/>
    <mergeCell ref="BC9:BC10"/>
    <mergeCell ref="BD9:BD10"/>
    <mergeCell ref="BE9:BE10"/>
  </mergeCells>
  <pageMargins left="0.7" right="0.7" top="0.75" bottom="0.75" header="0.3" footer="0.3"/>
  <pageSetup paperSize="9" scale="17" orientation="landscape" r:id="rId1"/>
  <colBreaks count="2" manualBreakCount="2">
    <brk id="26" max="55" man="1"/>
    <brk id="47" max="5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FCA06-A952-401A-9864-2EB586BDD9D6}">
  <dimension ref="A1:BJ56"/>
  <sheetViews>
    <sheetView rightToLeft="1" view="pageBreakPreview" topLeftCell="AE1" zoomScale="55" zoomScaleNormal="29" zoomScalePageLayoutView="40" workbookViewId="0">
      <selection activeCell="AN20" sqref="AN20"/>
    </sheetView>
  </sheetViews>
  <sheetFormatPr defaultRowHeight="14.5" x14ac:dyDescent="0.35"/>
  <cols>
    <col min="1" max="1" width="11.26953125" style="1" customWidth="1"/>
    <col min="2" max="4" width="18.7265625" style="1" customWidth="1"/>
    <col min="5" max="6" width="15.26953125" customWidth="1"/>
    <col min="7" max="7" width="18.453125" customWidth="1"/>
    <col min="8" max="8" width="16.81640625" customWidth="1"/>
    <col min="9" max="9" width="15.26953125" customWidth="1"/>
    <col min="10" max="10" width="15.54296875" customWidth="1"/>
    <col min="11" max="23" width="15.26953125" customWidth="1"/>
    <col min="24" max="25" width="12.54296875" customWidth="1"/>
    <col min="27" max="27" width="19.1796875" customWidth="1"/>
    <col min="28" max="30" width="15.26953125" customWidth="1"/>
    <col min="31" max="32" width="13.7265625" customWidth="1"/>
    <col min="33" max="33" width="14.1796875" customWidth="1"/>
    <col min="34" max="34" width="13" customWidth="1"/>
    <col min="35" max="35" width="18.26953125" customWidth="1"/>
    <col min="36" max="40" width="15" customWidth="1"/>
    <col min="41" max="41" width="16.7265625" customWidth="1"/>
    <col min="42" max="42" width="18" customWidth="1"/>
    <col min="43" max="46" width="15" customWidth="1"/>
    <col min="47" max="47" width="14" style="1" customWidth="1"/>
    <col min="49" max="49" width="15.1796875" customWidth="1"/>
    <col min="50" max="50" width="22.26953125" customWidth="1"/>
    <col min="51" max="51" width="16.26953125" customWidth="1"/>
    <col min="52" max="52" width="13.453125" customWidth="1"/>
    <col min="53" max="53" width="14" customWidth="1"/>
    <col min="54" max="54" width="11.7265625" customWidth="1"/>
    <col min="55" max="55" width="14.26953125" customWidth="1"/>
    <col min="56" max="56" width="17.7265625" customWidth="1"/>
    <col min="57" max="57" width="22.453125" customWidth="1"/>
    <col min="58" max="58" width="17.7265625" customWidth="1"/>
    <col min="59" max="59" width="11.7265625" customWidth="1"/>
    <col min="60" max="60" width="16.81640625" customWidth="1"/>
    <col min="61" max="61" width="12.81640625" customWidth="1"/>
    <col min="62" max="62" width="15.26953125" customWidth="1"/>
  </cols>
  <sheetData>
    <row r="1" spans="1:62" s="21" customFormat="1" ht="23.5" x14ac:dyDescent="0.55000000000000004">
      <c r="A1" s="22" t="s">
        <v>0</v>
      </c>
      <c r="B1" s="22"/>
      <c r="C1" s="22"/>
      <c r="D1" s="18"/>
      <c r="E1" s="18"/>
      <c r="F1" s="18"/>
      <c r="G1" s="18"/>
      <c r="H1" s="18"/>
      <c r="I1" s="18"/>
      <c r="J1" s="18"/>
      <c r="K1" s="18"/>
      <c r="L1" s="18"/>
      <c r="M1" s="18"/>
      <c r="N1" s="19"/>
      <c r="O1" s="19"/>
      <c r="P1" s="18"/>
      <c r="Q1" s="18"/>
      <c r="R1" s="18"/>
      <c r="S1" s="18"/>
      <c r="T1" s="18"/>
      <c r="U1" s="18"/>
      <c r="V1" s="18"/>
      <c r="W1" s="18"/>
      <c r="X1" s="18"/>
      <c r="Y1" s="18"/>
      <c r="AA1" s="29"/>
      <c r="AB1" s="22" t="s">
        <v>0</v>
      </c>
      <c r="AC1" s="22"/>
      <c r="AD1" s="29"/>
      <c r="AE1" s="29"/>
      <c r="AF1" s="29"/>
      <c r="AU1" s="54"/>
      <c r="AW1" s="22" t="s">
        <v>0</v>
      </c>
      <c r="AX1" s="22"/>
      <c r="AY1" s="22"/>
      <c r="AZ1" s="18"/>
      <c r="BA1" s="18"/>
      <c r="BB1" s="18"/>
      <c r="BC1" s="18"/>
      <c r="BD1" s="18"/>
      <c r="BE1" s="20"/>
      <c r="BF1" s="19"/>
      <c r="BI1" s="29"/>
      <c r="BJ1" s="29"/>
    </row>
    <row r="2" spans="1:62" s="21" customFormat="1" ht="23.5" x14ac:dyDescent="0.55000000000000004">
      <c r="A2" s="22" t="s">
        <v>21</v>
      </c>
      <c r="B2" s="22"/>
      <c r="C2" s="22"/>
      <c r="D2" s="18"/>
      <c r="E2" s="18"/>
      <c r="F2" s="18"/>
      <c r="G2" s="18"/>
      <c r="H2" s="18"/>
      <c r="I2" s="18"/>
      <c r="J2" s="18"/>
      <c r="K2" s="18"/>
      <c r="L2" s="18"/>
      <c r="M2" s="18"/>
      <c r="N2" s="19"/>
      <c r="O2" s="19"/>
      <c r="P2" s="18"/>
      <c r="Q2" s="18"/>
      <c r="R2" s="18"/>
      <c r="S2" s="18"/>
      <c r="T2" s="18"/>
      <c r="U2" s="18"/>
      <c r="V2" s="18"/>
      <c r="W2" s="18"/>
      <c r="X2" s="18"/>
      <c r="Y2" s="18"/>
      <c r="AA2" s="29"/>
      <c r="AB2" s="22" t="s">
        <v>21</v>
      </c>
      <c r="AC2" s="22"/>
      <c r="AD2" s="29"/>
      <c r="AE2" s="29"/>
      <c r="AF2" s="29"/>
      <c r="AU2" s="54"/>
      <c r="AW2" s="22" t="s">
        <v>21</v>
      </c>
      <c r="AX2" s="22"/>
      <c r="AY2" s="22"/>
      <c r="AZ2" s="18"/>
      <c r="BA2" s="18"/>
      <c r="BB2" s="18"/>
      <c r="BC2" s="18"/>
      <c r="BD2" s="18"/>
      <c r="BE2" s="20"/>
      <c r="BF2" s="19"/>
      <c r="BI2" s="29"/>
      <c r="BJ2" s="29"/>
    </row>
    <row r="3" spans="1:62" s="21" customFormat="1" ht="23.5" x14ac:dyDescent="0.55000000000000004">
      <c r="A3" s="22" t="s">
        <v>22</v>
      </c>
      <c r="B3" s="22"/>
      <c r="C3" s="22"/>
      <c r="D3" s="18"/>
      <c r="E3" s="18"/>
      <c r="F3" s="18"/>
      <c r="G3" s="18"/>
      <c r="H3" s="18"/>
      <c r="I3" s="18"/>
      <c r="J3" s="18"/>
      <c r="K3" s="18"/>
      <c r="L3" s="18"/>
      <c r="M3" s="18"/>
      <c r="N3" s="19"/>
      <c r="O3" s="19"/>
      <c r="P3" s="18"/>
      <c r="Q3" s="18"/>
      <c r="R3" s="18"/>
      <c r="S3" s="18"/>
      <c r="T3" s="18"/>
      <c r="U3" s="18"/>
      <c r="V3" s="18"/>
      <c r="W3" s="18"/>
      <c r="X3" s="18"/>
      <c r="Y3" s="18"/>
      <c r="AA3" s="29"/>
      <c r="AB3" s="22" t="s">
        <v>22</v>
      </c>
      <c r="AC3" s="22"/>
      <c r="AD3" s="29"/>
      <c r="AE3" s="29"/>
      <c r="AF3" s="29"/>
      <c r="AU3" s="54"/>
      <c r="AW3" s="22" t="s">
        <v>22</v>
      </c>
      <c r="AX3" s="22"/>
      <c r="AY3" s="22"/>
      <c r="AZ3" s="18"/>
      <c r="BA3" s="18"/>
      <c r="BB3" s="18"/>
      <c r="BC3" s="18"/>
      <c r="BD3" s="18"/>
      <c r="BE3" s="20"/>
      <c r="BF3" s="19"/>
      <c r="BI3" s="29"/>
      <c r="BJ3" s="29"/>
    </row>
    <row r="4" spans="1:62" s="21" customFormat="1" ht="23.5" x14ac:dyDescent="0.55000000000000004">
      <c r="A4" s="22" t="s">
        <v>23</v>
      </c>
      <c r="B4" s="22"/>
      <c r="C4" s="22"/>
      <c r="D4" s="19"/>
      <c r="E4" s="20"/>
      <c r="F4" s="20"/>
      <c r="G4" s="20"/>
      <c r="H4" s="20"/>
      <c r="I4" s="18"/>
      <c r="J4" s="18"/>
      <c r="K4" s="18"/>
      <c r="L4" s="18"/>
      <c r="M4" s="18"/>
      <c r="N4" s="19"/>
      <c r="O4" s="19"/>
      <c r="P4" s="18"/>
      <c r="Q4" s="18"/>
      <c r="R4" s="18"/>
      <c r="S4" s="18"/>
      <c r="T4" s="18"/>
      <c r="U4" s="18"/>
      <c r="V4" s="18"/>
      <c r="W4" s="18"/>
      <c r="X4" s="18"/>
      <c r="Y4" s="18"/>
      <c r="AB4" s="22" t="s">
        <v>23</v>
      </c>
      <c r="AC4" s="22"/>
      <c r="AU4" s="54"/>
      <c r="AW4" s="22" t="s">
        <v>23</v>
      </c>
      <c r="AX4" s="22"/>
      <c r="AY4" s="22"/>
      <c r="AZ4" s="19"/>
      <c r="BA4" s="18"/>
      <c r="BB4" s="18"/>
      <c r="BC4" s="18"/>
      <c r="BD4" s="18"/>
      <c r="BE4" s="20"/>
      <c r="BF4" s="19"/>
    </row>
    <row r="5" spans="1:62" s="21" customFormat="1" ht="23.5" x14ac:dyDescent="0.55000000000000004">
      <c r="A5" s="22" t="s">
        <v>1</v>
      </c>
      <c r="B5" s="22"/>
      <c r="C5" s="22"/>
      <c r="D5" s="19"/>
      <c r="E5" s="18"/>
      <c r="F5" s="18"/>
      <c r="G5" s="18"/>
      <c r="H5" s="18"/>
      <c r="I5" s="18"/>
      <c r="J5" s="18"/>
      <c r="K5" s="18"/>
      <c r="L5" s="18"/>
      <c r="M5" s="18"/>
      <c r="N5" s="19"/>
      <c r="O5" s="19"/>
      <c r="P5" s="18"/>
      <c r="Q5" s="18"/>
      <c r="R5" s="18"/>
      <c r="S5" s="18"/>
      <c r="T5" s="18"/>
      <c r="U5" s="18"/>
      <c r="V5" s="18"/>
      <c r="W5" s="18"/>
      <c r="X5" s="18"/>
      <c r="Y5" s="18"/>
      <c r="AB5" s="22" t="s">
        <v>1</v>
      </c>
      <c r="AC5" s="22"/>
      <c r="AU5" s="54"/>
      <c r="AW5" s="22" t="s">
        <v>1</v>
      </c>
      <c r="AX5" s="22"/>
      <c r="AY5" s="22"/>
      <c r="AZ5" s="19"/>
      <c r="BA5" s="18"/>
      <c r="BB5" s="18"/>
      <c r="BC5" s="18"/>
      <c r="BD5" s="18"/>
      <c r="BE5" s="20"/>
      <c r="BF5" s="19"/>
    </row>
    <row r="6" spans="1:62" ht="20" x14ac:dyDescent="0.4">
      <c r="A6" s="362" t="s">
        <v>18</v>
      </c>
      <c r="B6" s="362"/>
      <c r="C6" s="362"/>
      <c r="D6" s="362"/>
      <c r="E6" s="362"/>
      <c r="F6" s="362"/>
      <c r="G6" s="362"/>
      <c r="H6" s="362"/>
      <c r="I6" s="362"/>
      <c r="J6" s="362"/>
      <c r="K6" s="362"/>
      <c r="L6" s="362"/>
      <c r="M6" s="362"/>
      <c r="N6" s="362"/>
      <c r="O6" s="362"/>
      <c r="P6" s="362"/>
      <c r="Q6" s="362"/>
      <c r="R6" s="362"/>
      <c r="S6" s="362"/>
      <c r="T6" s="362"/>
      <c r="U6" s="362"/>
      <c r="V6" s="362"/>
      <c r="W6" s="362"/>
      <c r="X6" s="362"/>
      <c r="Y6" s="362"/>
      <c r="AF6" s="362" t="s">
        <v>16</v>
      </c>
      <c r="AG6" s="362"/>
      <c r="AH6" s="362"/>
      <c r="AI6" s="362"/>
      <c r="AJ6" s="362"/>
      <c r="AK6" s="362"/>
      <c r="AL6" s="362"/>
      <c r="AM6" s="362"/>
      <c r="AN6" s="362"/>
      <c r="AO6" s="24"/>
      <c r="AP6" s="24"/>
      <c r="AQ6" s="24"/>
      <c r="AR6" s="24"/>
      <c r="AS6" s="24"/>
      <c r="AT6" s="24"/>
      <c r="AY6" s="362" t="s">
        <v>30</v>
      </c>
      <c r="AZ6" s="362"/>
      <c r="BA6" s="362"/>
      <c r="BB6" s="362"/>
      <c r="BC6" s="362"/>
      <c r="BD6" s="362"/>
      <c r="BE6" s="362"/>
      <c r="BF6" s="362"/>
      <c r="BG6" s="362"/>
      <c r="BH6" s="362"/>
      <c r="BI6" s="362"/>
    </row>
    <row r="7" spans="1:62" ht="20.5" thickBot="1" x14ac:dyDescent="0.45">
      <c r="A7" s="363" t="s">
        <v>27</v>
      </c>
      <c r="B7" s="364"/>
      <c r="C7" s="364"/>
      <c r="D7" s="364"/>
      <c r="E7" s="363"/>
      <c r="F7" s="363"/>
      <c r="G7" s="363"/>
      <c r="H7" s="363"/>
      <c r="I7" s="363"/>
      <c r="J7" s="363"/>
      <c r="K7" s="363"/>
      <c r="L7" s="363"/>
      <c r="M7" s="363"/>
      <c r="N7" s="363"/>
      <c r="O7" s="363"/>
      <c r="P7" s="363"/>
      <c r="Q7" s="363"/>
      <c r="R7" s="363"/>
      <c r="S7" s="363"/>
      <c r="T7" s="364"/>
      <c r="U7" s="364"/>
      <c r="V7" s="364"/>
      <c r="W7" s="364"/>
      <c r="X7" s="364"/>
      <c r="Y7" s="364"/>
      <c r="AJ7" s="25" t="s">
        <v>31</v>
      </c>
      <c r="AK7" s="25"/>
      <c r="AL7" s="25"/>
      <c r="AN7" s="25"/>
      <c r="AO7" s="25"/>
      <c r="AP7" s="25"/>
      <c r="AQ7" s="25"/>
      <c r="AS7" s="25"/>
      <c r="AT7" s="25"/>
      <c r="BC7" s="25" t="s">
        <v>31</v>
      </c>
      <c r="BD7" s="25"/>
      <c r="BF7" s="25"/>
      <c r="BG7" s="25"/>
      <c r="BH7" s="25"/>
      <c r="BI7" s="25"/>
      <c r="BJ7" s="25"/>
    </row>
    <row r="8" spans="1:62" ht="41.5" customHeight="1" x14ac:dyDescent="0.35">
      <c r="A8" s="326" t="s">
        <v>24</v>
      </c>
      <c r="B8" s="365" t="s">
        <v>25</v>
      </c>
      <c r="C8" s="366" t="s">
        <v>11</v>
      </c>
      <c r="D8" s="366" t="s">
        <v>15</v>
      </c>
      <c r="E8" s="330" t="s">
        <v>5</v>
      </c>
      <c r="F8" s="330"/>
      <c r="G8" s="330"/>
      <c r="H8" s="330"/>
      <c r="I8" s="330"/>
      <c r="J8" s="330"/>
      <c r="K8" s="330" t="s">
        <v>7</v>
      </c>
      <c r="L8" s="330"/>
      <c r="M8" s="330"/>
      <c r="N8" s="330"/>
      <c r="O8" s="330"/>
      <c r="P8" s="330"/>
      <c r="Q8" s="356" t="s">
        <v>2</v>
      </c>
      <c r="R8" s="350"/>
      <c r="S8" s="358" t="s">
        <v>12</v>
      </c>
      <c r="T8" s="323" t="s">
        <v>8</v>
      </c>
      <c r="U8" s="323"/>
      <c r="V8" s="323" t="s">
        <v>9</v>
      </c>
      <c r="W8" s="323"/>
      <c r="X8" s="323" t="s">
        <v>20</v>
      </c>
      <c r="Y8" s="323"/>
      <c r="AB8" s="326" t="s">
        <v>24</v>
      </c>
      <c r="AC8" s="342" t="s">
        <v>28</v>
      </c>
      <c r="AD8" s="342" t="s">
        <v>14</v>
      </c>
      <c r="AE8" s="345" t="s">
        <v>45</v>
      </c>
      <c r="AF8" s="346"/>
      <c r="AG8" s="349" t="s">
        <v>10</v>
      </c>
      <c r="AH8" s="350"/>
      <c r="AI8" s="353" t="s">
        <v>46</v>
      </c>
      <c r="AJ8" s="336" t="s">
        <v>51</v>
      </c>
      <c r="AK8" s="336" t="s">
        <v>47</v>
      </c>
      <c r="AM8" s="339" t="s">
        <v>41</v>
      </c>
      <c r="AN8" s="341" t="s">
        <v>38</v>
      </c>
      <c r="AO8" s="341" t="s">
        <v>14</v>
      </c>
      <c r="AP8" s="341" t="s">
        <v>39</v>
      </c>
      <c r="AQ8" s="341"/>
      <c r="AR8" s="341" t="s">
        <v>50</v>
      </c>
      <c r="AS8" s="341"/>
      <c r="AT8" s="324" t="s">
        <v>40</v>
      </c>
      <c r="AU8" s="55"/>
      <c r="AW8" s="326" t="s">
        <v>28</v>
      </c>
      <c r="AX8" s="329" t="s">
        <v>48</v>
      </c>
      <c r="AY8" s="330"/>
      <c r="AZ8" s="330"/>
      <c r="BA8" s="330"/>
      <c r="BB8" s="330"/>
      <c r="BC8" s="331"/>
      <c r="BD8" s="332" t="s">
        <v>49</v>
      </c>
      <c r="BE8" s="330"/>
      <c r="BF8" s="330"/>
      <c r="BG8" s="330"/>
      <c r="BH8" s="330"/>
      <c r="BI8" s="331"/>
    </row>
    <row r="9" spans="1:62" ht="19.149999999999999" customHeight="1" x14ac:dyDescent="0.35">
      <c r="A9" s="327"/>
      <c r="B9" s="365"/>
      <c r="C9" s="366"/>
      <c r="D9" s="366"/>
      <c r="E9" s="333" t="s">
        <v>6</v>
      </c>
      <c r="F9" s="334"/>
      <c r="G9" s="335" t="s">
        <v>13</v>
      </c>
      <c r="H9" s="334"/>
      <c r="I9" s="323" t="s">
        <v>19</v>
      </c>
      <c r="J9" s="323"/>
      <c r="K9" s="333" t="s">
        <v>6</v>
      </c>
      <c r="L9" s="334"/>
      <c r="M9" s="335" t="s">
        <v>13</v>
      </c>
      <c r="N9" s="334"/>
      <c r="O9" s="323" t="s">
        <v>19</v>
      </c>
      <c r="P9" s="323"/>
      <c r="Q9" s="357"/>
      <c r="R9" s="352"/>
      <c r="S9" s="359"/>
      <c r="T9" s="323"/>
      <c r="U9" s="323"/>
      <c r="V9" s="323"/>
      <c r="W9" s="323"/>
      <c r="X9" s="323"/>
      <c r="Y9" s="323"/>
      <c r="AB9" s="327"/>
      <c r="AC9" s="343"/>
      <c r="AD9" s="343"/>
      <c r="AE9" s="347"/>
      <c r="AF9" s="348"/>
      <c r="AG9" s="351"/>
      <c r="AH9" s="352"/>
      <c r="AI9" s="354"/>
      <c r="AJ9" s="337"/>
      <c r="AK9" s="337"/>
      <c r="AM9" s="340"/>
      <c r="AN9" s="323"/>
      <c r="AO9" s="323"/>
      <c r="AP9" s="8" t="s">
        <v>3</v>
      </c>
      <c r="AQ9" s="8" t="s">
        <v>4</v>
      </c>
      <c r="AR9" s="43" t="s">
        <v>3</v>
      </c>
      <c r="AS9" s="43" t="s">
        <v>4</v>
      </c>
      <c r="AT9" s="325"/>
      <c r="AU9" s="55"/>
      <c r="AW9" s="327"/>
      <c r="AX9" s="314" t="s">
        <v>17</v>
      </c>
      <c r="AY9" s="314" t="s">
        <v>11</v>
      </c>
      <c r="AZ9" s="314" t="s">
        <v>32</v>
      </c>
      <c r="BA9" s="314" t="s">
        <v>37</v>
      </c>
      <c r="BB9" s="314" t="s">
        <v>34</v>
      </c>
      <c r="BC9" s="314" t="s">
        <v>12</v>
      </c>
      <c r="BD9" s="314" t="s">
        <v>33</v>
      </c>
      <c r="BE9" s="314" t="s">
        <v>11</v>
      </c>
      <c r="BF9" s="314" t="s">
        <v>35</v>
      </c>
      <c r="BG9" s="314" t="s">
        <v>37</v>
      </c>
      <c r="BH9" s="314" t="s">
        <v>34</v>
      </c>
      <c r="BI9" s="314" t="s">
        <v>12</v>
      </c>
    </row>
    <row r="10" spans="1:62" ht="53.5" customHeight="1" thickBot="1" x14ac:dyDescent="0.4">
      <c r="A10" s="328"/>
      <c r="B10" s="365"/>
      <c r="C10" s="366"/>
      <c r="D10" s="366"/>
      <c r="E10" s="7" t="s">
        <v>3</v>
      </c>
      <c r="F10" s="8" t="s">
        <v>4</v>
      </c>
      <c r="G10" s="7" t="s">
        <v>3</v>
      </c>
      <c r="H10" s="8" t="s">
        <v>4</v>
      </c>
      <c r="I10" s="8" t="s">
        <v>3</v>
      </c>
      <c r="J10" s="8" t="s">
        <v>4</v>
      </c>
      <c r="K10" s="7" t="s">
        <v>3</v>
      </c>
      <c r="L10" s="8" t="s">
        <v>4</v>
      </c>
      <c r="M10" s="7" t="s">
        <v>3</v>
      </c>
      <c r="N10" s="8" t="s">
        <v>4</v>
      </c>
      <c r="O10" s="8" t="s">
        <v>3</v>
      </c>
      <c r="P10" s="8" t="s">
        <v>4</v>
      </c>
      <c r="Q10" s="9" t="s">
        <v>3</v>
      </c>
      <c r="R10" s="9" t="s">
        <v>4</v>
      </c>
      <c r="S10" s="360"/>
      <c r="T10" s="8" t="s">
        <v>3</v>
      </c>
      <c r="U10" s="8" t="s">
        <v>4</v>
      </c>
      <c r="V10" s="8" t="s">
        <v>3</v>
      </c>
      <c r="W10" s="8" t="s">
        <v>4</v>
      </c>
      <c r="X10" s="8" t="s">
        <v>3</v>
      </c>
      <c r="Y10" s="8" t="s">
        <v>4</v>
      </c>
      <c r="AB10" s="361"/>
      <c r="AC10" s="344"/>
      <c r="AD10" s="344"/>
      <c r="AE10" s="49" t="s">
        <v>3</v>
      </c>
      <c r="AF10" s="50" t="s">
        <v>4</v>
      </c>
      <c r="AG10" s="51" t="s">
        <v>3</v>
      </c>
      <c r="AH10" s="52" t="s">
        <v>4</v>
      </c>
      <c r="AI10" s="355"/>
      <c r="AJ10" s="338"/>
      <c r="AK10" s="338"/>
      <c r="AM10" s="340"/>
      <c r="AN10" s="42" t="str">
        <f>'13'!AN10</f>
        <v>0124W120</v>
      </c>
      <c r="AO10" s="42">
        <f>'13'!AT10</f>
        <v>48</v>
      </c>
      <c r="AP10" s="42"/>
      <c r="AQ10" s="17">
        <f>AP10+'13'!AQ10</f>
        <v>73</v>
      </c>
      <c r="AR10" s="17"/>
      <c r="AS10" s="17">
        <f>AR10+'13'!AS10</f>
        <v>25</v>
      </c>
      <c r="AT10" s="44">
        <f>AO10+AP10-AR10</f>
        <v>48</v>
      </c>
      <c r="AU10" s="56"/>
      <c r="AW10" s="328"/>
      <c r="AX10" s="315"/>
      <c r="AY10" s="315"/>
      <c r="AZ10" s="315"/>
      <c r="BA10" s="315"/>
      <c r="BB10" s="315"/>
      <c r="BC10" s="315"/>
      <c r="BD10" s="315"/>
      <c r="BE10" s="315"/>
      <c r="BF10" s="315"/>
      <c r="BG10" s="315"/>
      <c r="BH10" s="315"/>
      <c r="BI10" s="315"/>
    </row>
    <row r="11" spans="1:62" ht="41.5" customHeight="1" x14ac:dyDescent="0.35">
      <c r="A11" s="5">
        <v>1</v>
      </c>
      <c r="B11" s="26" t="str">
        <f>'13'!B11</f>
        <v>مكتب الصحة</v>
      </c>
      <c r="C11" s="26">
        <f>'13'!C11</f>
        <v>12251</v>
      </c>
      <c r="D11" s="26"/>
      <c r="E11" s="12"/>
      <c r="F11" s="2">
        <f>E11+'13'!F11</f>
        <v>39</v>
      </c>
      <c r="G11" s="2"/>
      <c r="H11" s="2">
        <f>G11+'13'!H11</f>
        <v>1961</v>
      </c>
      <c r="I11" s="2"/>
      <c r="J11" s="2">
        <f>I11+'13'!J11</f>
        <v>5340</v>
      </c>
      <c r="K11" s="2"/>
      <c r="L11" s="2">
        <f>K11+'13'!L11</f>
        <v>0</v>
      </c>
      <c r="M11" s="2"/>
      <c r="N11" s="2">
        <f>M11+'13'!N11</f>
        <v>0</v>
      </c>
      <c r="O11" s="2"/>
      <c r="P11" s="2">
        <f>O11+'13'!P11</f>
        <v>0</v>
      </c>
      <c r="Q11" s="4">
        <f>O11+M11+K11+I11+G11+E11</f>
        <v>0</v>
      </c>
      <c r="R11" s="4">
        <f>Q11+'13'!R11</f>
        <v>7340</v>
      </c>
      <c r="S11" s="27">
        <f>R11/C11</f>
        <v>0.5991347645090197</v>
      </c>
      <c r="T11" s="12"/>
      <c r="U11" s="12">
        <f>T11+'13'!U11</f>
        <v>1397</v>
      </c>
      <c r="V11" s="12"/>
      <c r="W11" s="12">
        <f>V11+'13'!W11</f>
        <v>4</v>
      </c>
      <c r="X11" s="12"/>
      <c r="Y11" s="12">
        <f>X11+'13'!Y11</f>
        <v>1</v>
      </c>
      <c r="AB11" s="48">
        <v>1</v>
      </c>
      <c r="AC11" s="26" t="str">
        <f>'13'!AC11</f>
        <v>مكتب الصحة</v>
      </c>
      <c r="AD11" s="28">
        <f>'13'!AI11</f>
        <v>333</v>
      </c>
      <c r="AE11" s="3"/>
      <c r="AF11" s="28">
        <f>AE11+'13'!AF11</f>
        <v>1082</v>
      </c>
      <c r="AG11" s="4"/>
      <c r="AH11" s="28">
        <f>AG11+'13'!AH11</f>
        <v>749</v>
      </c>
      <c r="AI11" s="4">
        <f>AD11+AE11-AG11</f>
        <v>333</v>
      </c>
      <c r="AJ11" s="11" t="e">
        <f t="shared" ref="AJ11:AJ51" si="0">Q11/AG11</f>
        <v>#DIV/0!</v>
      </c>
      <c r="AK11" s="53">
        <f t="shared" ref="AK11:AK51" si="1">R11/AH11</f>
        <v>9.799732977303071</v>
      </c>
      <c r="AM11" s="340"/>
      <c r="AN11" s="42" t="str">
        <f>'13'!AN11</f>
        <v>420604325A</v>
      </c>
      <c r="AO11" s="42">
        <f>'13'!AT11</f>
        <v>3076</v>
      </c>
      <c r="AP11" s="16"/>
      <c r="AQ11" s="17">
        <f>AP11+'13'!AQ11</f>
        <v>8550</v>
      </c>
      <c r="AR11" s="16"/>
      <c r="AS11" s="17">
        <f>AR11+'13'!AS11</f>
        <v>5474</v>
      </c>
      <c r="AT11" s="44">
        <f>AO11+AP11-AR11</f>
        <v>3076</v>
      </c>
      <c r="AU11" s="56"/>
      <c r="AW11" s="26" t="str">
        <f>'13'!AW11</f>
        <v>مكتب الصحة</v>
      </c>
      <c r="AX11" s="12">
        <f>'13'!AX11</f>
        <v>11</v>
      </c>
      <c r="AY11" s="12">
        <f>'13'!AY11</f>
        <v>8411</v>
      </c>
      <c r="AZ11" s="12"/>
      <c r="BA11" s="12"/>
      <c r="BB11" s="12">
        <f>BA11+'13'!BB11</f>
        <v>5998</v>
      </c>
      <c r="BC11" s="30">
        <f t="shared" ref="BC11:BC51" si="2">BB11/AY11</f>
        <v>0.71311377957436695</v>
      </c>
      <c r="BD11" s="12">
        <f>'13'!BD11</f>
        <v>27</v>
      </c>
      <c r="BE11" s="12">
        <f>'13'!BE11</f>
        <v>1746</v>
      </c>
      <c r="BF11" s="12"/>
      <c r="BG11" s="12"/>
      <c r="BH11" s="12">
        <f>BG11+'13'!BH11</f>
        <v>477</v>
      </c>
      <c r="BI11" s="30">
        <f t="shared" ref="BI11:BI51" si="3">BH11/BE11</f>
        <v>0.27319587628865977</v>
      </c>
    </row>
    <row r="12" spans="1:62" ht="41.5" customHeight="1" x14ac:dyDescent="0.35">
      <c r="A12" s="5">
        <v>2</v>
      </c>
      <c r="B12" s="26" t="str">
        <f>'13'!B12</f>
        <v>شبرابخـــــــــــوم</v>
      </c>
      <c r="C12" s="26">
        <f>'13'!C12</f>
        <v>4445</v>
      </c>
      <c r="D12" s="26"/>
      <c r="E12" s="12"/>
      <c r="F12" s="2">
        <f>E12+'13'!F12</f>
        <v>14</v>
      </c>
      <c r="G12" s="2"/>
      <c r="H12" s="2">
        <f>G12+'13'!H12</f>
        <v>392</v>
      </c>
      <c r="I12" s="2"/>
      <c r="J12" s="2">
        <f>I12+'13'!J12</f>
        <v>1857</v>
      </c>
      <c r="K12" s="2"/>
      <c r="L12" s="2">
        <f>K12+'13'!L12</f>
        <v>0</v>
      </c>
      <c r="M12" s="2"/>
      <c r="N12" s="2">
        <f>M12+'13'!N12</f>
        <v>0</v>
      </c>
      <c r="O12" s="2"/>
      <c r="P12" s="2">
        <f>O12+'13'!P12</f>
        <v>0</v>
      </c>
      <c r="Q12" s="4">
        <f t="shared" ref="Q12:Q50" si="4">O12+M12+K12+I12+G12+E12</f>
        <v>0</v>
      </c>
      <c r="R12" s="4">
        <f>Q12+'13'!R12</f>
        <v>2263</v>
      </c>
      <c r="S12" s="27">
        <f t="shared" ref="S12:S50" si="5">R12/C12</f>
        <v>0.50911136107986499</v>
      </c>
      <c r="T12" s="12"/>
      <c r="U12" s="12">
        <f>T12+'13'!U12</f>
        <v>373</v>
      </c>
      <c r="V12" s="12"/>
      <c r="W12" s="12">
        <f>V12+'13'!W12</f>
        <v>15</v>
      </c>
      <c r="X12" s="12"/>
      <c r="Y12" s="12">
        <f>X12+'13'!Y12</f>
        <v>0</v>
      </c>
      <c r="AB12" s="5">
        <v>2</v>
      </c>
      <c r="AC12" s="26" t="str">
        <f>'13'!AC12</f>
        <v>شبرابخـــــــــــوم</v>
      </c>
      <c r="AD12" s="28">
        <f>'13'!AI12</f>
        <v>158</v>
      </c>
      <c r="AE12" s="3"/>
      <c r="AF12" s="28">
        <f>AE12+'13'!AF12</f>
        <v>390</v>
      </c>
      <c r="AG12" s="4"/>
      <c r="AH12" s="28">
        <f>AG12+'13'!AH12</f>
        <v>232</v>
      </c>
      <c r="AI12" s="4">
        <f>AD12+AE12-AG12</f>
        <v>158</v>
      </c>
      <c r="AJ12" s="11" t="e">
        <f t="shared" si="0"/>
        <v>#DIV/0!</v>
      </c>
      <c r="AK12" s="53">
        <f t="shared" si="1"/>
        <v>9.7543103448275854</v>
      </c>
      <c r="AM12" s="340"/>
      <c r="AN12" s="42" t="str">
        <f>'13'!AN12</f>
        <v>420604225A</v>
      </c>
      <c r="AO12" s="42">
        <f>'13'!AT12</f>
        <v>100</v>
      </c>
      <c r="AP12" s="16"/>
      <c r="AQ12" s="17">
        <f>AP12+'13'!AQ12</f>
        <v>100</v>
      </c>
      <c r="AR12" s="16"/>
      <c r="AS12" s="17">
        <f>AR12+'13'!AS12</f>
        <v>0</v>
      </c>
      <c r="AT12" s="44">
        <f>AO12+AP12-AR12</f>
        <v>100</v>
      </c>
      <c r="AU12" s="56"/>
      <c r="AW12" s="26" t="str">
        <f>'13'!AW12</f>
        <v>شبرابخـــــــــــوم</v>
      </c>
      <c r="AX12" s="12">
        <f>'13'!AX12</f>
        <v>6</v>
      </c>
      <c r="AY12" s="12">
        <f>'13'!AY12</f>
        <v>2215</v>
      </c>
      <c r="AZ12" s="12"/>
      <c r="BA12" s="12"/>
      <c r="BB12" s="12">
        <f>BA12+'13'!BB12</f>
        <v>2306</v>
      </c>
      <c r="BC12" s="30">
        <f t="shared" si="2"/>
        <v>1.0410835214446952</v>
      </c>
      <c r="BD12" s="12">
        <f>'13'!BD12</f>
        <v>16</v>
      </c>
      <c r="BE12" s="12">
        <f>'13'!BE12</f>
        <v>729</v>
      </c>
      <c r="BF12" s="12"/>
      <c r="BG12" s="12"/>
      <c r="BH12" s="12">
        <f>BG12+'13'!BH12</f>
        <v>224</v>
      </c>
      <c r="BI12" s="30">
        <f t="shared" si="3"/>
        <v>0.30727023319615915</v>
      </c>
    </row>
    <row r="13" spans="1:62" ht="41.5" customHeight="1" x14ac:dyDescent="0.35">
      <c r="A13" s="5">
        <v>3</v>
      </c>
      <c r="B13" s="26" t="str">
        <f>'13'!B13</f>
        <v>ميت بره</v>
      </c>
      <c r="C13" s="26">
        <f>'13'!C13</f>
        <v>11614</v>
      </c>
      <c r="D13" s="26"/>
      <c r="E13" s="12"/>
      <c r="F13" s="2">
        <f>E13+'13'!F13</f>
        <v>45</v>
      </c>
      <c r="G13" s="2"/>
      <c r="H13" s="2">
        <f>G13+'13'!H13</f>
        <v>465</v>
      </c>
      <c r="I13" s="2"/>
      <c r="J13" s="2">
        <f>I13+'13'!J13</f>
        <v>3703</v>
      </c>
      <c r="K13" s="2"/>
      <c r="L13" s="2">
        <f>K13+'13'!L13</f>
        <v>0</v>
      </c>
      <c r="M13" s="2"/>
      <c r="N13" s="2">
        <f>M13+'13'!N13</f>
        <v>0</v>
      </c>
      <c r="O13" s="2"/>
      <c r="P13" s="2">
        <f>O13+'13'!P13</f>
        <v>0</v>
      </c>
      <c r="Q13" s="4">
        <f t="shared" si="4"/>
        <v>0</v>
      </c>
      <c r="R13" s="4">
        <f>Q13+'13'!R13</f>
        <v>4213</v>
      </c>
      <c r="S13" s="27">
        <f t="shared" si="5"/>
        <v>0.36275185121405201</v>
      </c>
      <c r="T13" s="12"/>
      <c r="U13" s="12">
        <f>T13+'13'!U13</f>
        <v>641</v>
      </c>
      <c r="V13" s="12"/>
      <c r="W13" s="12">
        <f>V13+'13'!W13</f>
        <v>0</v>
      </c>
      <c r="X13" s="12"/>
      <c r="Y13" s="12">
        <f>X13+'13'!Y13</f>
        <v>0</v>
      </c>
      <c r="AB13" s="5">
        <v>3</v>
      </c>
      <c r="AC13" s="26" t="str">
        <f>'13'!AC13</f>
        <v>ميت بره</v>
      </c>
      <c r="AD13" s="28">
        <f>'13'!AI13</f>
        <v>584</v>
      </c>
      <c r="AE13" s="3"/>
      <c r="AF13" s="28">
        <f>AE13+'13'!AF13</f>
        <v>1020</v>
      </c>
      <c r="AG13" s="4"/>
      <c r="AH13" s="28">
        <f>AG13+'13'!AH13</f>
        <v>436</v>
      </c>
      <c r="AI13" s="4">
        <f t="shared" ref="AI13:AI50" si="6">AD13+AE13-AG13</f>
        <v>584</v>
      </c>
      <c r="AJ13" s="11" t="e">
        <f t="shared" si="0"/>
        <v>#DIV/0!</v>
      </c>
      <c r="AK13" s="53">
        <f t="shared" si="1"/>
        <v>9.6628440366972477</v>
      </c>
      <c r="AM13" s="340"/>
      <c r="AN13" s="46" t="s">
        <v>43</v>
      </c>
      <c r="AO13" s="45">
        <f t="shared" ref="AO13:AT13" si="7">SUM(AO10:AO12)</f>
        <v>3224</v>
      </c>
      <c r="AP13" s="45">
        <f t="shared" si="7"/>
        <v>0</v>
      </c>
      <c r="AQ13" s="45">
        <f t="shared" si="7"/>
        <v>8723</v>
      </c>
      <c r="AR13" s="45">
        <f t="shared" si="7"/>
        <v>0</v>
      </c>
      <c r="AS13" s="45">
        <f t="shared" si="7"/>
        <v>5499</v>
      </c>
      <c r="AT13" s="47">
        <f t="shared" si="7"/>
        <v>3224</v>
      </c>
      <c r="AU13" s="56"/>
      <c r="AW13" s="26" t="str">
        <f>'13'!AW13</f>
        <v>ميت بره</v>
      </c>
      <c r="AX13" s="12">
        <f>'13'!AX13</f>
        <v>8</v>
      </c>
      <c r="AY13" s="12">
        <f>'13'!AY13</f>
        <v>4849</v>
      </c>
      <c r="AZ13" s="12"/>
      <c r="BA13" s="12"/>
      <c r="BB13" s="12">
        <f>BA13+'13'!BB13</f>
        <v>4093</v>
      </c>
      <c r="BC13" s="30">
        <f t="shared" si="2"/>
        <v>0.84409156527118989</v>
      </c>
      <c r="BD13" s="12">
        <f>'13'!BD13</f>
        <v>21</v>
      </c>
      <c r="BE13" s="12">
        <f>'13'!BE13</f>
        <v>1129</v>
      </c>
      <c r="BF13" s="12"/>
      <c r="BG13" s="12"/>
      <c r="BH13" s="12">
        <f>BG13+'13'!BH13</f>
        <v>128</v>
      </c>
      <c r="BI13" s="30">
        <f t="shared" si="3"/>
        <v>0.11337466784765279</v>
      </c>
    </row>
    <row r="14" spans="1:62" ht="41.5" customHeight="1" thickBot="1" x14ac:dyDescent="0.4">
      <c r="A14" s="5">
        <v>4</v>
      </c>
      <c r="B14" s="26" t="str">
        <f>'13'!B14</f>
        <v>أبنــــــــــــــــهس</v>
      </c>
      <c r="C14" s="26">
        <f>'13'!C14</f>
        <v>5029</v>
      </c>
      <c r="D14" s="26"/>
      <c r="E14" s="12"/>
      <c r="F14" s="2">
        <f>E14+'13'!F14</f>
        <v>14</v>
      </c>
      <c r="G14" s="2"/>
      <c r="H14" s="2">
        <f>G14+'13'!H14</f>
        <v>349</v>
      </c>
      <c r="I14" s="2"/>
      <c r="J14" s="2">
        <f>I14+'13'!J14</f>
        <v>2016</v>
      </c>
      <c r="K14" s="2"/>
      <c r="L14" s="2">
        <f>K14+'13'!L14</f>
        <v>0</v>
      </c>
      <c r="M14" s="2"/>
      <c r="N14" s="2">
        <f>M14+'13'!N14</f>
        <v>0</v>
      </c>
      <c r="O14" s="2"/>
      <c r="P14" s="2">
        <f>O14+'13'!P14</f>
        <v>0</v>
      </c>
      <c r="Q14" s="4">
        <f t="shared" si="4"/>
        <v>0</v>
      </c>
      <c r="R14" s="4">
        <f>Q14+'13'!R14</f>
        <v>2379</v>
      </c>
      <c r="S14" s="27">
        <f t="shared" si="5"/>
        <v>0.47305627361304436</v>
      </c>
      <c r="T14" s="12"/>
      <c r="U14" s="12">
        <f>T14+'13'!U14</f>
        <v>341</v>
      </c>
      <c r="V14" s="12"/>
      <c r="W14" s="12">
        <f>V14+'13'!W14</f>
        <v>29</v>
      </c>
      <c r="X14" s="12"/>
      <c r="Y14" s="12">
        <f>X14+'13'!Y14</f>
        <v>0</v>
      </c>
      <c r="AB14" s="5">
        <v>4</v>
      </c>
      <c r="AC14" s="26" t="str">
        <f>'13'!AC14</f>
        <v>أبنــــــــــــــــهس</v>
      </c>
      <c r="AD14" s="28">
        <f>'13'!AI14</f>
        <v>196</v>
      </c>
      <c r="AE14" s="3"/>
      <c r="AF14" s="28">
        <f>AE14+'13'!AF14</f>
        <v>440</v>
      </c>
      <c r="AG14" s="4"/>
      <c r="AH14" s="28">
        <f>AG14+'13'!AH14</f>
        <v>244</v>
      </c>
      <c r="AI14" s="4">
        <f t="shared" si="6"/>
        <v>196</v>
      </c>
      <c r="AJ14" s="11" t="e">
        <f t="shared" si="0"/>
        <v>#DIV/0!</v>
      </c>
      <c r="AK14" s="53">
        <f t="shared" si="1"/>
        <v>9.75</v>
      </c>
      <c r="AM14" s="316" t="s">
        <v>42</v>
      </c>
      <c r="AN14" s="317"/>
      <c r="AO14" s="318"/>
      <c r="AP14" s="319"/>
      <c r="AQ14" s="319"/>
      <c r="AR14" s="319"/>
      <c r="AS14" s="320"/>
      <c r="AT14" s="39">
        <f>AT13+AI51</f>
        <v>6357</v>
      </c>
      <c r="AU14" s="57"/>
      <c r="AW14" s="26" t="str">
        <f>'13'!AW14</f>
        <v>أبنــــــــــــــــهس</v>
      </c>
      <c r="AX14" s="12">
        <f>'13'!AX14</f>
        <v>7</v>
      </c>
      <c r="AY14" s="12">
        <f>'13'!AY14</f>
        <v>2531</v>
      </c>
      <c r="AZ14" s="12"/>
      <c r="BA14" s="12"/>
      <c r="BB14" s="12">
        <f>BA14+'13'!BB14</f>
        <v>2092</v>
      </c>
      <c r="BC14" s="30">
        <f t="shared" si="2"/>
        <v>0.82655077044646386</v>
      </c>
      <c r="BD14" s="12">
        <f>'13'!BD14</f>
        <v>23</v>
      </c>
      <c r="BE14" s="12">
        <f>'13'!BE14</f>
        <v>921</v>
      </c>
      <c r="BF14" s="12"/>
      <c r="BG14" s="12"/>
      <c r="BH14" s="12">
        <f>BG14+'13'!BH14</f>
        <v>287</v>
      </c>
      <c r="BI14" s="30">
        <f t="shared" si="3"/>
        <v>0.31161780673181327</v>
      </c>
    </row>
    <row r="15" spans="1:62" ht="41.5" customHeight="1" x14ac:dyDescent="0.35">
      <c r="A15" s="5">
        <v>5</v>
      </c>
      <c r="B15" s="26" t="str">
        <f>'13'!B15</f>
        <v>ميت ســـــــــراج</v>
      </c>
      <c r="C15" s="26">
        <f>'13'!C15</f>
        <v>2369</v>
      </c>
      <c r="D15" s="26"/>
      <c r="E15" s="12"/>
      <c r="F15" s="2">
        <f>E15+'13'!F15</f>
        <v>4</v>
      </c>
      <c r="G15" s="2"/>
      <c r="H15" s="2">
        <f>G15+'13'!H15</f>
        <v>472</v>
      </c>
      <c r="I15" s="2"/>
      <c r="J15" s="2">
        <f>I15+'13'!J15</f>
        <v>839</v>
      </c>
      <c r="K15" s="2"/>
      <c r="L15" s="2">
        <f>K15+'13'!L15</f>
        <v>0</v>
      </c>
      <c r="M15" s="2"/>
      <c r="N15" s="2">
        <f>M15+'13'!N15</f>
        <v>0</v>
      </c>
      <c r="O15" s="2"/>
      <c r="P15" s="2">
        <f>O15+'13'!P15</f>
        <v>0</v>
      </c>
      <c r="Q15" s="4">
        <f t="shared" si="4"/>
        <v>0</v>
      </c>
      <c r="R15" s="4">
        <f>Q15+'13'!R15</f>
        <v>1315</v>
      </c>
      <c r="S15" s="27">
        <f t="shared" si="5"/>
        <v>0.55508653440270161</v>
      </c>
      <c r="T15" s="12"/>
      <c r="U15" s="12">
        <f>T15+'13'!U15</f>
        <v>105</v>
      </c>
      <c r="V15" s="12"/>
      <c r="W15" s="12">
        <f>V15+'13'!W15</f>
        <v>37</v>
      </c>
      <c r="X15" s="12"/>
      <c r="Y15" s="12">
        <f>X15+'13'!Y15</f>
        <v>0</v>
      </c>
      <c r="AB15" s="5">
        <v>5</v>
      </c>
      <c r="AC15" s="26" t="str">
        <f>'13'!AC15</f>
        <v>ميت ســـــــــراج</v>
      </c>
      <c r="AD15" s="28">
        <f>'13'!AI15</f>
        <v>74</v>
      </c>
      <c r="AE15" s="3"/>
      <c r="AF15" s="28">
        <f>AE15+'13'!AF15</f>
        <v>209</v>
      </c>
      <c r="AG15" s="4"/>
      <c r="AH15" s="28">
        <f>AG15+'13'!AH15</f>
        <v>135</v>
      </c>
      <c r="AI15" s="4">
        <f t="shared" si="6"/>
        <v>74</v>
      </c>
      <c r="AJ15" s="11" t="e">
        <f t="shared" si="0"/>
        <v>#DIV/0!</v>
      </c>
      <c r="AK15" s="53">
        <f t="shared" si="1"/>
        <v>9.7407407407407405</v>
      </c>
      <c r="AW15" s="26" t="str">
        <f>'13'!AW15</f>
        <v>ميت ســـــــــراج</v>
      </c>
      <c r="AX15" s="12">
        <f>'13'!AX15</f>
        <v>2</v>
      </c>
      <c r="AY15" s="12">
        <f>'13'!AY15</f>
        <v>1041</v>
      </c>
      <c r="AZ15" s="12"/>
      <c r="BA15" s="12"/>
      <c r="BB15" s="12">
        <f>BA15+'13'!BB15</f>
        <v>874</v>
      </c>
      <c r="BC15" s="30">
        <f t="shared" si="2"/>
        <v>0.83957732949087416</v>
      </c>
      <c r="BD15" s="12">
        <f>'13'!BD15</f>
        <v>5</v>
      </c>
      <c r="BE15" s="12">
        <f>'13'!BE15</f>
        <v>310</v>
      </c>
      <c r="BF15" s="12"/>
      <c r="BG15" s="12"/>
      <c r="BH15" s="12">
        <f>BG15+'13'!BH15</f>
        <v>385</v>
      </c>
      <c r="BI15" s="30">
        <f t="shared" si="3"/>
        <v>1.2419354838709677</v>
      </c>
    </row>
    <row r="16" spans="1:62" ht="41.5" customHeight="1" x14ac:dyDescent="0.35">
      <c r="A16" s="5">
        <v>6</v>
      </c>
      <c r="B16" s="26" t="str">
        <f>'13'!B16</f>
        <v>أم خــــــــــــــنان</v>
      </c>
      <c r="C16" s="26">
        <f>'13'!C16</f>
        <v>4900</v>
      </c>
      <c r="D16" s="26"/>
      <c r="E16" s="12"/>
      <c r="F16" s="2">
        <f>E16+'13'!F16</f>
        <v>11</v>
      </c>
      <c r="G16" s="2"/>
      <c r="H16" s="2">
        <f>G16+'13'!H16</f>
        <v>280</v>
      </c>
      <c r="I16" s="2"/>
      <c r="J16" s="2">
        <f>I16+'13'!J16</f>
        <v>1942</v>
      </c>
      <c r="K16" s="2"/>
      <c r="L16" s="2">
        <f>K16+'13'!L16</f>
        <v>0</v>
      </c>
      <c r="M16" s="2"/>
      <c r="N16" s="2">
        <f>M16+'13'!N16</f>
        <v>0</v>
      </c>
      <c r="O16" s="2"/>
      <c r="P16" s="2">
        <f>O16+'13'!P16</f>
        <v>0</v>
      </c>
      <c r="Q16" s="4">
        <f t="shared" si="4"/>
        <v>0</v>
      </c>
      <c r="R16" s="4">
        <f>Q16+'13'!R16</f>
        <v>2233</v>
      </c>
      <c r="S16" s="27">
        <f t="shared" si="5"/>
        <v>0.45571428571428574</v>
      </c>
      <c r="T16" s="12"/>
      <c r="U16" s="12">
        <f>T16+'13'!U16</f>
        <v>375</v>
      </c>
      <c r="V16" s="12"/>
      <c r="W16" s="12">
        <f>V16+'13'!W16</f>
        <v>0</v>
      </c>
      <c r="X16" s="12"/>
      <c r="Y16" s="12">
        <f>X16+'13'!Y16</f>
        <v>0</v>
      </c>
      <c r="AB16" s="5">
        <v>6</v>
      </c>
      <c r="AC16" s="26" t="str">
        <f>'13'!AC16</f>
        <v>أم خــــــــــــــنان</v>
      </c>
      <c r="AD16" s="28">
        <f>'13'!AI16</f>
        <v>204</v>
      </c>
      <c r="AE16" s="3"/>
      <c r="AF16" s="28">
        <f>AE16+'13'!AF16</f>
        <v>430</v>
      </c>
      <c r="AG16" s="4"/>
      <c r="AH16" s="28">
        <f>AG16+'13'!AH16</f>
        <v>226</v>
      </c>
      <c r="AI16" s="4">
        <f t="shared" si="6"/>
        <v>204</v>
      </c>
      <c r="AJ16" s="11" t="e">
        <f t="shared" si="0"/>
        <v>#DIV/0!</v>
      </c>
      <c r="AK16" s="53">
        <f t="shared" si="1"/>
        <v>9.8805309734513269</v>
      </c>
      <c r="AW16" s="26" t="str">
        <f>'13'!AW16</f>
        <v>أم خــــــــــــــنان</v>
      </c>
      <c r="AX16" s="12">
        <f>'13'!AX16</f>
        <v>8</v>
      </c>
      <c r="AY16" s="12">
        <f>'13'!AY16</f>
        <v>2981</v>
      </c>
      <c r="AZ16" s="12"/>
      <c r="BA16" s="12"/>
      <c r="BB16" s="12">
        <f>BA16+'13'!BB16</f>
        <v>2132</v>
      </c>
      <c r="BC16" s="30">
        <f t="shared" si="2"/>
        <v>0.71519624287151962</v>
      </c>
      <c r="BD16" s="12">
        <f>'13'!BD16</f>
        <v>12</v>
      </c>
      <c r="BE16" s="12">
        <f>'13'!BE16</f>
        <v>1313</v>
      </c>
      <c r="BF16" s="12"/>
      <c r="BG16" s="12"/>
      <c r="BH16" s="12">
        <f>BG16+'13'!BH16</f>
        <v>0</v>
      </c>
      <c r="BI16" s="30">
        <f t="shared" si="3"/>
        <v>0</v>
      </c>
    </row>
    <row r="17" spans="1:61" ht="41.5" customHeight="1" x14ac:dyDescent="0.35">
      <c r="A17" s="5">
        <v>7</v>
      </c>
      <c r="B17" s="26" t="str">
        <f>'13'!B17</f>
        <v>أجهور الرمل</v>
      </c>
      <c r="C17" s="26">
        <f>'13'!C17</f>
        <v>3590</v>
      </c>
      <c r="D17" s="26"/>
      <c r="E17" s="12"/>
      <c r="F17" s="2">
        <f>E17+'13'!F17</f>
        <v>17</v>
      </c>
      <c r="G17" s="2"/>
      <c r="H17" s="2">
        <f>G17+'13'!H17</f>
        <v>591</v>
      </c>
      <c r="I17" s="2"/>
      <c r="J17" s="2">
        <f>I17+'13'!J17</f>
        <v>1489</v>
      </c>
      <c r="K17" s="2"/>
      <c r="L17" s="2">
        <f>K17+'13'!L17</f>
        <v>0</v>
      </c>
      <c r="M17" s="2"/>
      <c r="N17" s="2">
        <f>M17+'13'!N17</f>
        <v>0</v>
      </c>
      <c r="O17" s="2"/>
      <c r="P17" s="2">
        <f>O17+'13'!P17</f>
        <v>0</v>
      </c>
      <c r="Q17" s="4">
        <f t="shared" si="4"/>
        <v>0</v>
      </c>
      <c r="R17" s="4">
        <f>Q17+'13'!R17</f>
        <v>2097</v>
      </c>
      <c r="S17" s="27">
        <f t="shared" si="5"/>
        <v>0.58412256267409468</v>
      </c>
      <c r="T17" s="12"/>
      <c r="U17" s="12">
        <f>T17+'13'!U17</f>
        <v>360</v>
      </c>
      <c r="V17" s="12"/>
      <c r="W17" s="12">
        <f>V17+'13'!W17</f>
        <v>121</v>
      </c>
      <c r="X17" s="12"/>
      <c r="Y17" s="12">
        <f>X17+'13'!Y17</f>
        <v>0</v>
      </c>
      <c r="AB17" s="5">
        <v>7</v>
      </c>
      <c r="AC17" s="26" t="str">
        <f>'13'!AC17</f>
        <v>أجهور الرمل</v>
      </c>
      <c r="AD17" s="28">
        <f>'13'!AI17</f>
        <v>100</v>
      </c>
      <c r="AE17" s="3"/>
      <c r="AF17" s="28">
        <f>AE17+'13'!AF17</f>
        <v>316</v>
      </c>
      <c r="AG17" s="4"/>
      <c r="AH17" s="28">
        <f>AG17+'13'!AH17</f>
        <v>216</v>
      </c>
      <c r="AI17" s="4">
        <f t="shared" si="6"/>
        <v>100</v>
      </c>
      <c r="AJ17" s="11" t="e">
        <f t="shared" si="0"/>
        <v>#DIV/0!</v>
      </c>
      <c r="AK17" s="53">
        <f t="shared" si="1"/>
        <v>9.7083333333333339</v>
      </c>
      <c r="AW17" s="26" t="str">
        <f>'13'!AW17</f>
        <v>أجهور الرمل</v>
      </c>
      <c r="AX17" s="12">
        <f>'13'!AX17</f>
        <v>4</v>
      </c>
      <c r="AY17" s="12">
        <f>'13'!AY17</f>
        <v>1796</v>
      </c>
      <c r="AZ17" s="12"/>
      <c r="BA17" s="12"/>
      <c r="BB17" s="12">
        <f>BA17+'13'!BB17</f>
        <v>1422</v>
      </c>
      <c r="BC17" s="30">
        <f t="shared" si="2"/>
        <v>0.79175946547884191</v>
      </c>
      <c r="BD17" s="12">
        <f>'13'!BD17</f>
        <v>3</v>
      </c>
      <c r="BE17" s="12">
        <f>'13'!BE17</f>
        <v>100</v>
      </c>
      <c r="BF17" s="12"/>
      <c r="BG17" s="12"/>
      <c r="BH17" s="12">
        <f>BG17+'13'!BH17</f>
        <v>441</v>
      </c>
      <c r="BI17" s="30">
        <f t="shared" si="3"/>
        <v>4.41</v>
      </c>
    </row>
    <row r="18" spans="1:61" ht="41.5" customHeight="1" x14ac:dyDescent="0.35">
      <c r="A18" s="5">
        <v>8</v>
      </c>
      <c r="B18" s="26" t="str">
        <f>'13'!B18</f>
        <v>منشأة دمــــــــــلو</v>
      </c>
      <c r="C18" s="26">
        <f>'13'!C18</f>
        <v>1320</v>
      </c>
      <c r="D18" s="26"/>
      <c r="E18" s="12"/>
      <c r="F18" s="2">
        <f>E18+'13'!F18</f>
        <v>18</v>
      </c>
      <c r="G18" s="2"/>
      <c r="H18" s="2">
        <f>G18+'13'!H18</f>
        <v>528</v>
      </c>
      <c r="I18" s="2"/>
      <c r="J18" s="2">
        <f>I18+'13'!J18</f>
        <v>704</v>
      </c>
      <c r="K18" s="2"/>
      <c r="L18" s="2">
        <f>K18+'13'!L18</f>
        <v>0</v>
      </c>
      <c r="M18" s="2"/>
      <c r="N18" s="2">
        <f>M18+'13'!N18</f>
        <v>0</v>
      </c>
      <c r="O18" s="2"/>
      <c r="P18" s="2">
        <f>O18+'13'!P18</f>
        <v>0</v>
      </c>
      <c r="Q18" s="4">
        <f t="shared" si="4"/>
        <v>0</v>
      </c>
      <c r="R18" s="4">
        <f>Q18+'13'!R18</f>
        <v>1250</v>
      </c>
      <c r="S18" s="27">
        <f t="shared" si="5"/>
        <v>0.94696969696969702</v>
      </c>
      <c r="T18" s="12"/>
      <c r="U18" s="12">
        <f>T18+'13'!U18</f>
        <v>175</v>
      </c>
      <c r="V18" s="12"/>
      <c r="W18" s="12">
        <f>V18+'13'!W18</f>
        <v>38</v>
      </c>
      <c r="X18" s="12"/>
      <c r="Y18" s="12">
        <f>X18+'13'!Y18</f>
        <v>0</v>
      </c>
      <c r="AB18" s="5">
        <v>8</v>
      </c>
      <c r="AC18" s="26" t="str">
        <f>'13'!AC18</f>
        <v>منشأة دمــــــــــلو</v>
      </c>
      <c r="AD18" s="28">
        <f>'13'!AI18</f>
        <v>4</v>
      </c>
      <c r="AE18" s="3"/>
      <c r="AF18" s="28">
        <f>AE18+'13'!AF18</f>
        <v>135</v>
      </c>
      <c r="AG18" s="4"/>
      <c r="AH18" s="28">
        <f>AG18+'13'!AH18</f>
        <v>131</v>
      </c>
      <c r="AI18" s="4">
        <f t="shared" si="6"/>
        <v>4</v>
      </c>
      <c r="AJ18" s="11" t="e">
        <f t="shared" si="0"/>
        <v>#DIV/0!</v>
      </c>
      <c r="AK18" s="53">
        <f t="shared" si="1"/>
        <v>9.5419847328244281</v>
      </c>
      <c r="AW18" s="26" t="str">
        <f>'13'!AW18</f>
        <v>منشأة دمــــــــــلو</v>
      </c>
      <c r="AX18" s="12">
        <f>'13'!AX18</f>
        <v>2</v>
      </c>
      <c r="AY18" s="12">
        <f>'13'!AY18</f>
        <v>896</v>
      </c>
      <c r="AZ18" s="12"/>
      <c r="BA18" s="12"/>
      <c r="BB18" s="12">
        <f>BA18+'13'!BB18</f>
        <v>748</v>
      </c>
      <c r="BC18" s="30">
        <f t="shared" si="2"/>
        <v>0.8348214285714286</v>
      </c>
      <c r="BD18" s="12">
        <f>'13'!BD18</f>
        <v>8</v>
      </c>
      <c r="BE18" s="12">
        <f>'13'!BE18</f>
        <v>340</v>
      </c>
      <c r="BF18" s="12"/>
      <c r="BG18" s="12"/>
      <c r="BH18" s="12">
        <f>BG18+'13'!BH18</f>
        <v>328</v>
      </c>
      <c r="BI18" s="30">
        <f t="shared" si="3"/>
        <v>0.96470588235294119</v>
      </c>
    </row>
    <row r="19" spans="1:61" ht="41.5" customHeight="1" x14ac:dyDescent="0.35">
      <c r="A19" s="5">
        <v>9</v>
      </c>
      <c r="B19" s="26" t="str">
        <f>'13'!B19</f>
        <v>شـــــــــــــرانيس</v>
      </c>
      <c r="C19" s="26">
        <f>'13'!C19</f>
        <v>1414</v>
      </c>
      <c r="D19" s="26"/>
      <c r="E19" s="12"/>
      <c r="F19" s="2">
        <f>E19+'13'!F19</f>
        <v>11</v>
      </c>
      <c r="G19" s="2"/>
      <c r="H19" s="2">
        <f>G19+'13'!H19</f>
        <v>359</v>
      </c>
      <c r="I19" s="2"/>
      <c r="J19" s="2">
        <f>I19+'13'!J19</f>
        <v>618</v>
      </c>
      <c r="K19" s="2"/>
      <c r="L19" s="2">
        <f>K19+'13'!L19</f>
        <v>0</v>
      </c>
      <c r="M19" s="2"/>
      <c r="N19" s="2">
        <f>M19+'13'!N19</f>
        <v>0</v>
      </c>
      <c r="O19" s="2"/>
      <c r="P19" s="2">
        <f>O19+'13'!P19</f>
        <v>0</v>
      </c>
      <c r="Q19" s="4">
        <f t="shared" si="4"/>
        <v>0</v>
      </c>
      <c r="R19" s="4">
        <f>Q19+'13'!R19</f>
        <v>988</v>
      </c>
      <c r="S19" s="27">
        <f t="shared" si="5"/>
        <v>0.69872701555869876</v>
      </c>
      <c r="T19" s="12"/>
      <c r="U19" s="12">
        <f>T19+'13'!U19</f>
        <v>143</v>
      </c>
      <c r="V19" s="12"/>
      <c r="W19" s="12">
        <f>V19+'13'!W19</f>
        <v>0</v>
      </c>
      <c r="X19" s="12"/>
      <c r="Y19" s="12">
        <f>X19+'13'!Y19</f>
        <v>0</v>
      </c>
      <c r="AB19" s="5">
        <v>9</v>
      </c>
      <c r="AC19" s="26" t="str">
        <f>'13'!AC19</f>
        <v>شـــــــــــــرانيس</v>
      </c>
      <c r="AD19" s="28">
        <f>'13'!AI19</f>
        <v>22</v>
      </c>
      <c r="AE19" s="3"/>
      <c r="AF19" s="28">
        <f>AE19+'13'!AF19</f>
        <v>125</v>
      </c>
      <c r="AG19" s="4"/>
      <c r="AH19" s="28">
        <f>AG19+'13'!AH19</f>
        <v>103</v>
      </c>
      <c r="AI19" s="4">
        <f t="shared" si="6"/>
        <v>22</v>
      </c>
      <c r="AJ19" s="11" t="e">
        <f t="shared" si="0"/>
        <v>#DIV/0!</v>
      </c>
      <c r="AK19" s="53">
        <f t="shared" si="1"/>
        <v>9.5922330097087372</v>
      </c>
      <c r="AW19" s="26" t="str">
        <f>'13'!AW19</f>
        <v>شـــــــــــــرانيس</v>
      </c>
      <c r="AX19" s="12">
        <f>'13'!AX19</f>
        <v>2</v>
      </c>
      <c r="AY19" s="12">
        <f>'13'!AY19</f>
        <v>675</v>
      </c>
      <c r="AZ19" s="12"/>
      <c r="BA19" s="12"/>
      <c r="BB19" s="12">
        <f>BA19+'13'!BB19</f>
        <v>569</v>
      </c>
      <c r="BC19" s="30">
        <f t="shared" si="2"/>
        <v>0.84296296296296291</v>
      </c>
      <c r="BD19" s="12">
        <f>'13'!BD19</f>
        <v>2</v>
      </c>
      <c r="BE19" s="12">
        <f>'13'!BE19</f>
        <v>397</v>
      </c>
      <c r="BF19" s="12"/>
      <c r="BG19" s="12"/>
      <c r="BH19" s="12">
        <f>BG19+'13'!BH19</f>
        <v>349</v>
      </c>
      <c r="BI19" s="30">
        <f t="shared" si="3"/>
        <v>0.87909319899244331</v>
      </c>
    </row>
    <row r="20" spans="1:61" ht="41.5" customHeight="1" x14ac:dyDescent="0.35">
      <c r="A20" s="5">
        <v>10</v>
      </c>
      <c r="B20" s="26" t="str">
        <f>'13'!B20</f>
        <v>قويســـــــــنا البلد</v>
      </c>
      <c r="C20" s="26">
        <f>'13'!C20</f>
        <v>4115</v>
      </c>
      <c r="D20" s="26"/>
      <c r="E20" s="12"/>
      <c r="F20" s="2">
        <f>E20+'13'!F20</f>
        <v>27</v>
      </c>
      <c r="G20" s="2"/>
      <c r="H20" s="2">
        <f>G20+'13'!H20</f>
        <v>406</v>
      </c>
      <c r="I20" s="2"/>
      <c r="J20" s="2">
        <f>I20+'13'!J20</f>
        <v>1286</v>
      </c>
      <c r="K20" s="2"/>
      <c r="L20" s="2">
        <f>K20+'13'!L20</f>
        <v>0</v>
      </c>
      <c r="M20" s="2"/>
      <c r="N20" s="2">
        <f>M20+'13'!N20</f>
        <v>0</v>
      </c>
      <c r="O20" s="2"/>
      <c r="P20" s="2">
        <f>O20+'13'!P20</f>
        <v>0</v>
      </c>
      <c r="Q20" s="4">
        <f t="shared" si="4"/>
        <v>0</v>
      </c>
      <c r="R20" s="4">
        <f>Q20+'13'!R20</f>
        <v>1719</v>
      </c>
      <c r="S20" s="27">
        <f t="shared" si="5"/>
        <v>0.41773997569866345</v>
      </c>
      <c r="T20" s="12"/>
      <c r="U20" s="12">
        <f>T20+'13'!U20</f>
        <v>405</v>
      </c>
      <c r="V20" s="12"/>
      <c r="W20" s="12">
        <f>V20+'13'!W20</f>
        <v>144</v>
      </c>
      <c r="X20" s="12"/>
      <c r="Y20" s="12">
        <f>X20+'13'!Y20</f>
        <v>0</v>
      </c>
      <c r="AB20" s="5">
        <v>10</v>
      </c>
      <c r="AC20" s="26" t="str">
        <f>'13'!AC20</f>
        <v>قويســـــــــنا البلد</v>
      </c>
      <c r="AD20" s="28">
        <f>'13'!AI20</f>
        <v>185</v>
      </c>
      <c r="AE20" s="3"/>
      <c r="AF20" s="28">
        <f>AE20+'13'!AF20</f>
        <v>360</v>
      </c>
      <c r="AG20" s="4"/>
      <c r="AH20" s="28">
        <f>AG20+'13'!AH20</f>
        <v>175</v>
      </c>
      <c r="AI20" s="4">
        <f t="shared" si="6"/>
        <v>185</v>
      </c>
      <c r="AJ20" s="11" t="e">
        <f t="shared" si="0"/>
        <v>#DIV/0!</v>
      </c>
      <c r="AK20" s="53">
        <f t="shared" si="1"/>
        <v>9.8228571428571421</v>
      </c>
      <c r="AW20" s="26" t="str">
        <f>'13'!AW20</f>
        <v>قويســـــــــنا البلد</v>
      </c>
      <c r="AX20" s="12">
        <f>'13'!AX20</f>
        <v>2</v>
      </c>
      <c r="AY20" s="12">
        <f>'13'!AY20</f>
        <v>1539</v>
      </c>
      <c r="AZ20" s="12"/>
      <c r="BA20" s="12"/>
      <c r="BB20" s="12">
        <f>BA20+'13'!BB20</f>
        <v>1355</v>
      </c>
      <c r="BC20" s="30">
        <f t="shared" si="2"/>
        <v>0.88044184535412606</v>
      </c>
      <c r="BD20" s="12">
        <f>'13'!BD20</f>
        <v>7</v>
      </c>
      <c r="BE20" s="12">
        <f>'13'!BE20</f>
        <v>580</v>
      </c>
      <c r="BF20" s="12"/>
      <c r="BG20" s="12"/>
      <c r="BH20" s="12">
        <f>BG20+'13'!BH20</f>
        <v>204</v>
      </c>
      <c r="BI20" s="30">
        <f t="shared" si="3"/>
        <v>0.35172413793103446</v>
      </c>
    </row>
    <row r="21" spans="1:61" ht="41.5" customHeight="1" x14ac:dyDescent="0.35">
      <c r="A21" s="5">
        <v>11</v>
      </c>
      <c r="B21" s="26" t="str">
        <f>'13'!B21</f>
        <v>بجيرم</v>
      </c>
      <c r="C21" s="26">
        <f>'13'!C21</f>
        <v>1782</v>
      </c>
      <c r="D21" s="26"/>
      <c r="E21" s="12"/>
      <c r="F21" s="2">
        <f>E21+'13'!F21</f>
        <v>8</v>
      </c>
      <c r="G21" s="2"/>
      <c r="H21" s="2">
        <f>G21+'13'!H21</f>
        <v>406</v>
      </c>
      <c r="I21" s="2"/>
      <c r="J21" s="2">
        <f>I21+'13'!J21</f>
        <v>755</v>
      </c>
      <c r="K21" s="2"/>
      <c r="L21" s="2">
        <f>K21+'13'!L21</f>
        <v>0</v>
      </c>
      <c r="M21" s="2"/>
      <c r="N21" s="2">
        <f>M21+'13'!N21</f>
        <v>0</v>
      </c>
      <c r="O21" s="2"/>
      <c r="P21" s="2">
        <f>O21+'13'!P21</f>
        <v>0</v>
      </c>
      <c r="Q21" s="4">
        <f t="shared" si="4"/>
        <v>0</v>
      </c>
      <c r="R21" s="4">
        <f>Q21+'13'!R21</f>
        <v>1169</v>
      </c>
      <c r="S21" s="27">
        <f t="shared" si="5"/>
        <v>0.65600448933782263</v>
      </c>
      <c r="T21" s="12"/>
      <c r="U21" s="12">
        <f>T21+'13'!U21</f>
        <v>126</v>
      </c>
      <c r="V21" s="12"/>
      <c r="W21" s="12">
        <f>V21+'13'!W21</f>
        <v>44</v>
      </c>
      <c r="X21" s="12"/>
      <c r="Y21" s="12">
        <f>X21+'13'!Y21</f>
        <v>0</v>
      </c>
      <c r="AB21" s="5">
        <v>11</v>
      </c>
      <c r="AC21" s="26" t="str">
        <f>'13'!AC21</f>
        <v>بجيرم</v>
      </c>
      <c r="AD21" s="28">
        <f>'13'!AI21</f>
        <v>37</v>
      </c>
      <c r="AE21" s="3"/>
      <c r="AF21" s="28">
        <f>AE21+'13'!AF21</f>
        <v>157</v>
      </c>
      <c r="AG21" s="4"/>
      <c r="AH21" s="28">
        <f>AG21+'13'!AH21</f>
        <v>120</v>
      </c>
      <c r="AI21" s="4">
        <f t="shared" si="6"/>
        <v>37</v>
      </c>
      <c r="AJ21" s="11" t="e">
        <f t="shared" si="0"/>
        <v>#DIV/0!</v>
      </c>
      <c r="AK21" s="53">
        <f t="shared" si="1"/>
        <v>9.7416666666666671</v>
      </c>
      <c r="AW21" s="26" t="str">
        <f>'13'!AW21</f>
        <v>بجيرم</v>
      </c>
      <c r="AX21" s="12">
        <f>'13'!AX21</f>
        <v>4</v>
      </c>
      <c r="AY21" s="12">
        <f>'13'!AY21</f>
        <v>946</v>
      </c>
      <c r="AZ21" s="12"/>
      <c r="BA21" s="12"/>
      <c r="BB21" s="12">
        <f>BA21+'13'!BB21</f>
        <v>823</v>
      </c>
      <c r="BC21" s="30">
        <f t="shared" si="2"/>
        <v>0.86997885835095135</v>
      </c>
      <c r="BD21" s="12">
        <f>'13'!BD21</f>
        <v>4</v>
      </c>
      <c r="BE21" s="12">
        <f>'13'!BE21</f>
        <v>99</v>
      </c>
      <c r="BF21" s="12"/>
      <c r="BG21" s="12"/>
      <c r="BH21" s="12">
        <f>BG21+'13'!BH21</f>
        <v>99</v>
      </c>
      <c r="BI21" s="30">
        <f t="shared" si="3"/>
        <v>1</v>
      </c>
    </row>
    <row r="22" spans="1:61" ht="30" customHeight="1" x14ac:dyDescent="0.35">
      <c r="A22" s="5">
        <v>12</v>
      </c>
      <c r="B22" s="26" t="str">
        <f>'13'!B22</f>
        <v>كفر بنى غريـــان</v>
      </c>
      <c r="C22" s="26">
        <f>'13'!C22</f>
        <v>2184</v>
      </c>
      <c r="D22" s="26"/>
      <c r="E22" s="12"/>
      <c r="F22" s="2">
        <f>E22+'13'!F22</f>
        <v>12</v>
      </c>
      <c r="G22" s="2"/>
      <c r="H22" s="2">
        <f>G22+'13'!H22</f>
        <v>471</v>
      </c>
      <c r="I22" s="2"/>
      <c r="J22" s="2">
        <f>I22+'13'!J22</f>
        <v>971</v>
      </c>
      <c r="K22" s="2"/>
      <c r="L22" s="2">
        <f>K22+'13'!L22</f>
        <v>0</v>
      </c>
      <c r="M22" s="2"/>
      <c r="N22" s="2">
        <f>M22+'13'!N22</f>
        <v>0</v>
      </c>
      <c r="O22" s="2"/>
      <c r="P22" s="2">
        <f>O22+'13'!P22</f>
        <v>0</v>
      </c>
      <c r="Q22" s="4">
        <f t="shared" si="4"/>
        <v>0</v>
      </c>
      <c r="R22" s="4">
        <f>Q22+'13'!R22</f>
        <v>1454</v>
      </c>
      <c r="S22" s="27">
        <f t="shared" si="5"/>
        <v>0.66575091575091572</v>
      </c>
      <c r="T22" s="12"/>
      <c r="U22" s="12">
        <f>T22+'13'!U22</f>
        <v>174</v>
      </c>
      <c r="V22" s="12"/>
      <c r="W22" s="12">
        <f>V22+'13'!W22</f>
        <v>7</v>
      </c>
      <c r="X22" s="12"/>
      <c r="Y22" s="12">
        <f>X22+'13'!Y22</f>
        <v>0</v>
      </c>
      <c r="AB22" s="5">
        <v>12</v>
      </c>
      <c r="AC22" s="26" t="str">
        <f>'13'!AC22</f>
        <v>كفر بنى غريـــان</v>
      </c>
      <c r="AD22" s="28">
        <f>'13'!AI22</f>
        <v>42</v>
      </c>
      <c r="AE22" s="3"/>
      <c r="AF22" s="28">
        <f>AE22+'13'!AF22</f>
        <v>192</v>
      </c>
      <c r="AG22" s="4"/>
      <c r="AH22" s="28">
        <f>AG22+'13'!AH22</f>
        <v>150</v>
      </c>
      <c r="AI22" s="4">
        <f t="shared" si="6"/>
        <v>42</v>
      </c>
      <c r="AJ22" s="11" t="e">
        <f t="shared" si="0"/>
        <v>#DIV/0!</v>
      </c>
      <c r="AK22" s="53">
        <f t="shared" si="1"/>
        <v>9.6933333333333334</v>
      </c>
      <c r="AW22" s="26" t="str">
        <f>'13'!AW22</f>
        <v>كفر بنى غريـــان</v>
      </c>
      <c r="AX22" s="12">
        <f>'13'!AX22</f>
        <v>3</v>
      </c>
      <c r="AY22" s="12">
        <f>'13'!AY22</f>
        <v>1327</v>
      </c>
      <c r="AZ22" s="12"/>
      <c r="BA22" s="12"/>
      <c r="BB22" s="12">
        <f>BA22+'13'!BB22</f>
        <v>994</v>
      </c>
      <c r="BC22" s="30">
        <f t="shared" si="2"/>
        <v>0.74905802562170309</v>
      </c>
      <c r="BD22" s="12">
        <f>'13'!BD22</f>
        <v>9</v>
      </c>
      <c r="BE22" s="12">
        <f>'13'!BE22</f>
        <v>381</v>
      </c>
      <c r="BF22" s="12"/>
      <c r="BG22" s="12"/>
      <c r="BH22" s="12">
        <f>BG22+'13'!BH22</f>
        <v>387</v>
      </c>
      <c r="BI22" s="30">
        <f t="shared" si="3"/>
        <v>1.015748031496063</v>
      </c>
    </row>
    <row r="23" spans="1:61" ht="30" customHeight="1" x14ac:dyDescent="0.35">
      <c r="A23" s="5">
        <v>13</v>
      </c>
      <c r="B23" s="26" t="str">
        <f>'13'!B23</f>
        <v>بــقســـــــــــــــــا</v>
      </c>
      <c r="C23" s="26">
        <f>'13'!C23</f>
        <v>862</v>
      </c>
      <c r="D23" s="26"/>
      <c r="E23" s="12"/>
      <c r="F23" s="2">
        <f>E23+'13'!F23</f>
        <v>8</v>
      </c>
      <c r="G23" s="2"/>
      <c r="H23" s="2">
        <f>G23+'13'!H23</f>
        <v>160</v>
      </c>
      <c r="I23" s="2"/>
      <c r="J23" s="2">
        <f>I23+'13'!J23</f>
        <v>359</v>
      </c>
      <c r="K23" s="2"/>
      <c r="L23" s="2">
        <f>K23+'13'!L23</f>
        <v>0</v>
      </c>
      <c r="M23" s="2"/>
      <c r="N23" s="2">
        <f>M23+'13'!N23</f>
        <v>0</v>
      </c>
      <c r="O23" s="2"/>
      <c r="P23" s="2">
        <f>O23+'13'!P23</f>
        <v>0</v>
      </c>
      <c r="Q23" s="4">
        <f t="shared" si="4"/>
        <v>0</v>
      </c>
      <c r="R23" s="4">
        <f>Q23+'13'!R23</f>
        <v>527</v>
      </c>
      <c r="S23" s="27">
        <f t="shared" si="5"/>
        <v>0.61136890951276102</v>
      </c>
      <c r="T23" s="12"/>
      <c r="U23" s="12">
        <f>T23+'13'!U23</f>
        <v>36</v>
      </c>
      <c r="V23" s="12"/>
      <c r="W23" s="12">
        <f>V23+'13'!W23</f>
        <v>14</v>
      </c>
      <c r="X23" s="12"/>
      <c r="Y23" s="12">
        <f>X23+'13'!Y23</f>
        <v>0</v>
      </c>
      <c r="AB23" s="5">
        <v>13</v>
      </c>
      <c r="AC23" s="26" t="str">
        <f>'13'!AC23</f>
        <v>بــقســـــــــــــــــا</v>
      </c>
      <c r="AD23" s="28">
        <f>'13'!AI23</f>
        <v>22</v>
      </c>
      <c r="AE23" s="3"/>
      <c r="AF23" s="28">
        <f>AE23+'13'!AF23</f>
        <v>75</v>
      </c>
      <c r="AG23" s="4"/>
      <c r="AH23" s="28">
        <f>AG23+'13'!AH23</f>
        <v>53</v>
      </c>
      <c r="AI23" s="4">
        <f t="shared" si="6"/>
        <v>22</v>
      </c>
      <c r="AJ23" s="11" t="e">
        <f t="shared" si="0"/>
        <v>#DIV/0!</v>
      </c>
      <c r="AK23" s="53">
        <f t="shared" si="1"/>
        <v>9.9433962264150946</v>
      </c>
      <c r="AW23" s="26" t="str">
        <f>'13'!AW23</f>
        <v>بــقســـــــــــــــــا</v>
      </c>
      <c r="AX23" s="12">
        <f>'13'!AX23</f>
        <v>1</v>
      </c>
      <c r="AY23" s="12">
        <f>'13'!AY23</f>
        <v>311</v>
      </c>
      <c r="AZ23" s="12"/>
      <c r="BA23" s="12"/>
      <c r="BB23" s="12">
        <f>BA23+'13'!BB23</f>
        <v>297</v>
      </c>
      <c r="BC23" s="30">
        <f t="shared" si="2"/>
        <v>0.954983922829582</v>
      </c>
      <c r="BD23" s="12">
        <f>'13'!BD23</f>
        <v>1</v>
      </c>
      <c r="BE23" s="12">
        <f>'13'!BE23</f>
        <v>40</v>
      </c>
      <c r="BF23" s="12"/>
      <c r="BG23" s="12"/>
      <c r="BH23" s="12">
        <f>BG23+'13'!BH23</f>
        <v>30</v>
      </c>
      <c r="BI23" s="30">
        <f t="shared" si="3"/>
        <v>0.75</v>
      </c>
    </row>
    <row r="24" spans="1:61" ht="37.15" customHeight="1" x14ac:dyDescent="0.35">
      <c r="A24" s="5">
        <v>14</v>
      </c>
      <c r="B24" s="26" t="str">
        <f>'13'!B24</f>
        <v>كفــــــــر الأكرم</v>
      </c>
      <c r="C24" s="26">
        <f>'13'!C24</f>
        <v>918</v>
      </c>
      <c r="D24" s="26"/>
      <c r="E24" s="12"/>
      <c r="F24" s="2">
        <f>E24+'13'!F24</f>
        <v>3</v>
      </c>
      <c r="G24" s="2"/>
      <c r="H24" s="2">
        <f>G24+'13'!H24</f>
        <v>233</v>
      </c>
      <c r="I24" s="2"/>
      <c r="J24" s="2">
        <f>I24+'13'!J24</f>
        <v>392</v>
      </c>
      <c r="K24" s="2"/>
      <c r="L24" s="2">
        <f>K24+'13'!L24</f>
        <v>0</v>
      </c>
      <c r="M24" s="2"/>
      <c r="N24" s="2">
        <f>M24+'13'!N24</f>
        <v>0</v>
      </c>
      <c r="O24" s="2"/>
      <c r="P24" s="2">
        <f>O24+'13'!P24</f>
        <v>0</v>
      </c>
      <c r="Q24" s="4">
        <f t="shared" si="4"/>
        <v>0</v>
      </c>
      <c r="R24" s="4">
        <f>Q24+'13'!R24</f>
        <v>628</v>
      </c>
      <c r="S24" s="27">
        <f t="shared" si="5"/>
        <v>0.68409586056644878</v>
      </c>
      <c r="T24" s="12"/>
      <c r="U24" s="12">
        <f>T24+'13'!U24</f>
        <v>87</v>
      </c>
      <c r="V24" s="12"/>
      <c r="W24" s="12">
        <f>V24+'13'!W24</f>
        <v>9</v>
      </c>
      <c r="X24" s="12"/>
      <c r="Y24" s="12">
        <f>X24+'13'!Y24</f>
        <v>0</v>
      </c>
      <c r="AB24" s="5">
        <v>14</v>
      </c>
      <c r="AC24" s="26" t="str">
        <f>'13'!AC24</f>
        <v>كفــــــــر الأكرم</v>
      </c>
      <c r="AD24" s="28">
        <f>'13'!AI24</f>
        <v>15</v>
      </c>
      <c r="AE24" s="3"/>
      <c r="AF24" s="28">
        <f>AE24+'13'!AF24</f>
        <v>80</v>
      </c>
      <c r="AG24" s="4"/>
      <c r="AH24" s="28">
        <f>AG24+'13'!AH24</f>
        <v>65</v>
      </c>
      <c r="AI24" s="4">
        <f t="shared" si="6"/>
        <v>15</v>
      </c>
      <c r="AJ24" s="11" t="e">
        <f t="shared" si="0"/>
        <v>#DIV/0!</v>
      </c>
      <c r="AK24" s="53">
        <f t="shared" si="1"/>
        <v>9.661538461538461</v>
      </c>
      <c r="AW24" s="26" t="str">
        <f>'13'!AW24</f>
        <v>كفــــــــر الأكرم</v>
      </c>
      <c r="AX24" s="12">
        <f>'13'!AX24</f>
        <v>2</v>
      </c>
      <c r="AY24" s="12">
        <f>'13'!AY24</f>
        <v>540</v>
      </c>
      <c r="AZ24" s="12"/>
      <c r="BA24" s="12"/>
      <c r="BB24" s="12">
        <f>BA24+'13'!BB24</f>
        <v>380</v>
      </c>
      <c r="BC24" s="30">
        <f t="shared" si="2"/>
        <v>0.70370370370370372</v>
      </c>
      <c r="BD24" s="12">
        <f>'13'!BD24</f>
        <v>2</v>
      </c>
      <c r="BE24" s="12">
        <f>'13'!BE24</f>
        <v>115</v>
      </c>
      <c r="BF24" s="12"/>
      <c r="BG24" s="12"/>
      <c r="BH24" s="12">
        <f>BG24+'13'!BH24</f>
        <v>160</v>
      </c>
      <c r="BI24" s="30">
        <f t="shared" si="3"/>
        <v>1.3913043478260869</v>
      </c>
    </row>
    <row r="25" spans="1:61" ht="28.9" customHeight="1" x14ac:dyDescent="0.35">
      <c r="A25" s="5">
        <v>15</v>
      </c>
      <c r="B25" s="26" t="str">
        <f>'13'!B25</f>
        <v>كفـــــــــر إبنهس</v>
      </c>
      <c r="C25" s="26">
        <f>'13'!C25</f>
        <v>2072</v>
      </c>
      <c r="D25" s="26"/>
      <c r="E25" s="12"/>
      <c r="F25" s="2">
        <f>E25+'13'!F25</f>
        <v>6</v>
      </c>
      <c r="G25" s="2"/>
      <c r="H25" s="2">
        <f>G25+'13'!H25</f>
        <v>345</v>
      </c>
      <c r="I25" s="2"/>
      <c r="J25" s="2">
        <f>I25+'13'!J25</f>
        <v>974</v>
      </c>
      <c r="K25" s="2"/>
      <c r="L25" s="2">
        <f>K25+'13'!L25</f>
        <v>0</v>
      </c>
      <c r="M25" s="2"/>
      <c r="N25" s="2">
        <f>M25+'13'!N25</f>
        <v>0</v>
      </c>
      <c r="O25" s="2"/>
      <c r="P25" s="2">
        <f>O25+'13'!P25</f>
        <v>0</v>
      </c>
      <c r="Q25" s="4">
        <f t="shared" si="4"/>
        <v>0</v>
      </c>
      <c r="R25" s="4">
        <f>Q25+'13'!R25</f>
        <v>1325</v>
      </c>
      <c r="S25" s="27">
        <f t="shared" si="5"/>
        <v>0.63947876447876451</v>
      </c>
      <c r="T25" s="12"/>
      <c r="U25" s="12">
        <f>T25+'13'!U25</f>
        <v>173</v>
      </c>
      <c r="V25" s="12"/>
      <c r="W25" s="12">
        <f>V25+'13'!W25</f>
        <v>50</v>
      </c>
      <c r="X25" s="12"/>
      <c r="Y25" s="12">
        <f>X25+'13'!Y25</f>
        <v>0</v>
      </c>
      <c r="AB25" s="5">
        <v>15</v>
      </c>
      <c r="AC25" s="26" t="str">
        <f>'13'!AC25</f>
        <v>كفـــــــــر إبنهس</v>
      </c>
      <c r="AD25" s="28">
        <f>'13'!AI25</f>
        <v>31</v>
      </c>
      <c r="AE25" s="3"/>
      <c r="AF25" s="28">
        <f>AE25+'13'!AF25</f>
        <v>180</v>
      </c>
      <c r="AG25" s="4"/>
      <c r="AH25" s="28">
        <f>AG25+'13'!AH25</f>
        <v>149</v>
      </c>
      <c r="AI25" s="4">
        <f t="shared" si="6"/>
        <v>31</v>
      </c>
      <c r="AJ25" s="11" t="e">
        <f t="shared" si="0"/>
        <v>#DIV/0!</v>
      </c>
      <c r="AK25" s="53">
        <f t="shared" si="1"/>
        <v>8.8926174496644297</v>
      </c>
      <c r="AW25" s="26" t="str">
        <f>'13'!AW25</f>
        <v>كفـــــــــر إبنهس</v>
      </c>
      <c r="AX25" s="12">
        <f>'13'!AX25</f>
        <v>3</v>
      </c>
      <c r="AY25" s="12">
        <f>'13'!AY25</f>
        <v>1013</v>
      </c>
      <c r="AZ25" s="12"/>
      <c r="BA25" s="12"/>
      <c r="BB25" s="12">
        <f>BA25+'13'!BB25</f>
        <v>838</v>
      </c>
      <c r="BC25" s="30">
        <f t="shared" si="2"/>
        <v>0.82724580454096741</v>
      </c>
      <c r="BD25" s="12">
        <f>'13'!BD25</f>
        <v>4</v>
      </c>
      <c r="BE25" s="12">
        <f>'13'!BE25</f>
        <v>620</v>
      </c>
      <c r="BF25" s="12"/>
      <c r="BG25" s="12"/>
      <c r="BH25" s="12">
        <f>BG25+'13'!BH25</f>
        <v>507</v>
      </c>
      <c r="BI25" s="30">
        <f t="shared" si="3"/>
        <v>0.81774193548387097</v>
      </c>
    </row>
    <row r="26" spans="1:61" ht="28.9" customHeight="1" x14ac:dyDescent="0.35">
      <c r="A26" s="5">
        <v>16</v>
      </c>
      <c r="B26" s="26" t="str">
        <f>'13'!B26</f>
        <v>الرمــــــــــــــالى</v>
      </c>
      <c r="C26" s="26">
        <f>'13'!C26</f>
        <v>2699</v>
      </c>
      <c r="D26" s="26"/>
      <c r="E26" s="12"/>
      <c r="F26" s="2">
        <f>E26+'13'!F26</f>
        <v>27</v>
      </c>
      <c r="G26" s="2"/>
      <c r="H26" s="2">
        <f>G26+'13'!H26</f>
        <v>312</v>
      </c>
      <c r="I26" s="2"/>
      <c r="J26" s="2">
        <f>I26+'13'!J26</f>
        <v>993</v>
      </c>
      <c r="K26" s="2"/>
      <c r="L26" s="2">
        <f>K26+'13'!L26</f>
        <v>0</v>
      </c>
      <c r="M26" s="2"/>
      <c r="N26" s="2">
        <f>M26+'13'!N26</f>
        <v>0</v>
      </c>
      <c r="O26" s="2"/>
      <c r="P26" s="2">
        <f>O26+'13'!P26</f>
        <v>0</v>
      </c>
      <c r="Q26" s="4">
        <f t="shared" si="4"/>
        <v>0</v>
      </c>
      <c r="R26" s="4">
        <f>Q26+'13'!R26</f>
        <v>1332</v>
      </c>
      <c r="S26" s="27">
        <f t="shared" si="5"/>
        <v>0.49351611708040016</v>
      </c>
      <c r="T26" s="12"/>
      <c r="U26" s="12">
        <f>T26+'13'!U26</f>
        <v>114</v>
      </c>
      <c r="V26" s="12"/>
      <c r="W26" s="12">
        <f>V26+'13'!W26</f>
        <v>108</v>
      </c>
      <c r="X26" s="12"/>
      <c r="Y26" s="12">
        <f>X26+'13'!Y26</f>
        <v>1</v>
      </c>
      <c r="Z26" s="38"/>
      <c r="AB26" s="5">
        <v>16</v>
      </c>
      <c r="AC26" s="26" t="str">
        <f>'13'!AC26</f>
        <v>الرمــــــــــــــالى</v>
      </c>
      <c r="AD26" s="28">
        <f>'13'!AI26</f>
        <v>96</v>
      </c>
      <c r="AE26" s="3"/>
      <c r="AF26" s="28">
        <f>AE26+'13'!AF26</f>
        <v>235</v>
      </c>
      <c r="AG26" s="4"/>
      <c r="AH26" s="28">
        <f>AG26+'13'!AH26</f>
        <v>139</v>
      </c>
      <c r="AI26" s="4">
        <f t="shared" si="6"/>
        <v>96</v>
      </c>
      <c r="AJ26" s="11" t="e">
        <f t="shared" si="0"/>
        <v>#DIV/0!</v>
      </c>
      <c r="AK26" s="53">
        <f t="shared" si="1"/>
        <v>9.5827338129496411</v>
      </c>
      <c r="AV26" s="38"/>
      <c r="AW26" s="26" t="str">
        <f>'13'!AW26</f>
        <v>الرمــــــــــــــالى</v>
      </c>
      <c r="AX26" s="12">
        <f>'13'!AX26</f>
        <v>3</v>
      </c>
      <c r="AY26" s="12">
        <f>'13'!AY26</f>
        <v>1486</v>
      </c>
      <c r="AZ26" s="12"/>
      <c r="BA26" s="12"/>
      <c r="BB26" s="12">
        <f>BA26+'13'!BB26</f>
        <v>1149</v>
      </c>
      <c r="BC26" s="30">
        <f t="shared" si="2"/>
        <v>0.77321668909825036</v>
      </c>
      <c r="BD26" s="12">
        <f>'13'!BD26</f>
        <v>3</v>
      </c>
      <c r="BE26" s="12">
        <f>'13'!BE26</f>
        <v>98</v>
      </c>
      <c r="BF26" s="12"/>
      <c r="BG26" s="12"/>
      <c r="BH26" s="12">
        <f>BG26+'13'!BH26</f>
        <v>0</v>
      </c>
      <c r="BI26" s="30">
        <f t="shared" si="3"/>
        <v>0</v>
      </c>
    </row>
    <row r="27" spans="1:61" ht="28.9" customHeight="1" x14ac:dyDescent="0.35">
      <c r="A27" s="5">
        <v>17</v>
      </c>
      <c r="B27" s="26" t="str">
        <f>'13'!B27</f>
        <v>مصطــــــــــــاى</v>
      </c>
      <c r="C27" s="26">
        <f>'13'!C27</f>
        <v>2666</v>
      </c>
      <c r="D27" s="26"/>
      <c r="E27" s="12"/>
      <c r="F27" s="2">
        <f>E27+'13'!F27</f>
        <v>54</v>
      </c>
      <c r="G27" s="2"/>
      <c r="H27" s="2">
        <f>G27+'13'!H27</f>
        <v>364</v>
      </c>
      <c r="I27" s="2"/>
      <c r="J27" s="2">
        <f>I27+'13'!J27</f>
        <v>1154</v>
      </c>
      <c r="K27" s="2"/>
      <c r="L27" s="2">
        <f>K27+'13'!L27</f>
        <v>0</v>
      </c>
      <c r="M27" s="2"/>
      <c r="N27" s="2">
        <f>M27+'13'!N27</f>
        <v>0</v>
      </c>
      <c r="O27" s="2"/>
      <c r="P27" s="2">
        <f>O27+'13'!P27</f>
        <v>0</v>
      </c>
      <c r="Q27" s="4">
        <f t="shared" si="4"/>
        <v>0</v>
      </c>
      <c r="R27" s="4">
        <f>Q27+'13'!R27</f>
        <v>1572</v>
      </c>
      <c r="S27" s="27">
        <f t="shared" si="5"/>
        <v>0.58964741185296321</v>
      </c>
      <c r="T27" s="12"/>
      <c r="U27" s="12">
        <f>T27+'13'!U27</f>
        <v>45</v>
      </c>
      <c r="V27" s="12"/>
      <c r="W27" s="12">
        <f>V27+'13'!W27</f>
        <v>15</v>
      </c>
      <c r="X27" s="12"/>
      <c r="Y27" s="12">
        <f>X27+'13'!Y27</f>
        <v>0</v>
      </c>
      <c r="AB27" s="5">
        <v>17</v>
      </c>
      <c r="AC27" s="26" t="str">
        <f>'13'!AC27</f>
        <v>مصطــــــــــــاى</v>
      </c>
      <c r="AD27" s="28">
        <f>'13'!AI27</f>
        <v>74</v>
      </c>
      <c r="AE27" s="3"/>
      <c r="AF27" s="28">
        <f>AE27+'13'!AF27</f>
        <v>234</v>
      </c>
      <c r="AG27" s="4"/>
      <c r="AH27" s="28">
        <f>AG27+'13'!AH27</f>
        <v>160</v>
      </c>
      <c r="AI27" s="4">
        <f t="shared" si="6"/>
        <v>74</v>
      </c>
      <c r="AJ27" s="11" t="e">
        <f t="shared" si="0"/>
        <v>#DIV/0!</v>
      </c>
      <c r="AK27" s="53">
        <f t="shared" si="1"/>
        <v>9.8249999999999993</v>
      </c>
      <c r="AW27" s="26" t="str">
        <f>'13'!AW27</f>
        <v>مصطــــــــــــاى</v>
      </c>
      <c r="AX27" s="12">
        <f>'13'!AX27</f>
        <v>3</v>
      </c>
      <c r="AY27" s="12">
        <f>'13'!AY27</f>
        <v>1709</v>
      </c>
      <c r="AZ27" s="12"/>
      <c r="BA27" s="12"/>
      <c r="BB27" s="12">
        <f>BA27+'13'!BB27</f>
        <v>1252</v>
      </c>
      <c r="BC27" s="30">
        <f t="shared" si="2"/>
        <v>0.73259215915740195</v>
      </c>
      <c r="BD27" s="12">
        <f>'13'!BD27</f>
        <v>6</v>
      </c>
      <c r="BE27" s="12">
        <f>'13'!BE27</f>
        <v>696</v>
      </c>
      <c r="BF27" s="12"/>
      <c r="BG27" s="12"/>
      <c r="BH27" s="12">
        <f>BG27+'13'!BH27</f>
        <v>120</v>
      </c>
      <c r="BI27" s="30">
        <f t="shared" si="3"/>
        <v>0.17241379310344829</v>
      </c>
    </row>
    <row r="28" spans="1:61" ht="28.9" customHeight="1" x14ac:dyDescent="0.35">
      <c r="A28" s="5">
        <v>18</v>
      </c>
      <c r="B28" s="26" t="str">
        <f>'13'!B28</f>
        <v>كفر طـــــــه شبرا</v>
      </c>
      <c r="C28" s="26">
        <f>'13'!C28</f>
        <v>1795</v>
      </c>
      <c r="D28" s="26"/>
      <c r="E28" s="12"/>
      <c r="F28" s="2">
        <f>E28+'13'!F28</f>
        <v>8</v>
      </c>
      <c r="G28" s="2"/>
      <c r="H28" s="2">
        <f>G28+'13'!H28</f>
        <v>294</v>
      </c>
      <c r="I28" s="2"/>
      <c r="J28" s="2">
        <f>I28+'13'!J28</f>
        <v>940</v>
      </c>
      <c r="K28" s="2"/>
      <c r="L28" s="2">
        <f>K28+'13'!L28</f>
        <v>0</v>
      </c>
      <c r="M28" s="2"/>
      <c r="N28" s="2">
        <f>M28+'13'!N28</f>
        <v>0</v>
      </c>
      <c r="O28" s="2"/>
      <c r="P28" s="2">
        <f>O28+'13'!P28</f>
        <v>0</v>
      </c>
      <c r="Q28" s="4">
        <f t="shared" si="4"/>
        <v>0</v>
      </c>
      <c r="R28" s="4">
        <f>Q28+'13'!R28</f>
        <v>1242</v>
      </c>
      <c r="S28" s="27">
        <f t="shared" si="5"/>
        <v>0.69192200557103067</v>
      </c>
      <c r="T28" s="12"/>
      <c r="U28" s="12">
        <f>T28+'13'!U28</f>
        <v>136</v>
      </c>
      <c r="V28" s="12"/>
      <c r="W28" s="12">
        <f>V28+'13'!W28</f>
        <v>33</v>
      </c>
      <c r="X28" s="12"/>
      <c r="Y28" s="12">
        <f>X28+'13'!Y28</f>
        <v>0</v>
      </c>
      <c r="AB28" s="5">
        <v>18</v>
      </c>
      <c r="AC28" s="26" t="str">
        <f>'13'!AC28</f>
        <v>كفر طـــــــه شبرا</v>
      </c>
      <c r="AD28" s="28">
        <f>'13'!AI28</f>
        <v>28</v>
      </c>
      <c r="AE28" s="3"/>
      <c r="AF28" s="28">
        <f>AE28+'13'!AF28</f>
        <v>158</v>
      </c>
      <c r="AG28" s="4"/>
      <c r="AH28" s="28">
        <f>AG28+'13'!AH28</f>
        <v>130</v>
      </c>
      <c r="AI28" s="4">
        <f t="shared" si="6"/>
        <v>28</v>
      </c>
      <c r="AJ28" s="11" t="e">
        <f t="shared" si="0"/>
        <v>#DIV/0!</v>
      </c>
      <c r="AK28" s="53">
        <f t="shared" si="1"/>
        <v>9.5538461538461537</v>
      </c>
      <c r="AW28" s="26" t="str">
        <f>'13'!AW28</f>
        <v>كفر طـــــــه شبرا</v>
      </c>
      <c r="AX28" s="12">
        <f>'13'!AX28</f>
        <v>4</v>
      </c>
      <c r="AY28" s="12">
        <f>'13'!AY28</f>
        <v>948</v>
      </c>
      <c r="AZ28" s="12"/>
      <c r="BA28" s="12"/>
      <c r="BB28" s="12">
        <f>BA28+'13'!BB28</f>
        <v>827</v>
      </c>
      <c r="BC28" s="30">
        <f t="shared" si="2"/>
        <v>0.87236286919831219</v>
      </c>
      <c r="BD28" s="12">
        <f>'13'!BD28</f>
        <v>7</v>
      </c>
      <c r="BE28" s="12">
        <f>'13'!BE28</f>
        <v>300</v>
      </c>
      <c r="BF28" s="12"/>
      <c r="BG28" s="12"/>
      <c r="BH28" s="12">
        <f>BG28+'13'!BH28</f>
        <v>403</v>
      </c>
      <c r="BI28" s="30">
        <f t="shared" si="3"/>
        <v>1.3433333333333333</v>
      </c>
    </row>
    <row r="29" spans="1:61" ht="28.9" customHeight="1" x14ac:dyDescent="0.35">
      <c r="A29" s="5">
        <v>19</v>
      </c>
      <c r="B29" s="26" t="str">
        <f>'13'!B29</f>
        <v>كفر أبـــو الحسن</v>
      </c>
      <c r="C29" s="26">
        <f>'13'!C29</f>
        <v>1397</v>
      </c>
      <c r="D29" s="26"/>
      <c r="E29" s="12"/>
      <c r="F29" s="2">
        <f>E29+'13'!F29</f>
        <v>4</v>
      </c>
      <c r="G29" s="2"/>
      <c r="H29" s="2">
        <f>G29+'13'!H29</f>
        <v>238</v>
      </c>
      <c r="I29" s="2"/>
      <c r="J29" s="2">
        <f>I29+'13'!J29</f>
        <v>841</v>
      </c>
      <c r="K29" s="2"/>
      <c r="L29" s="2">
        <f>K29+'13'!L29</f>
        <v>0</v>
      </c>
      <c r="M29" s="2"/>
      <c r="N29" s="2">
        <f>M29+'13'!N29</f>
        <v>0</v>
      </c>
      <c r="O29" s="2"/>
      <c r="P29" s="2">
        <f>O29+'13'!P29</f>
        <v>0</v>
      </c>
      <c r="Q29" s="4">
        <f t="shared" si="4"/>
        <v>0</v>
      </c>
      <c r="R29" s="4">
        <f>Q29+'13'!R29</f>
        <v>1083</v>
      </c>
      <c r="S29" s="27">
        <f t="shared" si="5"/>
        <v>0.77523264137437364</v>
      </c>
      <c r="T29" s="12"/>
      <c r="U29" s="12">
        <f>T29+'13'!U29</f>
        <v>205</v>
      </c>
      <c r="V29" s="12"/>
      <c r="W29" s="12">
        <f>V29+'13'!W29</f>
        <v>18</v>
      </c>
      <c r="X29" s="12"/>
      <c r="Y29" s="12">
        <f>X29+'13'!Y29</f>
        <v>0</v>
      </c>
      <c r="AB29" s="5">
        <v>19</v>
      </c>
      <c r="AC29" s="26" t="str">
        <f>'13'!AC29</f>
        <v>كفر أبـــو الحسن</v>
      </c>
      <c r="AD29" s="28">
        <f>'13'!AI29</f>
        <v>22</v>
      </c>
      <c r="AE29" s="3"/>
      <c r="AF29" s="28">
        <f>AE29+'13'!AF29</f>
        <v>133</v>
      </c>
      <c r="AG29" s="4"/>
      <c r="AH29" s="28">
        <f>AG29+'13'!AH29</f>
        <v>111</v>
      </c>
      <c r="AI29" s="4">
        <f t="shared" si="6"/>
        <v>22</v>
      </c>
      <c r="AJ29" s="11" t="e">
        <f t="shared" si="0"/>
        <v>#DIV/0!</v>
      </c>
      <c r="AK29" s="53">
        <f t="shared" si="1"/>
        <v>9.7567567567567561</v>
      </c>
      <c r="AW29" s="26" t="str">
        <f>'13'!AW29</f>
        <v>كفر أبـــو الحسن</v>
      </c>
      <c r="AX29" s="12">
        <f>'13'!AX29</f>
        <v>3</v>
      </c>
      <c r="AY29" s="12">
        <f>'13'!AY29</f>
        <v>912</v>
      </c>
      <c r="AZ29" s="12"/>
      <c r="BA29" s="12"/>
      <c r="BB29" s="12">
        <f>BA29+'13'!BB29</f>
        <v>760</v>
      </c>
      <c r="BC29" s="30">
        <f t="shared" si="2"/>
        <v>0.83333333333333337</v>
      </c>
      <c r="BD29" s="12">
        <f>'13'!BD29</f>
        <v>9</v>
      </c>
      <c r="BE29" s="12">
        <f>'13'!BE29</f>
        <v>258</v>
      </c>
      <c r="BF29" s="12"/>
      <c r="BG29" s="12"/>
      <c r="BH29" s="12">
        <f>BG29+'13'!BH29</f>
        <v>351</v>
      </c>
      <c r="BI29" s="30">
        <f t="shared" si="3"/>
        <v>1.3604651162790697</v>
      </c>
    </row>
    <row r="30" spans="1:61" ht="28.9" customHeight="1" x14ac:dyDescent="0.35">
      <c r="A30" s="5">
        <v>20</v>
      </c>
      <c r="B30" s="26" t="str">
        <f>'13'!B30</f>
        <v>ميت أبـــــوشيخه</v>
      </c>
      <c r="C30" s="26">
        <f>'13'!C30</f>
        <v>1134</v>
      </c>
      <c r="D30" s="26"/>
      <c r="E30" s="12"/>
      <c r="F30" s="2">
        <f>E30+'13'!F30</f>
        <v>10</v>
      </c>
      <c r="G30" s="2"/>
      <c r="H30" s="2">
        <f>G30+'13'!H30</f>
        <v>144</v>
      </c>
      <c r="I30" s="2"/>
      <c r="J30" s="2">
        <f>I30+'13'!J30</f>
        <v>435</v>
      </c>
      <c r="K30" s="2"/>
      <c r="L30" s="2">
        <f>K30+'13'!L30</f>
        <v>0</v>
      </c>
      <c r="M30" s="2"/>
      <c r="N30" s="2">
        <f>M30+'13'!N30</f>
        <v>0</v>
      </c>
      <c r="O30" s="2"/>
      <c r="P30" s="2">
        <f>O30+'13'!P30</f>
        <v>0</v>
      </c>
      <c r="Q30" s="4">
        <f t="shared" si="4"/>
        <v>0</v>
      </c>
      <c r="R30" s="4">
        <f>Q30+'13'!R30</f>
        <v>589</v>
      </c>
      <c r="S30" s="27">
        <f t="shared" si="5"/>
        <v>0.51940035273368612</v>
      </c>
      <c r="T30" s="12"/>
      <c r="U30" s="12">
        <f>T30+'13'!U30</f>
        <v>68</v>
      </c>
      <c r="V30" s="12"/>
      <c r="W30" s="12">
        <f>V30+'13'!W30</f>
        <v>10</v>
      </c>
      <c r="X30" s="12"/>
      <c r="Y30" s="12">
        <f>X30+'13'!Y30</f>
        <v>0</v>
      </c>
      <c r="AB30" s="5">
        <v>20</v>
      </c>
      <c r="AC30" s="26" t="str">
        <f>'13'!AC30</f>
        <v>ميت أبـــــوشيخه</v>
      </c>
      <c r="AD30" s="28">
        <f>'13'!AI30</f>
        <v>40</v>
      </c>
      <c r="AE30" s="3"/>
      <c r="AF30" s="28">
        <f>AE30+'13'!AF30</f>
        <v>100</v>
      </c>
      <c r="AG30" s="4"/>
      <c r="AH30" s="28">
        <f>AG30+'13'!AH30</f>
        <v>60</v>
      </c>
      <c r="AI30" s="4">
        <f t="shared" si="6"/>
        <v>40</v>
      </c>
      <c r="AJ30" s="11" t="e">
        <f t="shared" si="0"/>
        <v>#DIV/0!</v>
      </c>
      <c r="AK30" s="53">
        <f t="shared" si="1"/>
        <v>9.8166666666666664</v>
      </c>
      <c r="AW30" s="26" t="str">
        <f>'13'!AW30</f>
        <v>ميت أبـــــوشيخه</v>
      </c>
      <c r="AX30" s="12">
        <f>'13'!AX30</f>
        <v>2</v>
      </c>
      <c r="AY30" s="12">
        <f>'13'!AY30</f>
        <v>560</v>
      </c>
      <c r="AZ30" s="12"/>
      <c r="BA30" s="12"/>
      <c r="BB30" s="12">
        <f>BA30+'13'!BB30</f>
        <v>459</v>
      </c>
      <c r="BC30" s="30">
        <f t="shared" si="2"/>
        <v>0.81964285714285712</v>
      </c>
      <c r="BD30" s="12">
        <f>'13'!BD30</f>
        <v>2</v>
      </c>
      <c r="BE30" s="12">
        <f>'13'!BE30</f>
        <v>107</v>
      </c>
      <c r="BF30" s="12"/>
      <c r="BG30" s="12"/>
      <c r="BH30" s="12">
        <f>BG30+'13'!BH30</f>
        <v>85</v>
      </c>
      <c r="BI30" s="30">
        <f t="shared" si="3"/>
        <v>0.79439252336448596</v>
      </c>
    </row>
    <row r="31" spans="1:61" ht="28.9" customHeight="1" x14ac:dyDescent="0.35">
      <c r="A31" s="5">
        <v>21</v>
      </c>
      <c r="B31" s="26" t="str">
        <f>'13'!B31</f>
        <v>طــــــــــــه شبرا</v>
      </c>
      <c r="C31" s="26">
        <f>'13'!C31</f>
        <v>5149</v>
      </c>
      <c r="D31" s="26"/>
      <c r="E31" s="12"/>
      <c r="F31" s="2">
        <f>E31+'13'!F31</f>
        <v>22</v>
      </c>
      <c r="G31" s="2"/>
      <c r="H31" s="2">
        <f>G31+'13'!H31</f>
        <v>967</v>
      </c>
      <c r="I31" s="2"/>
      <c r="J31" s="2">
        <f>I31+'13'!J31</f>
        <v>1288</v>
      </c>
      <c r="K31" s="2"/>
      <c r="L31" s="2">
        <f>K31+'13'!L31</f>
        <v>0</v>
      </c>
      <c r="M31" s="2"/>
      <c r="N31" s="2">
        <f>M31+'13'!N31</f>
        <v>0</v>
      </c>
      <c r="O31" s="2"/>
      <c r="P31" s="2">
        <f>O31+'13'!P31</f>
        <v>0</v>
      </c>
      <c r="Q31" s="4">
        <f t="shared" si="4"/>
        <v>0</v>
      </c>
      <c r="R31" s="4">
        <f>Q31+'13'!R31</f>
        <v>2277</v>
      </c>
      <c r="S31" s="27">
        <f t="shared" si="5"/>
        <v>0.442221790638959</v>
      </c>
      <c r="T31" s="12"/>
      <c r="U31" s="12">
        <f>T31+'13'!U31</f>
        <v>277</v>
      </c>
      <c r="V31" s="12"/>
      <c r="W31" s="12">
        <f>V31+'13'!W31</f>
        <v>3</v>
      </c>
      <c r="X31" s="12"/>
      <c r="Y31" s="12">
        <f>X31+'13'!Y31</f>
        <v>0</v>
      </c>
      <c r="AB31" s="5">
        <v>21</v>
      </c>
      <c r="AC31" s="26" t="str">
        <f>'13'!AC31</f>
        <v>طــــــــــــه شبرا</v>
      </c>
      <c r="AD31" s="28">
        <f>'13'!AI31</f>
        <v>216</v>
      </c>
      <c r="AE31" s="3"/>
      <c r="AF31" s="28">
        <f>AE31+'13'!AF31</f>
        <v>452</v>
      </c>
      <c r="AG31" s="4"/>
      <c r="AH31" s="28">
        <f>AG31+'13'!AH31</f>
        <v>236</v>
      </c>
      <c r="AI31" s="4">
        <f t="shared" si="6"/>
        <v>216</v>
      </c>
      <c r="AJ31" s="11" t="e">
        <f t="shared" si="0"/>
        <v>#DIV/0!</v>
      </c>
      <c r="AK31" s="53">
        <f t="shared" si="1"/>
        <v>9.648305084745763</v>
      </c>
      <c r="AW31" s="26" t="str">
        <f>'13'!AW31</f>
        <v>طــــــــــــه شبرا</v>
      </c>
      <c r="AX31" s="12">
        <f>'13'!AX31</f>
        <v>6</v>
      </c>
      <c r="AY31" s="12">
        <f>'13'!AY31</f>
        <v>2219</v>
      </c>
      <c r="AZ31" s="12"/>
      <c r="BA31" s="12"/>
      <c r="BB31" s="12">
        <f>BA31+'13'!BB31</f>
        <v>1367</v>
      </c>
      <c r="BC31" s="30">
        <f t="shared" si="2"/>
        <v>0.61604326273095988</v>
      </c>
      <c r="BD31" s="12">
        <f>'13'!BD31</f>
        <v>8</v>
      </c>
      <c r="BE31" s="12">
        <f>'13'!BE31</f>
        <v>748</v>
      </c>
      <c r="BF31" s="12"/>
      <c r="BG31" s="12"/>
      <c r="BH31" s="12">
        <f>BG31+'13'!BH31</f>
        <v>690</v>
      </c>
      <c r="BI31" s="30">
        <f t="shared" si="3"/>
        <v>0.92245989304812837</v>
      </c>
    </row>
    <row r="32" spans="1:61" ht="28.9" customHeight="1" x14ac:dyDescent="0.35">
      <c r="A32" s="5">
        <v>22</v>
      </c>
      <c r="B32" s="26" t="str">
        <f>'13'!B32</f>
        <v>أشـــــــــــــــــليم</v>
      </c>
      <c r="C32" s="26">
        <f>'13'!C32</f>
        <v>2638</v>
      </c>
      <c r="D32" s="26"/>
      <c r="E32" s="12"/>
      <c r="F32" s="2">
        <f>E32+'13'!F32</f>
        <v>19</v>
      </c>
      <c r="G32" s="2"/>
      <c r="H32" s="2">
        <f>G32+'13'!H32</f>
        <v>606</v>
      </c>
      <c r="I32" s="2"/>
      <c r="J32" s="2">
        <f>I32+'13'!J32</f>
        <v>1522</v>
      </c>
      <c r="K32" s="2"/>
      <c r="L32" s="2">
        <f>K32+'13'!L32</f>
        <v>0</v>
      </c>
      <c r="M32" s="2"/>
      <c r="N32" s="2">
        <f>M32+'13'!N32</f>
        <v>0</v>
      </c>
      <c r="O32" s="2"/>
      <c r="P32" s="2">
        <f>O32+'13'!P32</f>
        <v>0</v>
      </c>
      <c r="Q32" s="4">
        <f t="shared" si="4"/>
        <v>0</v>
      </c>
      <c r="R32" s="4">
        <f>Q32+'13'!R32</f>
        <v>2147</v>
      </c>
      <c r="S32" s="27">
        <f t="shared" si="5"/>
        <v>0.81387414708112205</v>
      </c>
      <c r="T32" s="12"/>
      <c r="U32" s="12">
        <f>T32+'13'!U32</f>
        <v>149</v>
      </c>
      <c r="V32" s="12"/>
      <c r="W32" s="12">
        <f>V32+'13'!W32</f>
        <v>119</v>
      </c>
      <c r="X32" s="12"/>
      <c r="Y32" s="12">
        <f>X32+'13'!Y32</f>
        <v>0</v>
      </c>
      <c r="AB32" s="5">
        <v>22</v>
      </c>
      <c r="AC32" s="26" t="str">
        <f>'13'!AC32</f>
        <v>أشـــــــــــــــــليم</v>
      </c>
      <c r="AD32" s="28">
        <f>'13'!AI32</f>
        <v>31</v>
      </c>
      <c r="AE32" s="3"/>
      <c r="AF32" s="28">
        <f>AE32+'13'!AF32</f>
        <v>252</v>
      </c>
      <c r="AG32" s="4"/>
      <c r="AH32" s="28">
        <f>AG32+'13'!AH32</f>
        <v>221</v>
      </c>
      <c r="AI32" s="4">
        <f t="shared" si="6"/>
        <v>31</v>
      </c>
      <c r="AJ32" s="11" t="e">
        <f t="shared" si="0"/>
        <v>#DIV/0!</v>
      </c>
      <c r="AK32" s="53">
        <f t="shared" si="1"/>
        <v>9.7149321266968318</v>
      </c>
      <c r="AW32" s="26" t="str">
        <f>'13'!AW32</f>
        <v>أشـــــــــــــــــليم</v>
      </c>
      <c r="AX32" s="12">
        <f>'13'!AX32</f>
        <v>8</v>
      </c>
      <c r="AY32" s="12">
        <f>'13'!AY32</f>
        <v>1819</v>
      </c>
      <c r="AZ32" s="12"/>
      <c r="BA32" s="12"/>
      <c r="BB32" s="12">
        <f>BA32+'13'!BB32</f>
        <v>1506</v>
      </c>
      <c r="BC32" s="30">
        <f t="shared" si="2"/>
        <v>0.82792743265530511</v>
      </c>
      <c r="BD32" s="12">
        <f>'13'!BD32</f>
        <v>7</v>
      </c>
      <c r="BE32" s="12">
        <f>'13'!BE32</f>
        <v>176</v>
      </c>
      <c r="BF32" s="12"/>
      <c r="BG32" s="12"/>
      <c r="BH32" s="12">
        <f>BG32+'13'!BH32</f>
        <v>531</v>
      </c>
      <c r="BI32" s="30">
        <f t="shared" si="3"/>
        <v>3.0170454545454546</v>
      </c>
    </row>
    <row r="33" spans="1:61" ht="28.9" customHeight="1" x14ac:dyDescent="0.35">
      <c r="A33" s="5">
        <v>23</v>
      </c>
      <c r="B33" s="26" t="str">
        <f>'13'!B33</f>
        <v>شبرا قبالــــــــــه</v>
      </c>
      <c r="C33" s="26">
        <f>'13'!C33</f>
        <v>2050</v>
      </c>
      <c r="D33" s="26"/>
      <c r="E33" s="12"/>
      <c r="F33" s="2">
        <f>E33+'13'!F33</f>
        <v>23</v>
      </c>
      <c r="G33" s="2"/>
      <c r="H33" s="2">
        <f>G33+'13'!H33</f>
        <v>644</v>
      </c>
      <c r="I33" s="2"/>
      <c r="J33" s="2">
        <f>I33+'13'!J33</f>
        <v>773</v>
      </c>
      <c r="K33" s="2"/>
      <c r="L33" s="2">
        <f>K33+'13'!L33</f>
        <v>0</v>
      </c>
      <c r="M33" s="2"/>
      <c r="N33" s="2">
        <f>M33+'13'!N33</f>
        <v>0</v>
      </c>
      <c r="O33" s="2"/>
      <c r="P33" s="2">
        <f>O33+'13'!P33</f>
        <v>0</v>
      </c>
      <c r="Q33" s="4">
        <f t="shared" si="4"/>
        <v>0</v>
      </c>
      <c r="R33" s="4">
        <f>Q33+'13'!R33</f>
        <v>1440</v>
      </c>
      <c r="S33" s="27">
        <f t="shared" si="5"/>
        <v>0.70243902439024386</v>
      </c>
      <c r="T33" s="12"/>
      <c r="U33" s="12">
        <f>T33+'13'!U33</f>
        <v>96</v>
      </c>
      <c r="V33" s="12"/>
      <c r="W33" s="12">
        <f>V33+'13'!W33</f>
        <v>64</v>
      </c>
      <c r="X33" s="12"/>
      <c r="Y33" s="12">
        <f>X33+'13'!Y33</f>
        <v>0</v>
      </c>
      <c r="AB33" s="5">
        <v>23</v>
      </c>
      <c r="AC33" s="26" t="str">
        <f>'13'!AC33</f>
        <v>شبرا قبالــــــــــه</v>
      </c>
      <c r="AD33" s="28">
        <f>'13'!AI33</f>
        <v>36</v>
      </c>
      <c r="AE33" s="3"/>
      <c r="AF33" s="28">
        <f>AE33+'13'!AF33</f>
        <v>180</v>
      </c>
      <c r="AG33" s="4"/>
      <c r="AH33" s="28">
        <f>AG33+'13'!AH33</f>
        <v>144</v>
      </c>
      <c r="AI33" s="4">
        <f t="shared" si="6"/>
        <v>36</v>
      </c>
      <c r="AJ33" s="11" t="e">
        <f t="shared" si="0"/>
        <v>#DIV/0!</v>
      </c>
      <c r="AK33" s="53">
        <f t="shared" si="1"/>
        <v>10</v>
      </c>
      <c r="AW33" s="26" t="str">
        <f>'13'!AW33</f>
        <v>شبرا قبالــــــــــه</v>
      </c>
      <c r="AX33" s="12">
        <f>'13'!AX33</f>
        <v>1</v>
      </c>
      <c r="AY33" s="12">
        <f>'13'!AY33</f>
        <v>918</v>
      </c>
      <c r="AZ33" s="12"/>
      <c r="BA33" s="12"/>
      <c r="BB33" s="12">
        <f>BA33+'13'!BB33</f>
        <v>780</v>
      </c>
      <c r="BC33" s="30">
        <f t="shared" si="2"/>
        <v>0.84967320261437906</v>
      </c>
      <c r="BD33" s="12">
        <f>'13'!BD33</f>
        <v>5</v>
      </c>
      <c r="BE33" s="12">
        <f>'13'!BE33</f>
        <v>375</v>
      </c>
      <c r="BF33" s="12"/>
      <c r="BG33" s="12"/>
      <c r="BH33" s="12">
        <f>BG33+'13'!BH33</f>
        <v>430</v>
      </c>
      <c r="BI33" s="30">
        <f t="shared" si="3"/>
        <v>1.1466666666666667</v>
      </c>
    </row>
    <row r="34" spans="1:61" ht="28.9" customHeight="1" x14ac:dyDescent="0.35">
      <c r="A34" s="5">
        <v>24</v>
      </c>
      <c r="B34" s="26" t="str">
        <f>'13'!B34</f>
        <v>عرب الرمـــــــل</v>
      </c>
      <c r="C34" s="26">
        <f>'13'!C34</f>
        <v>5755</v>
      </c>
      <c r="D34" s="26"/>
      <c r="E34" s="12"/>
      <c r="F34" s="2">
        <f>E34+'13'!F34</f>
        <v>22</v>
      </c>
      <c r="G34" s="2"/>
      <c r="H34" s="2">
        <f>G34+'13'!H34</f>
        <v>1011</v>
      </c>
      <c r="I34" s="2"/>
      <c r="J34" s="2">
        <f>I34+'13'!J34</f>
        <v>1364</v>
      </c>
      <c r="K34" s="2"/>
      <c r="L34" s="2">
        <f>K34+'13'!L34</f>
        <v>0</v>
      </c>
      <c r="M34" s="2"/>
      <c r="N34" s="2">
        <f>M34+'13'!N34</f>
        <v>0</v>
      </c>
      <c r="O34" s="2"/>
      <c r="P34" s="2">
        <f>O34+'13'!P34</f>
        <v>0</v>
      </c>
      <c r="Q34" s="4">
        <f t="shared" si="4"/>
        <v>0</v>
      </c>
      <c r="R34" s="4">
        <f>Q34+'13'!R34</f>
        <v>2397</v>
      </c>
      <c r="S34" s="27">
        <f t="shared" si="5"/>
        <v>0.41650738488271066</v>
      </c>
      <c r="T34" s="12"/>
      <c r="U34" s="12">
        <f>T34+'13'!U34</f>
        <v>562</v>
      </c>
      <c r="V34" s="12"/>
      <c r="W34" s="12">
        <f>V34+'13'!W34</f>
        <v>41</v>
      </c>
      <c r="X34" s="12"/>
      <c r="Y34" s="12">
        <f>X34+'13'!Y34</f>
        <v>0</v>
      </c>
      <c r="AB34" s="5">
        <v>24</v>
      </c>
      <c r="AC34" s="26" t="str">
        <f>'13'!AC34</f>
        <v>عرب الرمـــــــل</v>
      </c>
      <c r="AD34" s="28">
        <f>'13'!AI34</f>
        <v>263</v>
      </c>
      <c r="AE34" s="3"/>
      <c r="AF34" s="28">
        <f>AE34+'13'!AF34</f>
        <v>505</v>
      </c>
      <c r="AG34" s="4"/>
      <c r="AH34" s="28">
        <f>AG34+'13'!AH34</f>
        <v>242</v>
      </c>
      <c r="AI34" s="4">
        <f t="shared" si="6"/>
        <v>263</v>
      </c>
      <c r="AJ34" s="11" t="e">
        <f t="shared" si="0"/>
        <v>#DIV/0!</v>
      </c>
      <c r="AK34" s="53">
        <f t="shared" si="1"/>
        <v>9.9049586776859506</v>
      </c>
      <c r="AW34" s="26" t="str">
        <f>'13'!AW34</f>
        <v>عرب الرمـــــــل</v>
      </c>
      <c r="AX34" s="12">
        <f>'13'!AX34</f>
        <v>6</v>
      </c>
      <c r="AY34" s="12">
        <f>'13'!AY34</f>
        <v>2210</v>
      </c>
      <c r="AZ34" s="12"/>
      <c r="BA34" s="12"/>
      <c r="BB34" s="12">
        <f>BA34+'13'!BB34</f>
        <v>1456</v>
      </c>
      <c r="BC34" s="30">
        <f t="shared" si="2"/>
        <v>0.6588235294117647</v>
      </c>
      <c r="BD34" s="12">
        <f>'13'!BD34</f>
        <v>9</v>
      </c>
      <c r="BE34" s="12">
        <f>'13'!BE34</f>
        <v>932</v>
      </c>
      <c r="BF34" s="12"/>
      <c r="BG34" s="12"/>
      <c r="BH34" s="12">
        <f>BG34+'13'!BH34</f>
        <v>941</v>
      </c>
      <c r="BI34" s="30">
        <f t="shared" si="3"/>
        <v>1.0096566523605151</v>
      </c>
    </row>
    <row r="35" spans="1:61" ht="28.9" customHeight="1" x14ac:dyDescent="0.35">
      <c r="A35" s="5">
        <v>25</v>
      </c>
      <c r="B35" s="26" t="str">
        <f>'13'!B35</f>
        <v>كفر ميت سراج</v>
      </c>
      <c r="C35" s="26">
        <f>'13'!C35</f>
        <v>1840</v>
      </c>
      <c r="D35" s="26"/>
      <c r="E35" s="12"/>
      <c r="F35" s="2">
        <f>E35+'13'!F35</f>
        <v>8</v>
      </c>
      <c r="G35" s="2"/>
      <c r="H35" s="2">
        <f>G35+'13'!H35</f>
        <v>386</v>
      </c>
      <c r="I35" s="2"/>
      <c r="J35" s="2">
        <f>I35+'13'!J35</f>
        <v>773</v>
      </c>
      <c r="K35" s="2"/>
      <c r="L35" s="2">
        <f>K35+'13'!L35</f>
        <v>0</v>
      </c>
      <c r="M35" s="2"/>
      <c r="N35" s="2">
        <f>M35+'13'!N35</f>
        <v>0</v>
      </c>
      <c r="O35" s="2"/>
      <c r="P35" s="2">
        <f>O35+'13'!P35</f>
        <v>0</v>
      </c>
      <c r="Q35" s="4">
        <f t="shared" si="4"/>
        <v>0</v>
      </c>
      <c r="R35" s="4">
        <f>Q35+'13'!R35</f>
        <v>1167</v>
      </c>
      <c r="S35" s="27">
        <f t="shared" si="5"/>
        <v>0.63423913043478264</v>
      </c>
      <c r="T35" s="12"/>
      <c r="U35" s="12">
        <f>T35+'13'!U35</f>
        <v>174</v>
      </c>
      <c r="V35" s="12"/>
      <c r="W35" s="12">
        <f>V35+'13'!W35</f>
        <v>11</v>
      </c>
      <c r="X35" s="12"/>
      <c r="Y35" s="12">
        <f>X35+'13'!Y35</f>
        <v>0</v>
      </c>
      <c r="AB35" s="5">
        <v>25</v>
      </c>
      <c r="AC35" s="26" t="str">
        <f>'13'!AC35</f>
        <v>كفر ميت سراج</v>
      </c>
      <c r="AD35" s="28">
        <f>'13'!AI35</f>
        <v>41</v>
      </c>
      <c r="AE35" s="3"/>
      <c r="AF35" s="28">
        <f>AE35+'13'!AF35</f>
        <v>162</v>
      </c>
      <c r="AG35" s="4"/>
      <c r="AH35" s="28">
        <f>AG35+'13'!AH35</f>
        <v>121</v>
      </c>
      <c r="AI35" s="4">
        <f t="shared" si="6"/>
        <v>41</v>
      </c>
      <c r="AJ35" s="11" t="e">
        <f t="shared" si="0"/>
        <v>#DIV/0!</v>
      </c>
      <c r="AK35" s="53">
        <f t="shared" si="1"/>
        <v>9.6446280991735538</v>
      </c>
      <c r="AW35" s="26" t="str">
        <f>'13'!AW35</f>
        <v>كفر ميت سراج</v>
      </c>
      <c r="AX35" s="12">
        <f>'13'!AX35</f>
        <v>3</v>
      </c>
      <c r="AY35" s="12">
        <f>'13'!AY35</f>
        <v>1011</v>
      </c>
      <c r="AZ35" s="12"/>
      <c r="BA35" s="12"/>
      <c r="BB35" s="12">
        <f>BA35+'13'!BB35</f>
        <v>773</v>
      </c>
      <c r="BC35" s="30">
        <f t="shared" si="2"/>
        <v>0.76458951533135511</v>
      </c>
      <c r="BD35" s="12">
        <f>'13'!BD35</f>
        <v>4</v>
      </c>
      <c r="BE35" s="12">
        <f>'13'!BE35</f>
        <v>413</v>
      </c>
      <c r="BF35" s="12"/>
      <c r="BG35" s="12"/>
      <c r="BH35" s="12">
        <f>BG35+'13'!BH35</f>
        <v>232</v>
      </c>
      <c r="BI35" s="30">
        <f t="shared" si="3"/>
        <v>0.56174334140435833</v>
      </c>
    </row>
    <row r="36" spans="1:61" ht="28.9" customHeight="1" x14ac:dyDescent="0.35">
      <c r="A36" s="5">
        <v>26</v>
      </c>
      <c r="B36" s="26" t="str">
        <f>'13'!B36</f>
        <v>كفر أبشيش</v>
      </c>
      <c r="C36" s="26">
        <f>'13'!C36</f>
        <v>1345</v>
      </c>
      <c r="D36" s="26"/>
      <c r="E36" s="12"/>
      <c r="F36" s="2">
        <f>E36+'13'!F36</f>
        <v>14</v>
      </c>
      <c r="G36" s="2"/>
      <c r="H36" s="2">
        <f>G36+'13'!H36</f>
        <v>207</v>
      </c>
      <c r="I36" s="2"/>
      <c r="J36" s="2">
        <f>I36+'13'!J36</f>
        <v>725</v>
      </c>
      <c r="K36" s="2"/>
      <c r="L36" s="2">
        <f>K36+'13'!L36</f>
        <v>0</v>
      </c>
      <c r="M36" s="2"/>
      <c r="N36" s="2">
        <f>M36+'13'!N36</f>
        <v>0</v>
      </c>
      <c r="O36" s="2"/>
      <c r="P36" s="2">
        <f>O36+'13'!P36</f>
        <v>0</v>
      </c>
      <c r="Q36" s="4">
        <f t="shared" si="4"/>
        <v>0</v>
      </c>
      <c r="R36" s="4">
        <f>Q36+'13'!R36</f>
        <v>946</v>
      </c>
      <c r="S36" s="27">
        <f t="shared" si="5"/>
        <v>0.70334572490706315</v>
      </c>
      <c r="T36" s="12"/>
      <c r="U36" s="12">
        <f>T36+'13'!U36</f>
        <v>113</v>
      </c>
      <c r="V36" s="12"/>
      <c r="W36" s="12">
        <f>V36+'13'!W36</f>
        <v>4</v>
      </c>
      <c r="X36" s="12"/>
      <c r="Y36" s="12">
        <f>X36+'13'!Y36</f>
        <v>0</v>
      </c>
      <c r="AB36" s="5">
        <v>26</v>
      </c>
      <c r="AC36" s="26" t="str">
        <f>'13'!AC36</f>
        <v>كفر أبشيش</v>
      </c>
      <c r="AD36" s="28">
        <f>'13'!AI36</f>
        <v>24</v>
      </c>
      <c r="AE36" s="3"/>
      <c r="AF36" s="28">
        <f>AE36+'13'!AF36</f>
        <v>119</v>
      </c>
      <c r="AG36" s="4"/>
      <c r="AH36" s="28">
        <f>AG36+'13'!AH36</f>
        <v>95</v>
      </c>
      <c r="AI36" s="4">
        <f t="shared" si="6"/>
        <v>24</v>
      </c>
      <c r="AJ36" s="11" t="e">
        <f t="shared" si="0"/>
        <v>#DIV/0!</v>
      </c>
      <c r="AK36" s="53">
        <f t="shared" si="1"/>
        <v>9.9578947368421051</v>
      </c>
      <c r="AW36" s="26" t="str">
        <f>'13'!AW36</f>
        <v>كفر أبشيش</v>
      </c>
      <c r="AX36" s="12">
        <f>'13'!AX36</f>
        <v>1</v>
      </c>
      <c r="AY36" s="12">
        <f>'13'!AY36</f>
        <v>860</v>
      </c>
      <c r="AZ36" s="12"/>
      <c r="BA36" s="12"/>
      <c r="BB36" s="12">
        <f>BA36+'13'!BB36</f>
        <v>730</v>
      </c>
      <c r="BC36" s="30">
        <f t="shared" si="2"/>
        <v>0.84883720930232553</v>
      </c>
      <c r="BD36" s="12">
        <f>'13'!BD36</f>
        <v>4</v>
      </c>
      <c r="BE36" s="12">
        <f>'13'!BE36</f>
        <v>194</v>
      </c>
      <c r="BF36" s="12"/>
      <c r="BG36" s="12"/>
      <c r="BH36" s="12">
        <f>BG36+'13'!BH36</f>
        <v>0</v>
      </c>
      <c r="BI36" s="30">
        <f t="shared" si="3"/>
        <v>0</v>
      </c>
    </row>
    <row r="37" spans="1:61" ht="28.9" customHeight="1" x14ac:dyDescent="0.35">
      <c r="A37" s="5">
        <v>27</v>
      </c>
      <c r="B37" s="26" t="str">
        <f>'13'!B37</f>
        <v>كفر ميت العبسى</v>
      </c>
      <c r="C37" s="26">
        <f>'13'!C37</f>
        <v>1180</v>
      </c>
      <c r="D37" s="26"/>
      <c r="E37" s="12"/>
      <c r="F37" s="2">
        <f>E37+'13'!F37</f>
        <v>12</v>
      </c>
      <c r="G37" s="2"/>
      <c r="H37" s="2">
        <f>G37+'13'!H37</f>
        <v>248</v>
      </c>
      <c r="I37" s="2"/>
      <c r="J37" s="2">
        <f>I37+'13'!J37</f>
        <v>443</v>
      </c>
      <c r="K37" s="2"/>
      <c r="L37" s="2">
        <f>K37+'13'!L37</f>
        <v>0</v>
      </c>
      <c r="M37" s="2"/>
      <c r="N37" s="2">
        <f>M37+'13'!N37</f>
        <v>0</v>
      </c>
      <c r="O37" s="2"/>
      <c r="P37" s="2">
        <f>O37+'13'!P37</f>
        <v>0</v>
      </c>
      <c r="Q37" s="4">
        <f t="shared" si="4"/>
        <v>0</v>
      </c>
      <c r="R37" s="4">
        <f>Q37+'13'!R37</f>
        <v>703</v>
      </c>
      <c r="S37" s="27">
        <f t="shared" si="5"/>
        <v>0.59576271186440677</v>
      </c>
      <c r="T37" s="12"/>
      <c r="U37" s="12">
        <f>T37+'13'!U37</f>
        <v>53</v>
      </c>
      <c r="V37" s="12"/>
      <c r="W37" s="12">
        <f>V37+'13'!W37</f>
        <v>11</v>
      </c>
      <c r="X37" s="12"/>
      <c r="Y37" s="12">
        <f>X37+'13'!Y37</f>
        <v>0</v>
      </c>
      <c r="AB37" s="5">
        <v>27</v>
      </c>
      <c r="AC37" s="26" t="str">
        <f>'13'!AC37</f>
        <v>كفر ميت العبسى</v>
      </c>
      <c r="AD37" s="28">
        <f>'13'!AI37</f>
        <v>33</v>
      </c>
      <c r="AE37" s="3"/>
      <c r="AF37" s="28">
        <f>AE37+'13'!AF37</f>
        <v>104</v>
      </c>
      <c r="AG37" s="4"/>
      <c r="AH37" s="28">
        <f>AG37+'13'!AH37</f>
        <v>71</v>
      </c>
      <c r="AI37" s="4">
        <f t="shared" si="6"/>
        <v>33</v>
      </c>
      <c r="AJ37" s="11" t="e">
        <f t="shared" si="0"/>
        <v>#DIV/0!</v>
      </c>
      <c r="AK37" s="53">
        <f t="shared" si="1"/>
        <v>9.9014084507042259</v>
      </c>
      <c r="AW37" s="26" t="str">
        <f>'13'!AW37</f>
        <v>كفر ميت العبسى</v>
      </c>
      <c r="AX37" s="12">
        <f>'13'!AX37</f>
        <v>2</v>
      </c>
      <c r="AY37" s="12">
        <f>'13'!AY37</f>
        <v>494</v>
      </c>
      <c r="AZ37" s="12"/>
      <c r="BA37" s="12"/>
      <c r="BB37" s="12">
        <f>BA37+'13'!BB37</f>
        <v>418</v>
      </c>
      <c r="BC37" s="30">
        <f t="shared" si="2"/>
        <v>0.84615384615384615</v>
      </c>
      <c r="BD37" s="12">
        <f>'13'!BD37</f>
        <v>4</v>
      </c>
      <c r="BE37" s="12">
        <f>'13'!BE37</f>
        <v>114</v>
      </c>
      <c r="BF37" s="12"/>
      <c r="BG37" s="12"/>
      <c r="BH37" s="12">
        <f>BG37+'13'!BH37</f>
        <v>73</v>
      </c>
      <c r="BI37" s="30">
        <f t="shared" si="3"/>
        <v>0.64035087719298245</v>
      </c>
    </row>
    <row r="38" spans="1:61" ht="28.9" customHeight="1" x14ac:dyDescent="0.35">
      <c r="A38" s="5">
        <v>28</v>
      </c>
      <c r="B38" s="26" t="str">
        <f>'13'!B38</f>
        <v>كفر وهــــــــــب</v>
      </c>
      <c r="C38" s="26">
        <f>'13'!C38</f>
        <v>1854.9999999999998</v>
      </c>
      <c r="D38" s="26"/>
      <c r="E38" s="12"/>
      <c r="F38" s="2">
        <f>E38+'13'!F38</f>
        <v>7</v>
      </c>
      <c r="G38" s="2"/>
      <c r="H38" s="2">
        <f>G38+'13'!H38</f>
        <v>265</v>
      </c>
      <c r="I38" s="2"/>
      <c r="J38" s="2">
        <f>I38+'13'!J38</f>
        <v>618</v>
      </c>
      <c r="K38" s="2"/>
      <c r="L38" s="2">
        <f>K38+'13'!L38</f>
        <v>0</v>
      </c>
      <c r="M38" s="2"/>
      <c r="N38" s="2">
        <f>M38+'13'!N38</f>
        <v>0</v>
      </c>
      <c r="O38" s="2"/>
      <c r="P38" s="2">
        <f>O38+'13'!P38</f>
        <v>0</v>
      </c>
      <c r="Q38" s="4">
        <f t="shared" si="4"/>
        <v>0</v>
      </c>
      <c r="R38" s="4">
        <f>Q38+'13'!R38</f>
        <v>890</v>
      </c>
      <c r="S38" s="27">
        <f t="shared" si="5"/>
        <v>0.47978436657681944</v>
      </c>
      <c r="T38" s="12"/>
      <c r="U38" s="12">
        <f>T38+'13'!U38</f>
        <v>123</v>
      </c>
      <c r="V38" s="12"/>
      <c r="W38" s="12">
        <f>V38+'13'!W38</f>
        <v>7</v>
      </c>
      <c r="X38" s="12"/>
      <c r="Y38" s="12">
        <f>X38+'13'!Y38</f>
        <v>0</v>
      </c>
      <c r="AB38" s="5">
        <v>28</v>
      </c>
      <c r="AC38" s="26" t="str">
        <f>'13'!AC38</f>
        <v>كفر وهــــــــــب</v>
      </c>
      <c r="AD38" s="28">
        <f>'13'!AI38</f>
        <v>72</v>
      </c>
      <c r="AE38" s="3"/>
      <c r="AF38" s="28">
        <f>AE38+'13'!AF38</f>
        <v>163</v>
      </c>
      <c r="AG38" s="4"/>
      <c r="AH38" s="28">
        <f>AG38+'13'!AH38</f>
        <v>91</v>
      </c>
      <c r="AI38" s="4">
        <f t="shared" si="6"/>
        <v>72</v>
      </c>
      <c r="AJ38" s="11" t="e">
        <f t="shared" si="0"/>
        <v>#DIV/0!</v>
      </c>
      <c r="AK38" s="53">
        <f t="shared" si="1"/>
        <v>9.780219780219781</v>
      </c>
      <c r="AW38" s="26" t="str">
        <f>'13'!AW38</f>
        <v>كفر وهــــــــــب</v>
      </c>
      <c r="AX38" s="12">
        <f>'13'!AX38</f>
        <v>2</v>
      </c>
      <c r="AY38" s="12">
        <f>'13'!AY38</f>
        <v>793</v>
      </c>
      <c r="AZ38" s="12"/>
      <c r="BA38" s="12"/>
      <c r="BB38" s="12">
        <f>BA38+'13'!BB38</f>
        <v>623</v>
      </c>
      <c r="BC38" s="30">
        <f t="shared" si="2"/>
        <v>0.78562421185372</v>
      </c>
      <c r="BD38" s="12">
        <f>'13'!BD38</f>
        <v>3</v>
      </c>
      <c r="BE38" s="12">
        <f>'13'!BE38</f>
        <v>180</v>
      </c>
      <c r="BF38" s="12"/>
      <c r="BG38" s="12"/>
      <c r="BH38" s="12">
        <f>BG38+'13'!BH38</f>
        <v>160</v>
      </c>
      <c r="BI38" s="30">
        <f t="shared" si="3"/>
        <v>0.88888888888888884</v>
      </c>
    </row>
    <row r="39" spans="1:61" ht="28.9" customHeight="1" x14ac:dyDescent="0.35">
      <c r="A39" s="5">
        <v>29</v>
      </c>
      <c r="B39" s="26" t="str">
        <f>'13'!B39</f>
        <v>دمــــــــــــــهوج</v>
      </c>
      <c r="C39" s="26">
        <f>'13'!C39</f>
        <v>2738</v>
      </c>
      <c r="D39" s="26"/>
      <c r="E39" s="12"/>
      <c r="F39" s="2">
        <f>E39+'13'!F39</f>
        <v>11</v>
      </c>
      <c r="G39" s="2"/>
      <c r="H39" s="2">
        <f>G39+'13'!H39</f>
        <v>437</v>
      </c>
      <c r="I39" s="2"/>
      <c r="J39" s="2">
        <f>I39+'13'!J39</f>
        <v>832</v>
      </c>
      <c r="K39" s="2"/>
      <c r="L39" s="2">
        <f>K39+'13'!L39</f>
        <v>0</v>
      </c>
      <c r="M39" s="2"/>
      <c r="N39" s="2">
        <f>M39+'13'!N39</f>
        <v>0</v>
      </c>
      <c r="O39" s="2"/>
      <c r="P39" s="2">
        <f>O39+'13'!P39</f>
        <v>0</v>
      </c>
      <c r="Q39" s="4">
        <f t="shared" si="4"/>
        <v>0</v>
      </c>
      <c r="R39" s="4">
        <f>Q39+'13'!R39</f>
        <v>1280</v>
      </c>
      <c r="S39" s="27">
        <f t="shared" si="5"/>
        <v>0.46749452154857563</v>
      </c>
      <c r="T39" s="12"/>
      <c r="U39" s="12">
        <f>T39+'13'!U39</f>
        <v>158</v>
      </c>
      <c r="V39" s="12"/>
      <c r="W39" s="12">
        <f>V39+'13'!W39</f>
        <v>7</v>
      </c>
      <c r="X39" s="12"/>
      <c r="Y39" s="12">
        <f>X39+'13'!Y39</f>
        <v>0</v>
      </c>
      <c r="AB39" s="5">
        <v>29</v>
      </c>
      <c r="AC39" s="26" t="str">
        <f>'13'!AC39</f>
        <v>دمــــــــــــــهوج</v>
      </c>
      <c r="AD39" s="28">
        <f>'13'!AI39</f>
        <v>109</v>
      </c>
      <c r="AE39" s="3"/>
      <c r="AF39" s="28">
        <f>AE39+'13'!AF39</f>
        <v>240</v>
      </c>
      <c r="AG39" s="4"/>
      <c r="AH39" s="28">
        <f>AG39+'13'!AH39</f>
        <v>131</v>
      </c>
      <c r="AI39" s="4">
        <f t="shared" si="6"/>
        <v>109</v>
      </c>
      <c r="AJ39" s="11" t="e">
        <f t="shared" si="0"/>
        <v>#DIV/0!</v>
      </c>
      <c r="AK39" s="53">
        <f t="shared" si="1"/>
        <v>9.770992366412214</v>
      </c>
      <c r="AW39" s="26" t="str">
        <f>'13'!AW39</f>
        <v>دمــــــــــــــهوج</v>
      </c>
      <c r="AX39" s="12">
        <f>'13'!AX39</f>
        <v>2</v>
      </c>
      <c r="AY39" s="12">
        <f>'13'!AY39</f>
        <v>1086</v>
      </c>
      <c r="AZ39" s="12"/>
      <c r="BA39" s="12"/>
      <c r="BB39" s="12">
        <f>BA39+'13'!BB39</f>
        <v>834</v>
      </c>
      <c r="BC39" s="30">
        <f t="shared" si="2"/>
        <v>0.76795580110497241</v>
      </c>
      <c r="BD39" s="12">
        <f>'13'!BD39</f>
        <v>10</v>
      </c>
      <c r="BE39" s="12">
        <f>'13'!BE39</f>
        <v>455</v>
      </c>
      <c r="BF39" s="12"/>
      <c r="BG39" s="12"/>
      <c r="BH39" s="12">
        <f>BG39+'13'!BH39</f>
        <v>439</v>
      </c>
      <c r="BI39" s="30">
        <f t="shared" si="3"/>
        <v>0.96483516483516485</v>
      </c>
    </row>
    <row r="40" spans="1:61" ht="28.9" customHeight="1" x14ac:dyDescent="0.35">
      <c r="A40" s="5">
        <v>30</v>
      </c>
      <c r="B40" s="26" t="str">
        <f>'13'!B40</f>
        <v>كفر زين الدين</v>
      </c>
      <c r="C40" s="26">
        <f>'13'!C40</f>
        <v>819</v>
      </c>
      <c r="D40" s="26"/>
      <c r="E40" s="12"/>
      <c r="F40" s="2">
        <f>E40+'13'!F40</f>
        <v>9</v>
      </c>
      <c r="G40" s="2"/>
      <c r="H40" s="2">
        <f>G40+'13'!H40</f>
        <v>266</v>
      </c>
      <c r="I40" s="2"/>
      <c r="J40" s="2">
        <f>I40+'13'!J40</f>
        <v>430</v>
      </c>
      <c r="K40" s="2"/>
      <c r="L40" s="2">
        <f>K40+'13'!L40</f>
        <v>0</v>
      </c>
      <c r="M40" s="2"/>
      <c r="N40" s="2">
        <f>M40+'13'!N40</f>
        <v>0</v>
      </c>
      <c r="O40" s="2"/>
      <c r="P40" s="2">
        <f>O40+'13'!P40</f>
        <v>0</v>
      </c>
      <c r="Q40" s="4">
        <f t="shared" si="4"/>
        <v>0</v>
      </c>
      <c r="R40" s="4">
        <f>Q40+'13'!R40</f>
        <v>705</v>
      </c>
      <c r="S40" s="27">
        <f t="shared" si="5"/>
        <v>0.86080586080586086</v>
      </c>
      <c r="T40" s="12"/>
      <c r="U40" s="12">
        <f>T40+'13'!U40</f>
        <v>76</v>
      </c>
      <c r="V40" s="12"/>
      <c r="W40" s="12">
        <f>V40+'13'!W40</f>
        <v>26</v>
      </c>
      <c r="X40" s="12"/>
      <c r="Y40" s="12">
        <f>X40+'13'!Y40</f>
        <v>0</v>
      </c>
      <c r="AB40" s="5">
        <v>30</v>
      </c>
      <c r="AC40" s="26" t="str">
        <f>'13'!AC40</f>
        <v>كفر زين الدين</v>
      </c>
      <c r="AD40" s="28">
        <f>'13'!AI40</f>
        <v>9</v>
      </c>
      <c r="AE40" s="3"/>
      <c r="AF40" s="28">
        <f>AE40+'13'!AF40</f>
        <v>80</v>
      </c>
      <c r="AG40" s="4"/>
      <c r="AH40" s="28">
        <f>AG40+'13'!AH40</f>
        <v>71</v>
      </c>
      <c r="AI40" s="4">
        <f t="shared" si="6"/>
        <v>9</v>
      </c>
      <c r="AJ40" s="11" t="e">
        <f t="shared" si="0"/>
        <v>#DIV/0!</v>
      </c>
      <c r="AK40" s="53">
        <f t="shared" si="1"/>
        <v>9.929577464788732</v>
      </c>
      <c r="AW40" s="26" t="str">
        <f>'13'!AW40</f>
        <v>كفر زين الدين</v>
      </c>
      <c r="AX40" s="12">
        <f>'13'!AX40</f>
        <v>1</v>
      </c>
      <c r="AY40" s="12">
        <f>'13'!AY40</f>
        <v>563</v>
      </c>
      <c r="AZ40" s="12"/>
      <c r="BA40" s="12"/>
      <c r="BB40" s="12">
        <f>BA40+'13'!BB40</f>
        <v>364</v>
      </c>
      <c r="BC40" s="30">
        <f t="shared" si="2"/>
        <v>0.64653641207815271</v>
      </c>
      <c r="BD40" s="12">
        <f>'13'!BD40</f>
        <v>2</v>
      </c>
      <c r="BE40" s="12">
        <f>'13'!BE40</f>
        <v>87</v>
      </c>
      <c r="BF40" s="12"/>
      <c r="BG40" s="12"/>
      <c r="BH40" s="12">
        <f>BG40+'13'!BH40</f>
        <v>166</v>
      </c>
      <c r="BI40" s="30">
        <f t="shared" si="3"/>
        <v>1.9080459770114941</v>
      </c>
    </row>
    <row r="41" spans="1:61" ht="28.9" customHeight="1" x14ac:dyDescent="0.35">
      <c r="A41" s="5">
        <v>31</v>
      </c>
      <c r="B41" s="26" t="str">
        <f>'13'!B41</f>
        <v>عزبــة أبوالنصر</v>
      </c>
      <c r="C41" s="26">
        <f>'13'!C41</f>
        <v>410</v>
      </c>
      <c r="D41" s="26"/>
      <c r="E41" s="12"/>
      <c r="F41" s="2">
        <f>E41+'13'!F41</f>
        <v>10</v>
      </c>
      <c r="G41" s="2"/>
      <c r="H41" s="2">
        <f>G41+'13'!H41</f>
        <v>229</v>
      </c>
      <c r="I41" s="2"/>
      <c r="J41" s="2">
        <f>I41+'13'!J41</f>
        <v>120</v>
      </c>
      <c r="K41" s="2"/>
      <c r="L41" s="2">
        <f>K41+'13'!L41</f>
        <v>0</v>
      </c>
      <c r="M41" s="2"/>
      <c r="N41" s="2">
        <f>M41+'13'!N41</f>
        <v>0</v>
      </c>
      <c r="O41" s="2"/>
      <c r="P41" s="2">
        <f>O41+'13'!P41</f>
        <v>0</v>
      </c>
      <c r="Q41" s="4">
        <f t="shared" si="4"/>
        <v>0</v>
      </c>
      <c r="R41" s="4">
        <f>Q41+'13'!R41</f>
        <v>359</v>
      </c>
      <c r="S41" s="27">
        <f t="shared" si="5"/>
        <v>0.87560975609756098</v>
      </c>
      <c r="T41" s="12"/>
      <c r="U41" s="12">
        <f>T41+'13'!U41</f>
        <v>0</v>
      </c>
      <c r="V41" s="12"/>
      <c r="W41" s="12">
        <f>V41+'13'!W41</f>
        <v>0</v>
      </c>
      <c r="X41" s="12"/>
      <c r="Y41" s="12">
        <f>X41+'13'!Y41</f>
        <v>0</v>
      </c>
      <c r="AB41" s="5">
        <v>31</v>
      </c>
      <c r="AC41" s="26" t="str">
        <f>'13'!AC41</f>
        <v>عزبــة أبوالنصر</v>
      </c>
      <c r="AD41" s="28">
        <f>'13'!AI41</f>
        <v>4</v>
      </c>
      <c r="AE41" s="3"/>
      <c r="AF41" s="28">
        <f>AE41+'13'!AF41</f>
        <v>41</v>
      </c>
      <c r="AG41" s="4"/>
      <c r="AH41" s="28">
        <f>AG41+'13'!AH41</f>
        <v>37</v>
      </c>
      <c r="AI41" s="4">
        <f t="shared" si="6"/>
        <v>4</v>
      </c>
      <c r="AJ41" s="11" t="e">
        <f t="shared" si="0"/>
        <v>#DIV/0!</v>
      </c>
      <c r="AK41" s="53">
        <f t="shared" si="1"/>
        <v>9.7027027027027035</v>
      </c>
      <c r="AW41" s="26" t="str">
        <f>'13'!AW41</f>
        <v>عزبــة أبوالنصر</v>
      </c>
      <c r="AX41" s="12">
        <f>'13'!AX41</f>
        <v>2</v>
      </c>
      <c r="AY41" s="12">
        <f>'13'!AY41</f>
        <v>70</v>
      </c>
      <c r="AZ41" s="12"/>
      <c r="BA41" s="12"/>
      <c r="BB41" s="12">
        <f>BA41+'13'!BB41</f>
        <v>65</v>
      </c>
      <c r="BC41" s="30">
        <f t="shared" si="2"/>
        <v>0.9285714285714286</v>
      </c>
      <c r="BD41" s="12">
        <f>'13'!BD41</f>
        <v>3</v>
      </c>
      <c r="BE41" s="12">
        <f>'13'!BE41</f>
        <v>75</v>
      </c>
      <c r="BF41" s="12"/>
      <c r="BG41" s="12"/>
      <c r="BH41" s="12">
        <f>BG41+'13'!BH41</f>
        <v>36</v>
      </c>
      <c r="BI41" s="30">
        <f t="shared" si="3"/>
        <v>0.48</v>
      </c>
    </row>
    <row r="42" spans="1:61" ht="28.9" customHeight="1" x14ac:dyDescent="0.35">
      <c r="A42" s="5">
        <v>32</v>
      </c>
      <c r="B42" s="26" t="str">
        <f>'13'!B42</f>
        <v>شمنديــــــــــــــل</v>
      </c>
      <c r="C42" s="26">
        <f>'13'!C42</f>
        <v>880</v>
      </c>
      <c r="D42" s="26"/>
      <c r="E42" s="12"/>
      <c r="F42" s="2">
        <f>E42+'13'!F42</f>
        <v>7</v>
      </c>
      <c r="G42" s="2"/>
      <c r="H42" s="2">
        <f>G42+'13'!H42</f>
        <v>219</v>
      </c>
      <c r="I42" s="2"/>
      <c r="J42" s="2">
        <f>I42+'13'!J42</f>
        <v>421</v>
      </c>
      <c r="K42" s="2"/>
      <c r="L42" s="2">
        <f>K42+'13'!L42</f>
        <v>0</v>
      </c>
      <c r="M42" s="2"/>
      <c r="N42" s="2">
        <f>M42+'13'!N42</f>
        <v>0</v>
      </c>
      <c r="O42" s="2"/>
      <c r="P42" s="2">
        <f>O42+'13'!P42</f>
        <v>0</v>
      </c>
      <c r="Q42" s="4">
        <f t="shared" si="4"/>
        <v>0</v>
      </c>
      <c r="R42" s="4">
        <f>Q42+'13'!R42</f>
        <v>647</v>
      </c>
      <c r="S42" s="27">
        <f t="shared" si="5"/>
        <v>0.73522727272727273</v>
      </c>
      <c r="T42" s="12"/>
      <c r="U42" s="12">
        <f>T42+'13'!U42</f>
        <v>69</v>
      </c>
      <c r="V42" s="12"/>
      <c r="W42" s="12">
        <f>V42+'13'!W42</f>
        <v>11</v>
      </c>
      <c r="X42" s="12"/>
      <c r="Y42" s="12">
        <f>X42+'13'!Y42</f>
        <v>0</v>
      </c>
      <c r="AB42" s="5">
        <v>32</v>
      </c>
      <c r="AC42" s="26" t="str">
        <f>'13'!AC42</f>
        <v>شمنديــــــــــــــل</v>
      </c>
      <c r="AD42" s="28">
        <f>'13'!AI42</f>
        <v>9</v>
      </c>
      <c r="AE42" s="3"/>
      <c r="AF42" s="28">
        <f>AE42+'13'!AF42</f>
        <v>78</v>
      </c>
      <c r="AG42" s="4"/>
      <c r="AH42" s="28">
        <f>AG42+'13'!AH42</f>
        <v>69</v>
      </c>
      <c r="AI42" s="4">
        <f t="shared" si="6"/>
        <v>9</v>
      </c>
      <c r="AJ42" s="11" t="e">
        <f t="shared" si="0"/>
        <v>#DIV/0!</v>
      </c>
      <c r="AK42" s="53">
        <f t="shared" si="1"/>
        <v>9.3768115942028984</v>
      </c>
      <c r="AW42" s="26" t="str">
        <f>'13'!AW42</f>
        <v>شمنديــــــــــــــل</v>
      </c>
      <c r="AX42" s="12">
        <f>'13'!AX42</f>
        <v>2</v>
      </c>
      <c r="AY42" s="12">
        <f>'13'!AY42</f>
        <v>569</v>
      </c>
      <c r="AZ42" s="12"/>
      <c r="BA42" s="12"/>
      <c r="BB42" s="12">
        <f>BA42+'13'!BB42</f>
        <v>453</v>
      </c>
      <c r="BC42" s="30">
        <f t="shared" si="2"/>
        <v>0.79613356766256593</v>
      </c>
      <c r="BD42" s="12">
        <f>'13'!BD42</f>
        <v>1</v>
      </c>
      <c r="BE42" s="12">
        <f>'13'!BE42</f>
        <v>39</v>
      </c>
      <c r="BF42" s="12"/>
      <c r="BG42" s="12"/>
      <c r="BH42" s="12">
        <f>BG42+'13'!BH42</f>
        <v>82</v>
      </c>
      <c r="BI42" s="30">
        <f t="shared" si="3"/>
        <v>2.1025641025641026</v>
      </c>
    </row>
    <row r="43" spans="1:61" ht="28.9" customHeight="1" x14ac:dyDescent="0.35">
      <c r="A43" s="5">
        <v>33</v>
      </c>
      <c r="B43" s="26" t="str">
        <f>'13'!B43</f>
        <v>كفور الرمل</v>
      </c>
      <c r="C43" s="26">
        <f>'13'!C43</f>
        <v>1721</v>
      </c>
      <c r="D43" s="26"/>
      <c r="E43" s="12"/>
      <c r="F43" s="2">
        <f>E43+'13'!F43</f>
        <v>17</v>
      </c>
      <c r="G43" s="2"/>
      <c r="H43" s="2">
        <f>G43+'13'!H43</f>
        <v>505</v>
      </c>
      <c r="I43" s="2"/>
      <c r="J43" s="2">
        <f>I43+'13'!J43</f>
        <v>718</v>
      </c>
      <c r="K43" s="2"/>
      <c r="L43" s="2">
        <f>K43+'13'!L43</f>
        <v>0</v>
      </c>
      <c r="M43" s="2"/>
      <c r="N43" s="2">
        <f>M43+'13'!N43</f>
        <v>0</v>
      </c>
      <c r="O43" s="2"/>
      <c r="P43" s="2">
        <f>O43+'13'!P43</f>
        <v>0</v>
      </c>
      <c r="Q43" s="4">
        <f t="shared" si="4"/>
        <v>0</v>
      </c>
      <c r="R43" s="4">
        <f>Q43+'13'!R43</f>
        <v>1240</v>
      </c>
      <c r="S43" s="27">
        <f t="shared" si="5"/>
        <v>0.72051133062173156</v>
      </c>
      <c r="T43" s="12"/>
      <c r="U43" s="12">
        <f>T43+'13'!U43</f>
        <v>192</v>
      </c>
      <c r="V43" s="12"/>
      <c r="W43" s="12">
        <f>V43+'13'!W43</f>
        <v>100</v>
      </c>
      <c r="X43" s="12"/>
      <c r="Y43" s="12">
        <f>X43+'13'!Y43</f>
        <v>0</v>
      </c>
      <c r="AB43" s="5">
        <v>33</v>
      </c>
      <c r="AC43" s="26" t="str">
        <f>'13'!AC43</f>
        <v>كفور الرمل</v>
      </c>
      <c r="AD43" s="28">
        <f>'13'!AI43</f>
        <v>15</v>
      </c>
      <c r="AE43" s="3"/>
      <c r="AF43" s="28">
        <f>AE43+'13'!AF43</f>
        <v>150</v>
      </c>
      <c r="AG43" s="4"/>
      <c r="AH43" s="28">
        <f>AG43+'13'!AH43</f>
        <v>135</v>
      </c>
      <c r="AI43" s="4">
        <f t="shared" si="6"/>
        <v>15</v>
      </c>
      <c r="AJ43" s="11" t="e">
        <f t="shared" si="0"/>
        <v>#DIV/0!</v>
      </c>
      <c r="AK43" s="53">
        <f t="shared" si="1"/>
        <v>9.1851851851851851</v>
      </c>
      <c r="AW43" s="26" t="str">
        <f>'13'!AW43</f>
        <v>كفور الرمل</v>
      </c>
      <c r="AX43" s="12">
        <f>'13'!AX43</f>
        <v>4</v>
      </c>
      <c r="AY43" s="12">
        <f>'13'!AY43</f>
        <v>1335</v>
      </c>
      <c r="AZ43" s="12"/>
      <c r="BA43" s="12"/>
      <c r="BB43" s="12">
        <f>BA43+'13'!BB43</f>
        <v>918</v>
      </c>
      <c r="BC43" s="30">
        <f t="shared" si="2"/>
        <v>0.68764044943820224</v>
      </c>
      <c r="BD43" s="12">
        <f>'13'!BD43</f>
        <v>7</v>
      </c>
      <c r="BE43" s="12">
        <f>'13'!BE43</f>
        <v>753</v>
      </c>
      <c r="BF43" s="12"/>
      <c r="BG43" s="12"/>
      <c r="BH43" s="12">
        <f>BG43+'13'!BH43</f>
        <v>414</v>
      </c>
      <c r="BI43" s="30">
        <f t="shared" si="3"/>
        <v>0.54980079681274896</v>
      </c>
    </row>
    <row r="44" spans="1:61" ht="28.9" customHeight="1" x14ac:dyDescent="0.35">
      <c r="A44" s="5">
        <v>34</v>
      </c>
      <c r="B44" s="26" t="str">
        <f>'13'!B44</f>
        <v>منشأة أم خنان</v>
      </c>
      <c r="C44" s="26">
        <f>'13'!C44</f>
        <v>510</v>
      </c>
      <c r="D44" s="26"/>
      <c r="E44" s="12"/>
      <c r="F44" s="2">
        <f>E44+'13'!F44</f>
        <v>12</v>
      </c>
      <c r="G44" s="2"/>
      <c r="H44" s="2">
        <f>G44+'13'!H44</f>
        <v>194</v>
      </c>
      <c r="I44" s="2"/>
      <c r="J44" s="2">
        <f>I44+'13'!J44</f>
        <v>291</v>
      </c>
      <c r="K44" s="2"/>
      <c r="L44" s="2">
        <f>K44+'13'!L44</f>
        <v>0</v>
      </c>
      <c r="M44" s="2"/>
      <c r="N44" s="2">
        <f>M44+'13'!N44</f>
        <v>0</v>
      </c>
      <c r="O44" s="2"/>
      <c r="P44" s="2">
        <f>O44+'13'!P44</f>
        <v>0</v>
      </c>
      <c r="Q44" s="4">
        <f t="shared" si="4"/>
        <v>0</v>
      </c>
      <c r="R44" s="4">
        <f>Q44+'13'!R44</f>
        <v>497</v>
      </c>
      <c r="S44" s="27">
        <f t="shared" si="5"/>
        <v>0.97450980392156861</v>
      </c>
      <c r="T44" s="12"/>
      <c r="U44" s="12">
        <f>T44+'13'!U44</f>
        <v>11</v>
      </c>
      <c r="V44" s="12"/>
      <c r="W44" s="12">
        <f>V44+'13'!W44</f>
        <v>7</v>
      </c>
      <c r="X44" s="12"/>
      <c r="Y44" s="12">
        <f>X44+'13'!Y44</f>
        <v>0</v>
      </c>
      <c r="AB44" s="5">
        <v>34</v>
      </c>
      <c r="AC44" s="26" t="str">
        <f>'13'!AC44</f>
        <v>منشأة أم خنان</v>
      </c>
      <c r="AD44" s="28">
        <f>'13'!AI44</f>
        <v>4</v>
      </c>
      <c r="AE44" s="3"/>
      <c r="AF44" s="28">
        <f>AE44+'13'!AF44</f>
        <v>55</v>
      </c>
      <c r="AG44" s="4"/>
      <c r="AH44" s="28">
        <f>AG44+'13'!AH44</f>
        <v>51</v>
      </c>
      <c r="AI44" s="4">
        <f t="shared" si="6"/>
        <v>4</v>
      </c>
      <c r="AJ44" s="11" t="e">
        <f t="shared" si="0"/>
        <v>#DIV/0!</v>
      </c>
      <c r="AK44" s="53">
        <f t="shared" si="1"/>
        <v>9.7450980392156854</v>
      </c>
      <c r="AW44" s="26" t="str">
        <f>'13'!AW44</f>
        <v>منشأة أم خنان</v>
      </c>
      <c r="AX44" s="12">
        <f>'13'!AX44</f>
        <v>1</v>
      </c>
      <c r="AY44" s="12">
        <f>'13'!AY44</f>
        <v>277</v>
      </c>
      <c r="AZ44" s="12"/>
      <c r="BA44" s="12"/>
      <c r="BB44" s="12">
        <f>BA44+'13'!BB44</f>
        <v>269</v>
      </c>
      <c r="BC44" s="30">
        <f t="shared" si="2"/>
        <v>0.97111913357400725</v>
      </c>
      <c r="BD44" s="12">
        <f>'13'!BD44</f>
        <v>3</v>
      </c>
      <c r="BE44" s="12">
        <f>'13'!BE44</f>
        <v>170</v>
      </c>
      <c r="BF44" s="12"/>
      <c r="BG44" s="12"/>
      <c r="BH44" s="12">
        <f>BG44+'13'!BH44</f>
        <v>115</v>
      </c>
      <c r="BI44" s="30">
        <f t="shared" si="3"/>
        <v>0.67647058823529416</v>
      </c>
    </row>
    <row r="45" spans="1:61" ht="28.9" customHeight="1" x14ac:dyDescent="0.35">
      <c r="A45" s="5">
        <v>35</v>
      </c>
      <c r="B45" s="26">
        <f>'13'!B45</f>
        <v>0</v>
      </c>
      <c r="C45" s="26">
        <f>'13'!C45</f>
        <v>0</v>
      </c>
      <c r="D45" s="26"/>
      <c r="E45" s="12"/>
      <c r="F45" s="2">
        <f>E45+'13'!F45</f>
        <v>0</v>
      </c>
      <c r="G45" s="2"/>
      <c r="H45" s="2">
        <f>G45+'13'!H45</f>
        <v>0</v>
      </c>
      <c r="I45" s="2"/>
      <c r="J45" s="2">
        <f>I45+'13'!J45</f>
        <v>0</v>
      </c>
      <c r="K45" s="2"/>
      <c r="L45" s="2">
        <f>K45+'13'!L45</f>
        <v>0</v>
      </c>
      <c r="M45" s="2"/>
      <c r="N45" s="2">
        <f>M45+'13'!N45</f>
        <v>0</v>
      </c>
      <c r="O45" s="2"/>
      <c r="P45" s="2">
        <f>O45+'13'!P45</f>
        <v>0</v>
      </c>
      <c r="Q45" s="4">
        <f t="shared" si="4"/>
        <v>0</v>
      </c>
      <c r="R45" s="4">
        <f>Q45+'13'!R45</f>
        <v>0</v>
      </c>
      <c r="S45" s="27" t="e">
        <f t="shared" si="5"/>
        <v>#DIV/0!</v>
      </c>
      <c r="T45" s="12"/>
      <c r="U45" s="12">
        <f>T45+'13'!U45</f>
        <v>0</v>
      </c>
      <c r="V45" s="12"/>
      <c r="W45" s="12">
        <f>V45+'13'!W45</f>
        <v>0</v>
      </c>
      <c r="X45" s="12"/>
      <c r="Y45" s="12">
        <f>X45+'13'!Y45</f>
        <v>0</v>
      </c>
      <c r="AB45" s="5">
        <v>35</v>
      </c>
      <c r="AC45" s="26">
        <f>'13'!AC45</f>
        <v>0</v>
      </c>
      <c r="AD45" s="28">
        <f>'13'!AI45</f>
        <v>0</v>
      </c>
      <c r="AE45" s="3"/>
      <c r="AF45" s="28">
        <f>AE45+'13'!AF45</f>
        <v>0</v>
      </c>
      <c r="AG45" s="4"/>
      <c r="AH45" s="28">
        <f>AG45+'13'!AH45</f>
        <v>0</v>
      </c>
      <c r="AI45" s="4">
        <f t="shared" si="6"/>
        <v>0</v>
      </c>
      <c r="AJ45" s="11" t="e">
        <f t="shared" si="0"/>
        <v>#DIV/0!</v>
      </c>
      <c r="AK45" s="53" t="e">
        <f t="shared" si="1"/>
        <v>#DIV/0!</v>
      </c>
      <c r="AW45" s="26">
        <f>'13'!AW45</f>
        <v>0</v>
      </c>
      <c r="AX45" s="12">
        <f>'13'!AX45</f>
        <v>0</v>
      </c>
      <c r="AY45" s="12">
        <f>'13'!AY45</f>
        <v>0</v>
      </c>
      <c r="AZ45" s="12"/>
      <c r="BA45" s="12"/>
      <c r="BB45" s="12">
        <f>BA45+'13'!BB45</f>
        <v>0</v>
      </c>
      <c r="BC45" s="30" t="e">
        <f t="shared" si="2"/>
        <v>#DIV/0!</v>
      </c>
      <c r="BD45" s="12">
        <f>'13'!BD45</f>
        <v>0</v>
      </c>
      <c r="BE45" s="12">
        <f>'13'!BE45</f>
        <v>0</v>
      </c>
      <c r="BF45" s="12"/>
      <c r="BG45" s="12"/>
      <c r="BH45" s="12">
        <f>BG45+'13'!BH45</f>
        <v>0</v>
      </c>
      <c r="BI45" s="30" t="e">
        <f t="shared" si="3"/>
        <v>#DIV/0!</v>
      </c>
    </row>
    <row r="46" spans="1:61" ht="28.9" customHeight="1" x14ac:dyDescent="0.35">
      <c r="A46" s="5">
        <v>36</v>
      </c>
      <c r="B46" s="26">
        <f>'13'!B46</f>
        <v>0</v>
      </c>
      <c r="C46" s="26">
        <f>'13'!C46</f>
        <v>0</v>
      </c>
      <c r="D46" s="26"/>
      <c r="E46" s="12"/>
      <c r="F46" s="2">
        <f>E46+'13'!F46</f>
        <v>0</v>
      </c>
      <c r="G46" s="2"/>
      <c r="H46" s="2">
        <f>G46+'13'!H46</f>
        <v>0</v>
      </c>
      <c r="I46" s="2"/>
      <c r="J46" s="2">
        <f>I46+'13'!J46</f>
        <v>0</v>
      </c>
      <c r="K46" s="2"/>
      <c r="L46" s="2">
        <f>K46+'13'!L46</f>
        <v>0</v>
      </c>
      <c r="M46" s="2"/>
      <c r="N46" s="2">
        <f>M46+'13'!N46</f>
        <v>0</v>
      </c>
      <c r="O46" s="2"/>
      <c r="P46" s="2">
        <f>O46+'13'!P46</f>
        <v>0</v>
      </c>
      <c r="Q46" s="4">
        <f t="shared" si="4"/>
        <v>0</v>
      </c>
      <c r="R46" s="4">
        <f>Q46+'13'!R46</f>
        <v>0</v>
      </c>
      <c r="S46" s="27" t="e">
        <f t="shared" si="5"/>
        <v>#DIV/0!</v>
      </c>
      <c r="T46" s="12"/>
      <c r="U46" s="12">
        <f>T46+'13'!U46</f>
        <v>0</v>
      </c>
      <c r="V46" s="12"/>
      <c r="W46" s="12">
        <f>V46+'13'!W46</f>
        <v>0</v>
      </c>
      <c r="X46" s="12"/>
      <c r="Y46" s="12">
        <f>X46+'13'!Y46</f>
        <v>0</v>
      </c>
      <c r="AB46" s="5">
        <v>36</v>
      </c>
      <c r="AC46" s="26">
        <f>'13'!AC46</f>
        <v>0</v>
      </c>
      <c r="AD46" s="28">
        <f>'13'!AI46</f>
        <v>0</v>
      </c>
      <c r="AE46" s="3"/>
      <c r="AF46" s="28">
        <f>AE46+'13'!AF46</f>
        <v>0</v>
      </c>
      <c r="AG46" s="4"/>
      <c r="AH46" s="28">
        <f>AG46+'13'!AH46</f>
        <v>0</v>
      </c>
      <c r="AI46" s="4">
        <f t="shared" si="6"/>
        <v>0</v>
      </c>
      <c r="AJ46" s="11" t="e">
        <f t="shared" si="0"/>
        <v>#DIV/0!</v>
      </c>
      <c r="AK46" s="53" t="e">
        <f t="shared" si="1"/>
        <v>#DIV/0!</v>
      </c>
      <c r="AW46" s="26">
        <f>'13'!AW46</f>
        <v>0</v>
      </c>
      <c r="AX46" s="12">
        <f>'13'!AX46</f>
        <v>0</v>
      </c>
      <c r="AY46" s="12">
        <f>'13'!AY46</f>
        <v>0</v>
      </c>
      <c r="AZ46" s="12"/>
      <c r="BA46" s="12"/>
      <c r="BB46" s="12">
        <f>BA46+'13'!BB46</f>
        <v>0</v>
      </c>
      <c r="BC46" s="30" t="e">
        <f t="shared" si="2"/>
        <v>#DIV/0!</v>
      </c>
      <c r="BD46" s="12">
        <f>'13'!BD46</f>
        <v>0</v>
      </c>
      <c r="BE46" s="12">
        <f>'13'!BE46</f>
        <v>0</v>
      </c>
      <c r="BF46" s="12"/>
      <c r="BG46" s="12"/>
      <c r="BH46" s="12">
        <f>BG46+'13'!BH46</f>
        <v>0</v>
      </c>
      <c r="BI46" s="30" t="e">
        <f t="shared" si="3"/>
        <v>#DIV/0!</v>
      </c>
    </row>
    <row r="47" spans="1:61" ht="28.9" customHeight="1" x14ac:dyDescent="0.35">
      <c r="A47" s="5">
        <v>37</v>
      </c>
      <c r="B47" s="26">
        <f>'13'!B47</f>
        <v>0</v>
      </c>
      <c r="C47" s="26">
        <f>'13'!C47</f>
        <v>0</v>
      </c>
      <c r="D47" s="26"/>
      <c r="E47" s="12"/>
      <c r="F47" s="2">
        <f>E47+'13'!F47</f>
        <v>0</v>
      </c>
      <c r="G47" s="2"/>
      <c r="H47" s="2">
        <f>G47+'13'!H47</f>
        <v>0</v>
      </c>
      <c r="I47" s="2"/>
      <c r="J47" s="2">
        <f>I47+'13'!J47</f>
        <v>0</v>
      </c>
      <c r="K47" s="2"/>
      <c r="L47" s="2">
        <f>K47+'13'!L47</f>
        <v>0</v>
      </c>
      <c r="M47" s="2"/>
      <c r="N47" s="2">
        <f>M47+'13'!N47</f>
        <v>0</v>
      </c>
      <c r="O47" s="2"/>
      <c r="P47" s="2">
        <f>O47+'13'!P47</f>
        <v>0</v>
      </c>
      <c r="Q47" s="4">
        <f t="shared" si="4"/>
        <v>0</v>
      </c>
      <c r="R47" s="4">
        <f>Q47+'13'!R47</f>
        <v>0</v>
      </c>
      <c r="S47" s="27" t="e">
        <f t="shared" si="5"/>
        <v>#DIV/0!</v>
      </c>
      <c r="T47" s="12"/>
      <c r="U47" s="12">
        <f>T47+'13'!U47</f>
        <v>0</v>
      </c>
      <c r="V47" s="12"/>
      <c r="W47" s="12">
        <f>V47+'13'!W47</f>
        <v>0</v>
      </c>
      <c r="X47" s="12"/>
      <c r="Y47" s="12">
        <f>X47+'13'!Y47</f>
        <v>0</v>
      </c>
      <c r="AB47" s="5">
        <v>37</v>
      </c>
      <c r="AC47" s="26">
        <f>'13'!AC47</f>
        <v>0</v>
      </c>
      <c r="AD47" s="28">
        <f>'13'!AI47</f>
        <v>0</v>
      </c>
      <c r="AE47" s="3"/>
      <c r="AF47" s="28">
        <f>AE47+'13'!AF47</f>
        <v>0</v>
      </c>
      <c r="AG47" s="4"/>
      <c r="AH47" s="28">
        <f>AG47+'13'!AH47</f>
        <v>0</v>
      </c>
      <c r="AI47" s="4">
        <f t="shared" si="6"/>
        <v>0</v>
      </c>
      <c r="AJ47" s="11" t="e">
        <f t="shared" si="0"/>
        <v>#DIV/0!</v>
      </c>
      <c r="AK47" s="53" t="e">
        <f t="shared" si="1"/>
        <v>#DIV/0!</v>
      </c>
      <c r="AW47" s="26">
        <f>'13'!AW47</f>
        <v>0</v>
      </c>
      <c r="AX47" s="12">
        <f>'13'!AX47</f>
        <v>0</v>
      </c>
      <c r="AY47" s="12">
        <f>'13'!AY47</f>
        <v>0</v>
      </c>
      <c r="AZ47" s="12"/>
      <c r="BA47" s="12"/>
      <c r="BB47" s="12">
        <f>BA47+'13'!BB47</f>
        <v>0</v>
      </c>
      <c r="BC47" s="30" t="e">
        <f t="shared" si="2"/>
        <v>#DIV/0!</v>
      </c>
      <c r="BD47" s="12">
        <f>'13'!BD47</f>
        <v>0</v>
      </c>
      <c r="BE47" s="12">
        <f>'13'!BE47</f>
        <v>0</v>
      </c>
      <c r="BF47" s="12"/>
      <c r="BG47" s="12"/>
      <c r="BH47" s="12">
        <f>BG47+'13'!BH47</f>
        <v>0</v>
      </c>
      <c r="BI47" s="30" t="e">
        <f t="shared" si="3"/>
        <v>#DIV/0!</v>
      </c>
    </row>
    <row r="48" spans="1:61" ht="28.9" customHeight="1" x14ac:dyDescent="0.35">
      <c r="A48" s="5">
        <v>38</v>
      </c>
      <c r="B48" s="26">
        <f>'13'!B48</f>
        <v>0</v>
      </c>
      <c r="C48" s="26">
        <f>'13'!C48</f>
        <v>0</v>
      </c>
      <c r="D48" s="26"/>
      <c r="E48" s="12"/>
      <c r="F48" s="2">
        <f>E48+'13'!F48</f>
        <v>0</v>
      </c>
      <c r="G48" s="2"/>
      <c r="H48" s="2">
        <f>G48+'13'!H48</f>
        <v>0</v>
      </c>
      <c r="I48" s="2"/>
      <c r="J48" s="2">
        <f>I48+'13'!J48</f>
        <v>0</v>
      </c>
      <c r="K48" s="2"/>
      <c r="L48" s="2">
        <f>K48+'13'!L48</f>
        <v>0</v>
      </c>
      <c r="M48" s="2"/>
      <c r="N48" s="2">
        <f>M48+'13'!N48</f>
        <v>0</v>
      </c>
      <c r="O48" s="2"/>
      <c r="P48" s="2">
        <f>O48+'13'!P48</f>
        <v>0</v>
      </c>
      <c r="Q48" s="4">
        <f t="shared" si="4"/>
        <v>0</v>
      </c>
      <c r="R48" s="4">
        <f>Q48+'13'!R48</f>
        <v>0</v>
      </c>
      <c r="S48" s="27" t="e">
        <f t="shared" si="5"/>
        <v>#DIV/0!</v>
      </c>
      <c r="T48" s="12"/>
      <c r="U48" s="12">
        <f>T48+'13'!U48</f>
        <v>0</v>
      </c>
      <c r="V48" s="12"/>
      <c r="W48" s="12">
        <f>V48+'13'!W48</f>
        <v>0</v>
      </c>
      <c r="X48" s="12"/>
      <c r="Y48" s="12">
        <f>X48+'13'!Y48</f>
        <v>0</v>
      </c>
      <c r="AB48" s="5">
        <v>38</v>
      </c>
      <c r="AC48" s="26">
        <f>'13'!AC48</f>
        <v>0</v>
      </c>
      <c r="AD48" s="28">
        <f>'13'!AI48</f>
        <v>0</v>
      </c>
      <c r="AE48" s="3"/>
      <c r="AF48" s="28">
        <f>AE48+'13'!AF48</f>
        <v>0</v>
      </c>
      <c r="AG48" s="4"/>
      <c r="AH48" s="28">
        <f>AG48+'13'!AH48</f>
        <v>0</v>
      </c>
      <c r="AI48" s="4">
        <f t="shared" si="6"/>
        <v>0</v>
      </c>
      <c r="AJ48" s="11" t="e">
        <f t="shared" si="0"/>
        <v>#DIV/0!</v>
      </c>
      <c r="AK48" s="53" t="e">
        <f t="shared" si="1"/>
        <v>#DIV/0!</v>
      </c>
      <c r="AW48" s="26">
        <f>'13'!AW48</f>
        <v>0</v>
      </c>
      <c r="AX48" s="12">
        <f>'13'!AX48</f>
        <v>0</v>
      </c>
      <c r="AY48" s="12">
        <f>'13'!AY48</f>
        <v>0</v>
      </c>
      <c r="AZ48" s="12"/>
      <c r="BA48" s="12"/>
      <c r="BB48" s="12">
        <f>BA48+'13'!BB48</f>
        <v>0</v>
      </c>
      <c r="BC48" s="30" t="e">
        <f t="shared" si="2"/>
        <v>#DIV/0!</v>
      </c>
      <c r="BD48" s="12">
        <f>'13'!BD48</f>
        <v>0</v>
      </c>
      <c r="BE48" s="12">
        <f>'13'!BE48</f>
        <v>0</v>
      </c>
      <c r="BF48" s="12"/>
      <c r="BG48" s="12"/>
      <c r="BH48" s="12">
        <f>BG48+'13'!BH48</f>
        <v>0</v>
      </c>
      <c r="BI48" s="30" t="e">
        <f t="shared" si="3"/>
        <v>#DIV/0!</v>
      </c>
    </row>
    <row r="49" spans="1:61" ht="28.9" customHeight="1" x14ac:dyDescent="0.35">
      <c r="A49" s="5">
        <v>39</v>
      </c>
      <c r="B49" s="26">
        <f>'13'!B49</f>
        <v>0</v>
      </c>
      <c r="C49" s="26">
        <f>'13'!C49</f>
        <v>0</v>
      </c>
      <c r="D49" s="26"/>
      <c r="E49" s="12"/>
      <c r="F49" s="2">
        <f>E49+'13'!F49</f>
        <v>0</v>
      </c>
      <c r="G49" s="2"/>
      <c r="H49" s="2">
        <f>G49+'13'!H49</f>
        <v>0</v>
      </c>
      <c r="I49" s="2"/>
      <c r="J49" s="2">
        <f>I49+'13'!J49</f>
        <v>0</v>
      </c>
      <c r="K49" s="2"/>
      <c r="L49" s="2">
        <f>K49+'13'!L49</f>
        <v>0</v>
      </c>
      <c r="M49" s="2"/>
      <c r="N49" s="2">
        <f>M49+'13'!N49</f>
        <v>0</v>
      </c>
      <c r="O49" s="2"/>
      <c r="P49" s="2">
        <f>O49+'13'!P49</f>
        <v>0</v>
      </c>
      <c r="Q49" s="4">
        <f t="shared" si="4"/>
        <v>0</v>
      </c>
      <c r="R49" s="4">
        <f>Q49+'13'!R49</f>
        <v>0</v>
      </c>
      <c r="S49" s="27" t="e">
        <f t="shared" si="5"/>
        <v>#DIV/0!</v>
      </c>
      <c r="T49" s="12"/>
      <c r="U49" s="12">
        <f>T49+'13'!U49</f>
        <v>0</v>
      </c>
      <c r="V49" s="12"/>
      <c r="W49" s="12">
        <f>V49+'13'!W49</f>
        <v>0</v>
      </c>
      <c r="X49" s="12"/>
      <c r="Y49" s="12">
        <f>X49+'13'!Y49</f>
        <v>0</v>
      </c>
      <c r="AB49" s="5">
        <v>39</v>
      </c>
      <c r="AC49" s="26">
        <f>'13'!AC49</f>
        <v>0</v>
      </c>
      <c r="AD49" s="28">
        <f>'13'!AI49</f>
        <v>0</v>
      </c>
      <c r="AE49" s="3"/>
      <c r="AF49" s="28">
        <f>AE49+'13'!AF49</f>
        <v>0</v>
      </c>
      <c r="AG49" s="4"/>
      <c r="AH49" s="28">
        <f>AG49+'13'!AH49</f>
        <v>0</v>
      </c>
      <c r="AI49" s="4">
        <f t="shared" si="6"/>
        <v>0</v>
      </c>
      <c r="AJ49" s="11" t="e">
        <f t="shared" si="0"/>
        <v>#DIV/0!</v>
      </c>
      <c r="AK49" s="53" t="e">
        <f t="shared" si="1"/>
        <v>#DIV/0!</v>
      </c>
      <c r="AW49" s="26">
        <f>'13'!AW49</f>
        <v>0</v>
      </c>
      <c r="AX49" s="12">
        <f>'13'!AX49</f>
        <v>0</v>
      </c>
      <c r="AY49" s="12">
        <f>'13'!AY49</f>
        <v>0</v>
      </c>
      <c r="AZ49" s="12"/>
      <c r="BA49" s="12"/>
      <c r="BB49" s="12">
        <f>BA49+'13'!BB49</f>
        <v>0</v>
      </c>
      <c r="BC49" s="30" t="e">
        <f t="shared" si="2"/>
        <v>#DIV/0!</v>
      </c>
      <c r="BD49" s="12">
        <f>'13'!BD49</f>
        <v>0</v>
      </c>
      <c r="BE49" s="12">
        <f>'13'!BE49</f>
        <v>0</v>
      </c>
      <c r="BF49" s="12"/>
      <c r="BG49" s="12"/>
      <c r="BH49" s="12">
        <f>BG49+'13'!BH49</f>
        <v>0</v>
      </c>
      <c r="BI49" s="30" t="e">
        <f t="shared" si="3"/>
        <v>#DIV/0!</v>
      </c>
    </row>
    <row r="50" spans="1:61" ht="28.9" customHeight="1" x14ac:dyDescent="0.35">
      <c r="A50" s="5">
        <v>40</v>
      </c>
      <c r="B50" s="26">
        <f>'13'!B50</f>
        <v>0</v>
      </c>
      <c r="C50" s="26">
        <f>'13'!C50</f>
        <v>0</v>
      </c>
      <c r="D50" s="26"/>
      <c r="E50" s="12"/>
      <c r="F50" s="2">
        <f>E50+'13'!F50</f>
        <v>0</v>
      </c>
      <c r="G50" s="2"/>
      <c r="H50" s="2">
        <f>G50+'13'!H50</f>
        <v>0</v>
      </c>
      <c r="I50" s="2"/>
      <c r="J50" s="2">
        <f>I50+'13'!J50</f>
        <v>0</v>
      </c>
      <c r="K50" s="2"/>
      <c r="L50" s="2">
        <f>K50+'13'!L50</f>
        <v>0</v>
      </c>
      <c r="M50" s="2"/>
      <c r="N50" s="2">
        <f>M50+'13'!N50</f>
        <v>0</v>
      </c>
      <c r="O50" s="2"/>
      <c r="P50" s="2">
        <f>O50+'13'!P50</f>
        <v>0</v>
      </c>
      <c r="Q50" s="4">
        <f t="shared" si="4"/>
        <v>0</v>
      </c>
      <c r="R50" s="4">
        <f>Q50+'13'!R50</f>
        <v>0</v>
      </c>
      <c r="S50" s="27" t="e">
        <f t="shared" si="5"/>
        <v>#DIV/0!</v>
      </c>
      <c r="T50" s="12"/>
      <c r="U50" s="12">
        <f>T50+'13'!U50</f>
        <v>0</v>
      </c>
      <c r="V50" s="12"/>
      <c r="W50" s="12">
        <f>V50+'13'!W50</f>
        <v>0</v>
      </c>
      <c r="X50" s="12"/>
      <c r="Y50" s="12">
        <f>X50+'13'!Y50</f>
        <v>0</v>
      </c>
      <c r="AB50" s="5">
        <v>40</v>
      </c>
      <c r="AC50" s="26">
        <f>'13'!AC50</f>
        <v>0</v>
      </c>
      <c r="AD50" s="28">
        <f>'13'!AI50</f>
        <v>0</v>
      </c>
      <c r="AE50" s="3"/>
      <c r="AF50" s="28">
        <f>AE50+'13'!AF50</f>
        <v>0</v>
      </c>
      <c r="AG50" s="4"/>
      <c r="AH50" s="28">
        <f>AG50+'13'!AH50</f>
        <v>0</v>
      </c>
      <c r="AI50" s="4">
        <f t="shared" si="6"/>
        <v>0</v>
      </c>
      <c r="AJ50" s="11" t="e">
        <f t="shared" si="0"/>
        <v>#DIV/0!</v>
      </c>
      <c r="AK50" s="53" t="e">
        <f t="shared" si="1"/>
        <v>#DIV/0!</v>
      </c>
      <c r="AW50" s="26">
        <f>'13'!AW50</f>
        <v>0</v>
      </c>
      <c r="AX50" s="12">
        <f>'13'!AX50</f>
        <v>0</v>
      </c>
      <c r="AY50" s="12">
        <f>'13'!AY50</f>
        <v>0</v>
      </c>
      <c r="AZ50" s="12"/>
      <c r="BA50" s="12"/>
      <c r="BB50" s="12">
        <f>BA50+'13'!BB50</f>
        <v>0</v>
      </c>
      <c r="BC50" s="30" t="e">
        <f t="shared" si="2"/>
        <v>#DIV/0!</v>
      </c>
      <c r="BD50" s="12">
        <f>'13'!BD50</f>
        <v>0</v>
      </c>
      <c r="BE50" s="12">
        <f>'13'!BE50</f>
        <v>0</v>
      </c>
      <c r="BF50" s="12"/>
      <c r="BG50" s="12"/>
      <c r="BH50" s="12">
        <f>BG50+'13'!BH50</f>
        <v>0</v>
      </c>
      <c r="BI50" s="30" t="e">
        <f t="shared" si="3"/>
        <v>#DIV/0!</v>
      </c>
    </row>
    <row r="51" spans="1:61" ht="25.5" thickBot="1" x14ac:dyDescent="0.4">
      <c r="A51" s="321" t="s">
        <v>26</v>
      </c>
      <c r="B51" s="321"/>
      <c r="C51" s="35">
        <f>SUM(C11:C50)</f>
        <v>97446</v>
      </c>
      <c r="D51" s="35">
        <f>SUM(D11:D50)</f>
        <v>0</v>
      </c>
      <c r="E51" s="6">
        <f>SUM(E11:E50)</f>
        <v>0</v>
      </c>
      <c r="F51" s="6">
        <f>SUM(F11:F50)</f>
        <v>533</v>
      </c>
      <c r="G51" s="6">
        <f t="shared" ref="G51:R51" si="8">SUM(G11:G50)</f>
        <v>0</v>
      </c>
      <c r="H51" s="6">
        <f t="shared" si="8"/>
        <v>14954</v>
      </c>
      <c r="I51" s="6">
        <f t="shared" si="8"/>
        <v>0</v>
      </c>
      <c r="J51" s="6">
        <f t="shared" si="8"/>
        <v>37926</v>
      </c>
      <c r="K51" s="6">
        <f t="shared" si="8"/>
        <v>0</v>
      </c>
      <c r="L51" s="6">
        <f t="shared" si="8"/>
        <v>0</v>
      </c>
      <c r="M51" s="6">
        <f t="shared" si="8"/>
        <v>0</v>
      </c>
      <c r="N51" s="6">
        <f t="shared" si="8"/>
        <v>0</v>
      </c>
      <c r="O51" s="6">
        <f t="shared" si="8"/>
        <v>0</v>
      </c>
      <c r="P51" s="6">
        <f t="shared" si="8"/>
        <v>0</v>
      </c>
      <c r="Q51" s="6">
        <f t="shared" si="8"/>
        <v>0</v>
      </c>
      <c r="R51" s="6">
        <f t="shared" si="8"/>
        <v>53413</v>
      </c>
      <c r="S51" s="10">
        <f>R51/C51</f>
        <v>0.54812922028610722</v>
      </c>
      <c r="T51" s="23">
        <f t="shared" ref="T51:Y51" si="9">SUM(T11:T50)</f>
        <v>0</v>
      </c>
      <c r="U51" s="23">
        <f t="shared" si="9"/>
        <v>7532</v>
      </c>
      <c r="V51" s="23">
        <f t="shared" si="9"/>
        <v>0</v>
      </c>
      <c r="W51" s="23">
        <f t="shared" si="9"/>
        <v>1107</v>
      </c>
      <c r="X51" s="23">
        <f t="shared" si="9"/>
        <v>0</v>
      </c>
      <c r="Y51" s="23">
        <f t="shared" si="9"/>
        <v>2</v>
      </c>
      <c r="AB51" s="37" t="s">
        <v>29</v>
      </c>
      <c r="AC51" s="37"/>
      <c r="AD51" s="34">
        <f t="shared" ref="AD51:AI51" si="10">SUM(AD11:AD50)</f>
        <v>3133</v>
      </c>
      <c r="AE51" s="23">
        <f t="shared" si="10"/>
        <v>0</v>
      </c>
      <c r="AF51" s="14">
        <f t="shared" si="10"/>
        <v>8632</v>
      </c>
      <c r="AG51" s="14">
        <f t="shared" si="10"/>
        <v>0</v>
      </c>
      <c r="AH51" s="14">
        <f t="shared" si="10"/>
        <v>5499</v>
      </c>
      <c r="AI51" s="14">
        <f t="shared" si="10"/>
        <v>3133</v>
      </c>
      <c r="AJ51" s="11" t="e">
        <f t="shared" si="0"/>
        <v>#DIV/0!</v>
      </c>
      <c r="AK51" s="53">
        <f t="shared" si="1"/>
        <v>9.713220585561011</v>
      </c>
      <c r="AW51" s="33" t="s">
        <v>26</v>
      </c>
      <c r="AX51" s="13">
        <f>SUM(AX11:AX50)</f>
        <v>121</v>
      </c>
      <c r="AY51" s="13">
        <f>SUM(AY11:AY50)</f>
        <v>50910</v>
      </c>
      <c r="AZ51" s="13">
        <f>SUM(AZ11:AZ50)</f>
        <v>0</v>
      </c>
      <c r="BA51" s="13">
        <f>SUM(BA11:BA50)</f>
        <v>0</v>
      </c>
      <c r="BB51" s="13">
        <f>SUM(BB11:BB50)</f>
        <v>39924</v>
      </c>
      <c r="BC51" s="31">
        <f t="shared" si="2"/>
        <v>0.78420742486741313</v>
      </c>
      <c r="BD51" s="32">
        <f>SUM(BD11:BD50)</f>
        <v>241</v>
      </c>
      <c r="BE51" s="32">
        <f>SUM(BE11:BE50)</f>
        <v>14990</v>
      </c>
      <c r="BF51" s="32">
        <f>SUM(BF11:BF50)</f>
        <v>0</v>
      </c>
      <c r="BG51" s="32">
        <f>SUM(BG11:BG50)</f>
        <v>0</v>
      </c>
      <c r="BH51" s="32">
        <f>SUM(BH11:BH50)</f>
        <v>9274</v>
      </c>
      <c r="BI51" s="31">
        <f t="shared" si="3"/>
        <v>0.61867911941294196</v>
      </c>
    </row>
    <row r="52" spans="1:61" ht="17.5" x14ac:dyDescent="0.35">
      <c r="AB52" s="36"/>
      <c r="AC52" s="36"/>
      <c r="AD52" s="36"/>
      <c r="AE52" s="36"/>
      <c r="AF52" s="40"/>
      <c r="AG52" s="40"/>
      <c r="AH52" s="40"/>
      <c r="AI52" s="41"/>
      <c r="AJ52" s="15"/>
      <c r="AK52" s="15"/>
    </row>
    <row r="54" spans="1:61" ht="18.5" x14ac:dyDescent="0.45">
      <c r="G54" s="322" t="s">
        <v>36</v>
      </c>
      <c r="H54" s="322"/>
      <c r="I54" s="322"/>
      <c r="J54" s="322"/>
      <c r="K54" s="322"/>
      <c r="L54" s="322"/>
      <c r="M54" s="322"/>
      <c r="N54" s="322"/>
      <c r="O54" s="322"/>
      <c r="P54" s="322"/>
      <c r="Q54" s="322"/>
      <c r="R54" s="322"/>
      <c r="S54" s="322"/>
      <c r="AB54" s="313" t="s">
        <v>44</v>
      </c>
      <c r="AC54" s="313"/>
      <c r="AD54" s="313"/>
      <c r="AE54" s="313"/>
      <c r="AF54" s="313"/>
      <c r="AG54" s="313"/>
      <c r="AH54" s="313"/>
      <c r="AI54" s="313"/>
      <c r="AJ54" s="313"/>
      <c r="AK54" s="313"/>
      <c r="AL54" s="313"/>
      <c r="AM54" s="313"/>
      <c r="AN54" s="313"/>
    </row>
    <row r="55" spans="1:61" ht="18.5" x14ac:dyDescent="0.45">
      <c r="AX55" s="313" t="s">
        <v>44</v>
      </c>
      <c r="AY55" s="313"/>
      <c r="AZ55" s="313"/>
      <c r="BA55" s="313"/>
      <c r="BB55" s="313"/>
      <c r="BC55" s="313"/>
      <c r="BD55" s="313"/>
      <c r="BE55" s="313"/>
      <c r="BF55" s="313"/>
      <c r="BG55" s="313"/>
      <c r="BH55" s="313"/>
      <c r="BI55" s="313"/>
    </row>
    <row r="56" spans="1:61" ht="15.5" x14ac:dyDescent="0.35">
      <c r="AG56" s="38"/>
      <c r="AH56" s="38"/>
      <c r="AI56" s="38"/>
    </row>
  </sheetData>
  <mergeCells count="56">
    <mergeCell ref="A6:Y6"/>
    <mergeCell ref="AF6:AN6"/>
    <mergeCell ref="AY6:BI6"/>
    <mergeCell ref="A7:Y7"/>
    <mergeCell ref="A8:A10"/>
    <mergeCell ref="B8:B10"/>
    <mergeCell ref="C8:C10"/>
    <mergeCell ref="D8:D10"/>
    <mergeCell ref="E8:J8"/>
    <mergeCell ref="K8:P8"/>
    <mergeCell ref="Q8:R9"/>
    <mergeCell ref="S8:S10"/>
    <mergeCell ref="T8:U9"/>
    <mergeCell ref="V8:W9"/>
    <mergeCell ref="X8:Y9"/>
    <mergeCell ref="AB8:AB10"/>
    <mergeCell ref="AN8:AN9"/>
    <mergeCell ref="AO8:AO9"/>
    <mergeCell ref="AP8:AQ8"/>
    <mergeCell ref="AR8:AS8"/>
    <mergeCell ref="AC8:AC10"/>
    <mergeCell ref="AD8:AD10"/>
    <mergeCell ref="AE8:AF9"/>
    <mergeCell ref="AG8:AH9"/>
    <mergeCell ref="AI8:AI10"/>
    <mergeCell ref="AJ8:AJ10"/>
    <mergeCell ref="AW8:AW10"/>
    <mergeCell ref="AX8:BC8"/>
    <mergeCell ref="BD8:BI8"/>
    <mergeCell ref="E9:F9"/>
    <mergeCell ref="G9:H9"/>
    <mergeCell ref="I9:J9"/>
    <mergeCell ref="K9:L9"/>
    <mergeCell ref="M9:N9"/>
    <mergeCell ref="AK8:AK10"/>
    <mergeCell ref="AM8:AM13"/>
    <mergeCell ref="BF9:BF10"/>
    <mergeCell ref="BG9:BG10"/>
    <mergeCell ref="BH9:BH10"/>
    <mergeCell ref="O9:P9"/>
    <mergeCell ref="AX9:AX10"/>
    <mergeCell ref="AY9:AY10"/>
    <mergeCell ref="AZ9:AZ10"/>
    <mergeCell ref="BA9:BA10"/>
    <mergeCell ref="BB9:BB10"/>
    <mergeCell ref="AT8:AT9"/>
    <mergeCell ref="AX55:BI55"/>
    <mergeCell ref="BI9:BI10"/>
    <mergeCell ref="AM14:AN14"/>
    <mergeCell ref="AO14:AS14"/>
    <mergeCell ref="A51:B51"/>
    <mergeCell ref="G54:S54"/>
    <mergeCell ref="AB54:AN54"/>
    <mergeCell ref="BC9:BC10"/>
    <mergeCell ref="BD9:BD10"/>
    <mergeCell ref="BE9:BE10"/>
  </mergeCells>
  <pageMargins left="0.7" right="0.7" top="0.75" bottom="0.75" header="0.3" footer="0.3"/>
  <pageSetup paperSize="9" scale="17" orientation="landscape" r:id="rId1"/>
  <colBreaks count="2" manualBreakCount="2">
    <brk id="26" max="55" man="1"/>
    <brk id="47" max="55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0153A-FC72-4333-B163-C3E5B79F7C96}">
  <dimension ref="A1:BJ56"/>
  <sheetViews>
    <sheetView rightToLeft="1" view="pageBreakPreview" topLeftCell="AF1" zoomScale="55" zoomScaleNormal="29" zoomScalePageLayoutView="40" workbookViewId="0">
      <selection activeCell="AU1" sqref="AU1:AU65536"/>
    </sheetView>
  </sheetViews>
  <sheetFormatPr defaultRowHeight="14.5" x14ac:dyDescent="0.35"/>
  <cols>
    <col min="1" max="1" width="11.26953125" style="1" customWidth="1"/>
    <col min="2" max="4" width="18.7265625" style="1" customWidth="1"/>
    <col min="5" max="6" width="15.26953125" customWidth="1"/>
    <col min="7" max="7" width="18.453125" customWidth="1"/>
    <col min="8" max="8" width="16.81640625" customWidth="1"/>
    <col min="9" max="9" width="15.26953125" customWidth="1"/>
    <col min="10" max="10" width="15.54296875" customWidth="1"/>
    <col min="11" max="23" width="15.26953125" customWidth="1"/>
    <col min="24" max="25" width="12.54296875" customWidth="1"/>
    <col min="27" max="27" width="19.1796875" customWidth="1"/>
    <col min="28" max="30" width="15.26953125" customWidth="1"/>
    <col min="31" max="32" width="13.7265625" customWidth="1"/>
    <col min="33" max="33" width="14.1796875" customWidth="1"/>
    <col min="34" max="34" width="13" customWidth="1"/>
    <col min="35" max="35" width="18.26953125" customWidth="1"/>
    <col min="36" max="40" width="15" customWidth="1"/>
    <col min="41" max="41" width="16.7265625" customWidth="1"/>
    <col min="42" max="42" width="18" customWidth="1"/>
    <col min="43" max="46" width="15" customWidth="1"/>
    <col min="47" max="47" width="14" style="1" customWidth="1"/>
    <col min="49" max="49" width="15.1796875" customWidth="1"/>
    <col min="50" max="50" width="22.26953125" customWidth="1"/>
    <col min="51" max="51" width="16.26953125" customWidth="1"/>
    <col min="52" max="52" width="13.453125" customWidth="1"/>
    <col min="53" max="53" width="14" customWidth="1"/>
    <col min="54" max="54" width="11.7265625" customWidth="1"/>
    <col min="55" max="55" width="14.26953125" customWidth="1"/>
    <col min="56" max="56" width="17.7265625" customWidth="1"/>
    <col min="57" max="57" width="22.453125" customWidth="1"/>
    <col min="58" max="58" width="17.7265625" customWidth="1"/>
    <col min="59" max="59" width="11.7265625" customWidth="1"/>
    <col min="60" max="60" width="16.81640625" customWidth="1"/>
    <col min="61" max="61" width="12.81640625" customWidth="1"/>
    <col min="62" max="62" width="15.26953125" customWidth="1"/>
  </cols>
  <sheetData>
    <row r="1" spans="1:62" s="21" customFormat="1" ht="23.5" x14ac:dyDescent="0.55000000000000004">
      <c r="A1" s="22" t="s">
        <v>0</v>
      </c>
      <c r="B1" s="22"/>
      <c r="C1" s="22"/>
      <c r="D1" s="18"/>
      <c r="E1" s="18"/>
      <c r="F1" s="18"/>
      <c r="G1" s="18"/>
      <c r="H1" s="18"/>
      <c r="I1" s="18"/>
      <c r="J1" s="18"/>
      <c r="K1" s="18"/>
      <c r="L1" s="18"/>
      <c r="M1" s="18"/>
      <c r="N1" s="19"/>
      <c r="O1" s="19"/>
      <c r="P1" s="18"/>
      <c r="Q1" s="18"/>
      <c r="R1" s="18"/>
      <c r="S1" s="18"/>
      <c r="T1" s="18"/>
      <c r="U1" s="18"/>
      <c r="V1" s="18"/>
      <c r="W1" s="18"/>
      <c r="X1" s="18"/>
      <c r="Y1" s="18"/>
      <c r="AA1" s="29"/>
      <c r="AB1" s="22" t="s">
        <v>0</v>
      </c>
      <c r="AC1" s="22"/>
      <c r="AD1" s="29"/>
      <c r="AE1" s="29"/>
      <c r="AF1" s="29"/>
      <c r="AU1" s="54"/>
      <c r="AW1" s="22" t="s">
        <v>0</v>
      </c>
      <c r="AX1" s="22"/>
      <c r="AY1" s="22"/>
      <c r="AZ1" s="18"/>
      <c r="BA1" s="18"/>
      <c r="BB1" s="18"/>
      <c r="BC1" s="18"/>
      <c r="BD1" s="18"/>
      <c r="BE1" s="20"/>
      <c r="BF1" s="19"/>
      <c r="BI1" s="29"/>
      <c r="BJ1" s="29"/>
    </row>
    <row r="2" spans="1:62" s="21" customFormat="1" ht="23.5" x14ac:dyDescent="0.55000000000000004">
      <c r="A2" s="22" t="s">
        <v>21</v>
      </c>
      <c r="B2" s="22"/>
      <c r="C2" s="22"/>
      <c r="D2" s="18"/>
      <c r="E2" s="18"/>
      <c r="F2" s="18"/>
      <c r="G2" s="18"/>
      <c r="H2" s="18"/>
      <c r="I2" s="18"/>
      <c r="J2" s="18"/>
      <c r="K2" s="18"/>
      <c r="L2" s="18"/>
      <c r="M2" s="18"/>
      <c r="N2" s="19"/>
      <c r="O2" s="19"/>
      <c r="P2" s="18"/>
      <c r="Q2" s="18"/>
      <c r="R2" s="18"/>
      <c r="S2" s="18"/>
      <c r="T2" s="18"/>
      <c r="U2" s="18"/>
      <c r="V2" s="18"/>
      <c r="W2" s="18"/>
      <c r="X2" s="18"/>
      <c r="Y2" s="18"/>
      <c r="AA2" s="29"/>
      <c r="AB2" s="22" t="s">
        <v>21</v>
      </c>
      <c r="AC2" s="22"/>
      <c r="AD2" s="29"/>
      <c r="AE2" s="29"/>
      <c r="AF2" s="29"/>
      <c r="AU2" s="54"/>
      <c r="AW2" s="22" t="s">
        <v>21</v>
      </c>
      <c r="AX2" s="22"/>
      <c r="AY2" s="22"/>
      <c r="AZ2" s="18"/>
      <c r="BA2" s="18"/>
      <c r="BB2" s="18"/>
      <c r="BC2" s="18"/>
      <c r="BD2" s="18"/>
      <c r="BE2" s="20"/>
      <c r="BF2" s="19"/>
      <c r="BI2" s="29"/>
      <c r="BJ2" s="29"/>
    </row>
    <row r="3" spans="1:62" s="21" customFormat="1" ht="23.5" x14ac:dyDescent="0.55000000000000004">
      <c r="A3" s="22" t="s">
        <v>22</v>
      </c>
      <c r="B3" s="22"/>
      <c r="C3" s="22"/>
      <c r="D3" s="18"/>
      <c r="E3" s="18"/>
      <c r="F3" s="18"/>
      <c r="G3" s="18"/>
      <c r="H3" s="18"/>
      <c r="I3" s="18"/>
      <c r="J3" s="18"/>
      <c r="K3" s="18"/>
      <c r="L3" s="18"/>
      <c r="M3" s="18"/>
      <c r="N3" s="19"/>
      <c r="O3" s="19"/>
      <c r="P3" s="18"/>
      <c r="Q3" s="18"/>
      <c r="R3" s="18"/>
      <c r="S3" s="18"/>
      <c r="T3" s="18"/>
      <c r="U3" s="18"/>
      <c r="V3" s="18"/>
      <c r="W3" s="18"/>
      <c r="X3" s="18"/>
      <c r="Y3" s="18"/>
      <c r="AA3" s="29"/>
      <c r="AB3" s="22" t="s">
        <v>22</v>
      </c>
      <c r="AC3" s="22"/>
      <c r="AD3" s="29"/>
      <c r="AE3" s="29"/>
      <c r="AF3" s="29"/>
      <c r="AU3" s="54"/>
      <c r="AW3" s="22" t="s">
        <v>22</v>
      </c>
      <c r="AX3" s="22"/>
      <c r="AY3" s="22"/>
      <c r="AZ3" s="18"/>
      <c r="BA3" s="18"/>
      <c r="BB3" s="18"/>
      <c r="BC3" s="18"/>
      <c r="BD3" s="18"/>
      <c r="BE3" s="20"/>
      <c r="BF3" s="19"/>
      <c r="BI3" s="29"/>
      <c r="BJ3" s="29"/>
    </row>
    <row r="4" spans="1:62" s="21" customFormat="1" ht="23.5" x14ac:dyDescent="0.55000000000000004">
      <c r="A4" s="22" t="s">
        <v>23</v>
      </c>
      <c r="B4" s="22"/>
      <c r="C4" s="22"/>
      <c r="D4" s="19"/>
      <c r="E4" s="20"/>
      <c r="F4" s="20"/>
      <c r="G4" s="20"/>
      <c r="H4" s="20"/>
      <c r="I4" s="18"/>
      <c r="J4" s="18"/>
      <c r="K4" s="18"/>
      <c r="L4" s="18"/>
      <c r="M4" s="18"/>
      <c r="N4" s="19"/>
      <c r="O4" s="19"/>
      <c r="P4" s="18"/>
      <c r="Q4" s="18"/>
      <c r="R4" s="18"/>
      <c r="S4" s="18"/>
      <c r="T4" s="18"/>
      <c r="U4" s="18"/>
      <c r="V4" s="18"/>
      <c r="W4" s="18"/>
      <c r="X4" s="18"/>
      <c r="Y4" s="18"/>
      <c r="AB4" s="22" t="s">
        <v>23</v>
      </c>
      <c r="AC4" s="22"/>
      <c r="AU4" s="54"/>
      <c r="AW4" s="22" t="s">
        <v>23</v>
      </c>
      <c r="AX4" s="22"/>
      <c r="AY4" s="22"/>
      <c r="AZ4" s="19"/>
      <c r="BA4" s="18"/>
      <c r="BB4" s="18"/>
      <c r="BC4" s="18"/>
      <c r="BD4" s="18"/>
      <c r="BE4" s="20"/>
      <c r="BF4" s="19"/>
    </row>
    <row r="5" spans="1:62" s="21" customFormat="1" ht="23.5" x14ac:dyDescent="0.55000000000000004">
      <c r="A5" s="22" t="s">
        <v>1</v>
      </c>
      <c r="B5" s="22"/>
      <c r="C5" s="22"/>
      <c r="D5" s="19"/>
      <c r="E5" s="18"/>
      <c r="F5" s="18"/>
      <c r="G5" s="18"/>
      <c r="H5" s="18"/>
      <c r="I5" s="18"/>
      <c r="J5" s="18"/>
      <c r="K5" s="18"/>
      <c r="L5" s="18"/>
      <c r="M5" s="18"/>
      <c r="N5" s="19"/>
      <c r="O5" s="19"/>
      <c r="P5" s="18"/>
      <c r="Q5" s="18"/>
      <c r="R5" s="18"/>
      <c r="S5" s="18"/>
      <c r="T5" s="18"/>
      <c r="U5" s="18"/>
      <c r="V5" s="18"/>
      <c r="W5" s="18"/>
      <c r="X5" s="18"/>
      <c r="Y5" s="18"/>
      <c r="AB5" s="22" t="s">
        <v>1</v>
      </c>
      <c r="AC5" s="22"/>
      <c r="AU5" s="54"/>
      <c r="AW5" s="22" t="s">
        <v>1</v>
      </c>
      <c r="AX5" s="22"/>
      <c r="AY5" s="22"/>
      <c r="AZ5" s="19"/>
      <c r="BA5" s="18"/>
      <c r="BB5" s="18"/>
      <c r="BC5" s="18"/>
      <c r="BD5" s="18"/>
      <c r="BE5" s="20"/>
      <c r="BF5" s="19"/>
    </row>
    <row r="6" spans="1:62" ht="20" x14ac:dyDescent="0.4">
      <c r="A6" s="362" t="s">
        <v>18</v>
      </c>
      <c r="B6" s="362"/>
      <c r="C6" s="362"/>
      <c r="D6" s="362"/>
      <c r="E6" s="362"/>
      <c r="F6" s="362"/>
      <c r="G6" s="362"/>
      <c r="H6" s="362"/>
      <c r="I6" s="362"/>
      <c r="J6" s="362"/>
      <c r="K6" s="362"/>
      <c r="L6" s="362"/>
      <c r="M6" s="362"/>
      <c r="N6" s="362"/>
      <c r="O6" s="362"/>
      <c r="P6" s="362"/>
      <c r="Q6" s="362"/>
      <c r="R6" s="362"/>
      <c r="S6" s="362"/>
      <c r="T6" s="362"/>
      <c r="U6" s="362"/>
      <c r="V6" s="362"/>
      <c r="W6" s="362"/>
      <c r="X6" s="362"/>
      <c r="Y6" s="362"/>
      <c r="AF6" s="362" t="s">
        <v>16</v>
      </c>
      <c r="AG6" s="362"/>
      <c r="AH6" s="362"/>
      <c r="AI6" s="362"/>
      <c r="AJ6" s="362"/>
      <c r="AK6" s="362"/>
      <c r="AL6" s="362"/>
      <c r="AM6" s="362"/>
      <c r="AN6" s="362"/>
      <c r="AO6" s="24"/>
      <c r="AP6" s="24"/>
      <c r="AQ6" s="24"/>
      <c r="AR6" s="24"/>
      <c r="AS6" s="24"/>
      <c r="AT6" s="24"/>
      <c r="AY6" s="362" t="s">
        <v>30</v>
      </c>
      <c r="AZ6" s="362"/>
      <c r="BA6" s="362"/>
      <c r="BB6" s="362"/>
      <c r="BC6" s="362"/>
      <c r="BD6" s="362"/>
      <c r="BE6" s="362"/>
      <c r="BF6" s="362"/>
      <c r="BG6" s="362"/>
      <c r="BH6" s="362"/>
      <c r="BI6" s="362"/>
    </row>
    <row r="7" spans="1:62" ht="20.5" thickBot="1" x14ac:dyDescent="0.45">
      <c r="A7" s="363" t="s">
        <v>27</v>
      </c>
      <c r="B7" s="364"/>
      <c r="C7" s="364"/>
      <c r="D7" s="364"/>
      <c r="E7" s="363"/>
      <c r="F7" s="363"/>
      <c r="G7" s="363"/>
      <c r="H7" s="363"/>
      <c r="I7" s="363"/>
      <c r="J7" s="363"/>
      <c r="K7" s="363"/>
      <c r="L7" s="363"/>
      <c r="M7" s="363"/>
      <c r="N7" s="363"/>
      <c r="O7" s="363"/>
      <c r="P7" s="363"/>
      <c r="Q7" s="363"/>
      <c r="R7" s="363"/>
      <c r="S7" s="363"/>
      <c r="T7" s="364"/>
      <c r="U7" s="364"/>
      <c r="V7" s="364"/>
      <c r="W7" s="364"/>
      <c r="X7" s="364"/>
      <c r="Y7" s="364"/>
      <c r="AJ7" s="25" t="s">
        <v>31</v>
      </c>
      <c r="AK7" s="25"/>
      <c r="AL7" s="25"/>
      <c r="AN7" s="25"/>
      <c r="AO7" s="25"/>
      <c r="AP7" s="25"/>
      <c r="AQ7" s="25"/>
      <c r="AS7" s="25"/>
      <c r="AT7" s="25"/>
      <c r="BC7" s="25" t="s">
        <v>31</v>
      </c>
      <c r="BD7" s="25"/>
      <c r="BF7" s="25"/>
      <c r="BG7" s="25"/>
      <c r="BH7" s="25"/>
      <c r="BI7" s="25"/>
      <c r="BJ7" s="25"/>
    </row>
    <row r="8" spans="1:62" ht="41.5" customHeight="1" x14ac:dyDescent="0.35">
      <c r="A8" s="326" t="s">
        <v>24</v>
      </c>
      <c r="B8" s="365" t="s">
        <v>25</v>
      </c>
      <c r="C8" s="366" t="s">
        <v>11</v>
      </c>
      <c r="D8" s="366" t="s">
        <v>15</v>
      </c>
      <c r="E8" s="330" t="s">
        <v>5</v>
      </c>
      <c r="F8" s="330"/>
      <c r="G8" s="330"/>
      <c r="H8" s="330"/>
      <c r="I8" s="330"/>
      <c r="J8" s="330"/>
      <c r="K8" s="330" t="s">
        <v>7</v>
      </c>
      <c r="L8" s="330"/>
      <c r="M8" s="330"/>
      <c r="N8" s="330"/>
      <c r="O8" s="330"/>
      <c r="P8" s="330"/>
      <c r="Q8" s="356" t="s">
        <v>2</v>
      </c>
      <c r="R8" s="350"/>
      <c r="S8" s="358" t="s">
        <v>12</v>
      </c>
      <c r="T8" s="323" t="s">
        <v>8</v>
      </c>
      <c r="U8" s="323"/>
      <c r="V8" s="323" t="s">
        <v>9</v>
      </c>
      <c r="W8" s="323"/>
      <c r="X8" s="323" t="s">
        <v>20</v>
      </c>
      <c r="Y8" s="323"/>
      <c r="AB8" s="326" t="s">
        <v>24</v>
      </c>
      <c r="AC8" s="342" t="s">
        <v>28</v>
      </c>
      <c r="AD8" s="342" t="s">
        <v>14</v>
      </c>
      <c r="AE8" s="345" t="s">
        <v>45</v>
      </c>
      <c r="AF8" s="346"/>
      <c r="AG8" s="349" t="s">
        <v>10</v>
      </c>
      <c r="AH8" s="350"/>
      <c r="AI8" s="353" t="s">
        <v>46</v>
      </c>
      <c r="AJ8" s="336" t="s">
        <v>51</v>
      </c>
      <c r="AK8" s="336" t="s">
        <v>47</v>
      </c>
      <c r="AM8" s="339" t="s">
        <v>41</v>
      </c>
      <c r="AN8" s="341" t="s">
        <v>38</v>
      </c>
      <c r="AO8" s="341" t="s">
        <v>14</v>
      </c>
      <c r="AP8" s="341" t="s">
        <v>39</v>
      </c>
      <c r="AQ8" s="341"/>
      <c r="AR8" s="341" t="s">
        <v>50</v>
      </c>
      <c r="AS8" s="341"/>
      <c r="AT8" s="324" t="s">
        <v>40</v>
      </c>
      <c r="AU8" s="55"/>
      <c r="AW8" s="326" t="s">
        <v>28</v>
      </c>
      <c r="AX8" s="329" t="s">
        <v>48</v>
      </c>
      <c r="AY8" s="330"/>
      <c r="AZ8" s="330"/>
      <c r="BA8" s="330"/>
      <c r="BB8" s="330"/>
      <c r="BC8" s="331"/>
      <c r="BD8" s="332" t="s">
        <v>49</v>
      </c>
      <c r="BE8" s="330"/>
      <c r="BF8" s="330"/>
      <c r="BG8" s="330"/>
      <c r="BH8" s="330"/>
      <c r="BI8" s="331"/>
    </row>
    <row r="9" spans="1:62" ht="19.149999999999999" customHeight="1" x14ac:dyDescent="0.35">
      <c r="A9" s="327"/>
      <c r="B9" s="365"/>
      <c r="C9" s="366"/>
      <c r="D9" s="366"/>
      <c r="E9" s="333" t="s">
        <v>6</v>
      </c>
      <c r="F9" s="334"/>
      <c r="G9" s="335" t="s">
        <v>13</v>
      </c>
      <c r="H9" s="334"/>
      <c r="I9" s="323" t="s">
        <v>19</v>
      </c>
      <c r="J9" s="323"/>
      <c r="K9" s="333" t="s">
        <v>6</v>
      </c>
      <c r="L9" s="334"/>
      <c r="M9" s="335" t="s">
        <v>13</v>
      </c>
      <c r="N9" s="334"/>
      <c r="O9" s="323" t="s">
        <v>19</v>
      </c>
      <c r="P9" s="323"/>
      <c r="Q9" s="357"/>
      <c r="R9" s="352"/>
      <c r="S9" s="359"/>
      <c r="T9" s="323"/>
      <c r="U9" s="323"/>
      <c r="V9" s="323"/>
      <c r="W9" s="323"/>
      <c r="X9" s="323"/>
      <c r="Y9" s="323"/>
      <c r="AB9" s="327"/>
      <c r="AC9" s="343"/>
      <c r="AD9" s="343"/>
      <c r="AE9" s="347"/>
      <c r="AF9" s="348"/>
      <c r="AG9" s="351"/>
      <c r="AH9" s="352"/>
      <c r="AI9" s="354"/>
      <c r="AJ9" s="337"/>
      <c r="AK9" s="337"/>
      <c r="AM9" s="340"/>
      <c r="AN9" s="323"/>
      <c r="AO9" s="323"/>
      <c r="AP9" s="8" t="s">
        <v>3</v>
      </c>
      <c r="AQ9" s="8" t="s">
        <v>4</v>
      </c>
      <c r="AR9" s="43" t="s">
        <v>3</v>
      </c>
      <c r="AS9" s="43" t="s">
        <v>4</v>
      </c>
      <c r="AT9" s="325"/>
      <c r="AU9" s="55"/>
      <c r="AW9" s="327"/>
      <c r="AX9" s="314" t="s">
        <v>17</v>
      </c>
      <c r="AY9" s="314" t="s">
        <v>11</v>
      </c>
      <c r="AZ9" s="314" t="s">
        <v>32</v>
      </c>
      <c r="BA9" s="314" t="s">
        <v>37</v>
      </c>
      <c r="BB9" s="314" t="s">
        <v>34</v>
      </c>
      <c r="BC9" s="314" t="s">
        <v>12</v>
      </c>
      <c r="BD9" s="314" t="s">
        <v>33</v>
      </c>
      <c r="BE9" s="314" t="s">
        <v>11</v>
      </c>
      <c r="BF9" s="314" t="s">
        <v>35</v>
      </c>
      <c r="BG9" s="314" t="s">
        <v>37</v>
      </c>
      <c r="BH9" s="314" t="s">
        <v>34</v>
      </c>
      <c r="BI9" s="314" t="s">
        <v>12</v>
      </c>
    </row>
    <row r="10" spans="1:62" ht="53.5" customHeight="1" thickBot="1" x14ac:dyDescent="0.4">
      <c r="A10" s="328"/>
      <c r="B10" s="365"/>
      <c r="C10" s="366"/>
      <c r="D10" s="366"/>
      <c r="E10" s="7" t="s">
        <v>3</v>
      </c>
      <c r="F10" s="8" t="s">
        <v>4</v>
      </c>
      <c r="G10" s="7" t="s">
        <v>3</v>
      </c>
      <c r="H10" s="8" t="s">
        <v>4</v>
      </c>
      <c r="I10" s="8" t="s">
        <v>3</v>
      </c>
      <c r="J10" s="8" t="s">
        <v>4</v>
      </c>
      <c r="K10" s="7" t="s">
        <v>3</v>
      </c>
      <c r="L10" s="8" t="s">
        <v>4</v>
      </c>
      <c r="M10" s="7" t="s">
        <v>3</v>
      </c>
      <c r="N10" s="8" t="s">
        <v>4</v>
      </c>
      <c r="O10" s="8" t="s">
        <v>3</v>
      </c>
      <c r="P10" s="8" t="s">
        <v>4</v>
      </c>
      <c r="Q10" s="9" t="s">
        <v>3</v>
      </c>
      <c r="R10" s="9" t="s">
        <v>4</v>
      </c>
      <c r="S10" s="360"/>
      <c r="T10" s="8" t="s">
        <v>3</v>
      </c>
      <c r="U10" s="8" t="s">
        <v>4</v>
      </c>
      <c r="V10" s="8" t="s">
        <v>3</v>
      </c>
      <c r="W10" s="8" t="s">
        <v>4</v>
      </c>
      <c r="X10" s="8" t="s">
        <v>3</v>
      </c>
      <c r="Y10" s="8" t="s">
        <v>4</v>
      </c>
      <c r="AB10" s="361"/>
      <c r="AC10" s="344"/>
      <c r="AD10" s="344"/>
      <c r="AE10" s="49" t="s">
        <v>3</v>
      </c>
      <c r="AF10" s="50" t="s">
        <v>4</v>
      </c>
      <c r="AG10" s="51" t="s">
        <v>3</v>
      </c>
      <c r="AH10" s="52" t="s">
        <v>4</v>
      </c>
      <c r="AI10" s="355"/>
      <c r="AJ10" s="338"/>
      <c r="AK10" s="338"/>
      <c r="AM10" s="340"/>
      <c r="AN10" s="42" t="str">
        <f>'14'!AN10</f>
        <v>0124W120</v>
      </c>
      <c r="AO10" s="42">
        <f>'14'!AT10</f>
        <v>48</v>
      </c>
      <c r="AP10" s="42"/>
      <c r="AQ10" s="17">
        <f>AP10+'14'!AQ10</f>
        <v>73</v>
      </c>
      <c r="AR10" s="17"/>
      <c r="AS10" s="17">
        <f>AR10+'14'!AS10</f>
        <v>25</v>
      </c>
      <c r="AT10" s="44">
        <f>AO10+AP10-AR10</f>
        <v>48</v>
      </c>
      <c r="AU10" s="56"/>
      <c r="AW10" s="328"/>
      <c r="AX10" s="315"/>
      <c r="AY10" s="315"/>
      <c r="AZ10" s="315"/>
      <c r="BA10" s="315"/>
      <c r="BB10" s="315"/>
      <c r="BC10" s="315"/>
      <c r="BD10" s="315"/>
      <c r="BE10" s="315"/>
      <c r="BF10" s="315"/>
      <c r="BG10" s="315"/>
      <c r="BH10" s="315"/>
      <c r="BI10" s="315"/>
    </row>
    <row r="11" spans="1:62" ht="41.5" customHeight="1" x14ac:dyDescent="0.35">
      <c r="A11" s="5">
        <v>1</v>
      </c>
      <c r="B11" s="26" t="str">
        <f>'14'!B11</f>
        <v>مكتب الصحة</v>
      </c>
      <c r="C11" s="26">
        <f>'14'!C11</f>
        <v>12251</v>
      </c>
      <c r="D11" s="26"/>
      <c r="E11" s="12"/>
      <c r="F11" s="2">
        <f>E11+'14'!F11</f>
        <v>39</v>
      </c>
      <c r="G11" s="2"/>
      <c r="H11" s="2">
        <f>G11+'14'!H11</f>
        <v>1961</v>
      </c>
      <c r="I11" s="2"/>
      <c r="J11" s="2">
        <f>I11+'14'!J11</f>
        <v>5340</v>
      </c>
      <c r="K11" s="2"/>
      <c r="L11" s="2">
        <f>K11+'14'!L11</f>
        <v>0</v>
      </c>
      <c r="M11" s="2"/>
      <c r="N11" s="2">
        <f>M11+'14'!N11</f>
        <v>0</v>
      </c>
      <c r="O11" s="2"/>
      <c r="P11" s="2">
        <f>O11+'14'!P11</f>
        <v>0</v>
      </c>
      <c r="Q11" s="4">
        <f>O11+M11+K11+I11+G11+E11</f>
        <v>0</v>
      </c>
      <c r="R11" s="4">
        <f>Q11+'14'!R11</f>
        <v>7340</v>
      </c>
      <c r="S11" s="27">
        <f>R11/C11</f>
        <v>0.5991347645090197</v>
      </c>
      <c r="T11" s="12"/>
      <c r="U11" s="12">
        <f>T11+'14'!U11</f>
        <v>1397</v>
      </c>
      <c r="V11" s="12"/>
      <c r="W11" s="12">
        <f>V11+'14'!W11</f>
        <v>4</v>
      </c>
      <c r="X11" s="12"/>
      <c r="Y11" s="12">
        <f>X11+'14'!Y11</f>
        <v>1</v>
      </c>
      <c r="AB11" s="48">
        <v>1</v>
      </c>
      <c r="AC11" s="26" t="str">
        <f>'14'!AC11</f>
        <v>مكتب الصحة</v>
      </c>
      <c r="AD11" s="28">
        <f>'14'!AI11</f>
        <v>333</v>
      </c>
      <c r="AE11" s="3"/>
      <c r="AF11" s="28">
        <f>AE11+'14'!AF11</f>
        <v>1082</v>
      </c>
      <c r="AG11" s="4"/>
      <c r="AH11" s="28">
        <f>AG11+'14'!AH11</f>
        <v>749</v>
      </c>
      <c r="AI11" s="4">
        <f>AD11+AE11-AG11</f>
        <v>333</v>
      </c>
      <c r="AJ11" s="11" t="e">
        <f t="shared" ref="AJ11:AJ51" si="0">Q11/AG11</f>
        <v>#DIV/0!</v>
      </c>
      <c r="AK11" s="53">
        <f t="shared" ref="AK11:AK51" si="1">R11/AH11</f>
        <v>9.799732977303071</v>
      </c>
      <c r="AM11" s="340"/>
      <c r="AN11" s="42" t="str">
        <f>'14'!AN11</f>
        <v>420604325A</v>
      </c>
      <c r="AO11" s="42">
        <f>'14'!AT11</f>
        <v>3076</v>
      </c>
      <c r="AP11" s="16"/>
      <c r="AQ11" s="17">
        <f>AP11+'14'!AQ11</f>
        <v>8550</v>
      </c>
      <c r="AR11" s="16"/>
      <c r="AS11" s="17">
        <f>AR11+'14'!AS11</f>
        <v>5474</v>
      </c>
      <c r="AT11" s="44">
        <f>AO11+AP11-AR11</f>
        <v>3076</v>
      </c>
      <c r="AU11" s="56"/>
      <c r="AW11" s="26" t="str">
        <f>'14'!AW11</f>
        <v>مكتب الصحة</v>
      </c>
      <c r="AX11" s="12">
        <f>'14'!AX11</f>
        <v>11</v>
      </c>
      <c r="AY11" s="12">
        <f>'14'!AY11</f>
        <v>8411</v>
      </c>
      <c r="AZ11" s="12"/>
      <c r="BA11" s="12"/>
      <c r="BB11" s="12">
        <f>BA11+'14'!BB11</f>
        <v>5998</v>
      </c>
      <c r="BC11" s="30">
        <f t="shared" ref="BC11:BC51" si="2">BB11/AY11</f>
        <v>0.71311377957436695</v>
      </c>
      <c r="BD11" s="12">
        <f>'14'!BD11</f>
        <v>27</v>
      </c>
      <c r="BE11" s="12">
        <f>'14'!BE11</f>
        <v>1746</v>
      </c>
      <c r="BF11" s="12"/>
      <c r="BG11" s="12"/>
      <c r="BH11" s="12">
        <f>BG11+'14'!BH11</f>
        <v>477</v>
      </c>
      <c r="BI11" s="30">
        <f t="shared" ref="BI11:BI51" si="3">BH11/BE11</f>
        <v>0.27319587628865977</v>
      </c>
    </row>
    <row r="12" spans="1:62" ht="41.5" customHeight="1" x14ac:dyDescent="0.35">
      <c r="A12" s="5">
        <v>2</v>
      </c>
      <c r="B12" s="26" t="str">
        <f>'14'!B12</f>
        <v>شبرابخـــــــــــوم</v>
      </c>
      <c r="C12" s="26">
        <f>'14'!C12</f>
        <v>4445</v>
      </c>
      <c r="D12" s="26"/>
      <c r="E12" s="12"/>
      <c r="F12" s="2">
        <f>E12+'14'!F12</f>
        <v>14</v>
      </c>
      <c r="G12" s="2"/>
      <c r="H12" s="2">
        <f>G12+'14'!H12</f>
        <v>392</v>
      </c>
      <c r="I12" s="2"/>
      <c r="J12" s="2">
        <f>I12+'14'!J12</f>
        <v>1857</v>
      </c>
      <c r="K12" s="2"/>
      <c r="L12" s="2">
        <f>K12+'14'!L12</f>
        <v>0</v>
      </c>
      <c r="M12" s="2"/>
      <c r="N12" s="2">
        <f>M12+'14'!N12</f>
        <v>0</v>
      </c>
      <c r="O12" s="2"/>
      <c r="P12" s="2">
        <f>O12+'14'!P12</f>
        <v>0</v>
      </c>
      <c r="Q12" s="4">
        <f t="shared" ref="Q12:Q50" si="4">O12+M12+K12+I12+G12+E12</f>
        <v>0</v>
      </c>
      <c r="R12" s="4">
        <f>Q12+'14'!R12</f>
        <v>2263</v>
      </c>
      <c r="S12" s="27">
        <f t="shared" ref="S12:S50" si="5">R12/C12</f>
        <v>0.50911136107986499</v>
      </c>
      <c r="T12" s="12"/>
      <c r="U12" s="12">
        <f>T12+'14'!U12</f>
        <v>373</v>
      </c>
      <c r="V12" s="12"/>
      <c r="W12" s="12">
        <f>V12+'14'!W12</f>
        <v>15</v>
      </c>
      <c r="X12" s="12"/>
      <c r="Y12" s="12">
        <f>X12+'14'!Y12</f>
        <v>0</v>
      </c>
      <c r="AB12" s="5">
        <v>2</v>
      </c>
      <c r="AC12" s="26" t="str">
        <f>'14'!AC12</f>
        <v>شبرابخـــــــــــوم</v>
      </c>
      <c r="AD12" s="28">
        <f>'14'!AI12</f>
        <v>158</v>
      </c>
      <c r="AE12" s="3"/>
      <c r="AF12" s="28">
        <f>AE12+'14'!AF12</f>
        <v>390</v>
      </c>
      <c r="AG12" s="4"/>
      <c r="AH12" s="28">
        <f>AG12+'14'!AH12</f>
        <v>232</v>
      </c>
      <c r="AI12" s="4">
        <f>AD12+AE12-AG12</f>
        <v>158</v>
      </c>
      <c r="AJ12" s="11" t="e">
        <f t="shared" si="0"/>
        <v>#DIV/0!</v>
      </c>
      <c r="AK12" s="53">
        <f t="shared" si="1"/>
        <v>9.7543103448275854</v>
      </c>
      <c r="AM12" s="340"/>
      <c r="AN12" s="42" t="str">
        <f>'14'!AN12</f>
        <v>420604225A</v>
      </c>
      <c r="AO12" s="42">
        <f>'14'!AT12</f>
        <v>100</v>
      </c>
      <c r="AP12" s="16"/>
      <c r="AQ12" s="17">
        <f>AP12+'14'!AQ12</f>
        <v>100</v>
      </c>
      <c r="AR12" s="16"/>
      <c r="AS12" s="17">
        <f>AR12+'14'!AS12</f>
        <v>0</v>
      </c>
      <c r="AT12" s="44">
        <f>AO12+AP12-AR12</f>
        <v>100</v>
      </c>
      <c r="AU12" s="56"/>
      <c r="AW12" s="26" t="str">
        <f>'14'!AW12</f>
        <v>شبرابخـــــــــــوم</v>
      </c>
      <c r="AX12" s="12">
        <f>'14'!AX12</f>
        <v>6</v>
      </c>
      <c r="AY12" s="12">
        <f>'14'!AY12</f>
        <v>2215</v>
      </c>
      <c r="AZ12" s="12"/>
      <c r="BA12" s="12"/>
      <c r="BB12" s="12">
        <f>BA12+'14'!BB12</f>
        <v>2306</v>
      </c>
      <c r="BC12" s="30">
        <f t="shared" si="2"/>
        <v>1.0410835214446952</v>
      </c>
      <c r="BD12" s="12">
        <f>'14'!BD12</f>
        <v>16</v>
      </c>
      <c r="BE12" s="12">
        <f>'14'!BE12</f>
        <v>729</v>
      </c>
      <c r="BF12" s="12"/>
      <c r="BG12" s="12"/>
      <c r="BH12" s="12">
        <f>BG12+'14'!BH12</f>
        <v>224</v>
      </c>
      <c r="BI12" s="30">
        <f t="shared" si="3"/>
        <v>0.30727023319615915</v>
      </c>
    </row>
    <row r="13" spans="1:62" ht="41.5" customHeight="1" x14ac:dyDescent="0.35">
      <c r="A13" s="5">
        <v>3</v>
      </c>
      <c r="B13" s="26" t="str">
        <f>'14'!B13</f>
        <v>ميت بره</v>
      </c>
      <c r="C13" s="26">
        <f>'14'!C13</f>
        <v>11614</v>
      </c>
      <c r="D13" s="26"/>
      <c r="E13" s="12"/>
      <c r="F13" s="2">
        <f>E13+'14'!F13</f>
        <v>45</v>
      </c>
      <c r="G13" s="2"/>
      <c r="H13" s="2">
        <f>G13+'14'!H13</f>
        <v>465</v>
      </c>
      <c r="I13" s="2"/>
      <c r="J13" s="2">
        <f>I13+'14'!J13</f>
        <v>3703</v>
      </c>
      <c r="K13" s="2"/>
      <c r="L13" s="2">
        <f>K13+'14'!L13</f>
        <v>0</v>
      </c>
      <c r="M13" s="2"/>
      <c r="N13" s="2">
        <f>M13+'14'!N13</f>
        <v>0</v>
      </c>
      <c r="O13" s="2"/>
      <c r="P13" s="2">
        <f>O13+'14'!P13</f>
        <v>0</v>
      </c>
      <c r="Q13" s="4">
        <f t="shared" si="4"/>
        <v>0</v>
      </c>
      <c r="R13" s="4">
        <f>Q13+'14'!R13</f>
        <v>4213</v>
      </c>
      <c r="S13" s="27">
        <f t="shared" si="5"/>
        <v>0.36275185121405201</v>
      </c>
      <c r="T13" s="12"/>
      <c r="U13" s="12">
        <f>T13+'14'!U13</f>
        <v>641</v>
      </c>
      <c r="V13" s="12"/>
      <c r="W13" s="12">
        <f>V13+'14'!W13</f>
        <v>0</v>
      </c>
      <c r="X13" s="12"/>
      <c r="Y13" s="12">
        <f>X13+'14'!Y13</f>
        <v>0</v>
      </c>
      <c r="AB13" s="5">
        <v>3</v>
      </c>
      <c r="AC13" s="26" t="str">
        <f>'14'!AC13</f>
        <v>ميت بره</v>
      </c>
      <c r="AD13" s="28">
        <f>'14'!AI13</f>
        <v>584</v>
      </c>
      <c r="AE13" s="3"/>
      <c r="AF13" s="28">
        <f>AE13+'14'!AF13</f>
        <v>1020</v>
      </c>
      <c r="AG13" s="4"/>
      <c r="AH13" s="28">
        <f>AG13+'14'!AH13</f>
        <v>436</v>
      </c>
      <c r="AI13" s="4">
        <f t="shared" ref="AI13:AI50" si="6">AD13+AE13-AG13</f>
        <v>584</v>
      </c>
      <c r="AJ13" s="11" t="e">
        <f t="shared" si="0"/>
        <v>#DIV/0!</v>
      </c>
      <c r="AK13" s="53">
        <f t="shared" si="1"/>
        <v>9.6628440366972477</v>
      </c>
      <c r="AM13" s="340"/>
      <c r="AN13" s="46" t="s">
        <v>43</v>
      </c>
      <c r="AO13" s="45">
        <f t="shared" ref="AO13:AT13" si="7">SUM(AO10:AO12)</f>
        <v>3224</v>
      </c>
      <c r="AP13" s="45">
        <f t="shared" si="7"/>
        <v>0</v>
      </c>
      <c r="AQ13" s="45">
        <f t="shared" si="7"/>
        <v>8723</v>
      </c>
      <c r="AR13" s="45">
        <f t="shared" si="7"/>
        <v>0</v>
      </c>
      <c r="AS13" s="45">
        <f t="shared" si="7"/>
        <v>5499</v>
      </c>
      <c r="AT13" s="47">
        <f t="shared" si="7"/>
        <v>3224</v>
      </c>
      <c r="AU13" s="56"/>
      <c r="AW13" s="26" t="str">
        <f>'14'!AW13</f>
        <v>ميت بره</v>
      </c>
      <c r="AX13" s="12">
        <f>'14'!AX13</f>
        <v>8</v>
      </c>
      <c r="AY13" s="12">
        <f>'14'!AY13</f>
        <v>4849</v>
      </c>
      <c r="AZ13" s="12"/>
      <c r="BA13" s="12"/>
      <c r="BB13" s="12">
        <f>BA13+'14'!BB13</f>
        <v>4093</v>
      </c>
      <c r="BC13" s="30">
        <f t="shared" si="2"/>
        <v>0.84409156527118989</v>
      </c>
      <c r="BD13" s="12">
        <f>'14'!BD13</f>
        <v>21</v>
      </c>
      <c r="BE13" s="12">
        <f>'14'!BE13</f>
        <v>1129</v>
      </c>
      <c r="BF13" s="12"/>
      <c r="BG13" s="12"/>
      <c r="BH13" s="12">
        <f>BG13+'14'!BH13</f>
        <v>128</v>
      </c>
      <c r="BI13" s="30">
        <f t="shared" si="3"/>
        <v>0.11337466784765279</v>
      </c>
    </row>
    <row r="14" spans="1:62" ht="41.5" customHeight="1" thickBot="1" x14ac:dyDescent="0.4">
      <c r="A14" s="5">
        <v>4</v>
      </c>
      <c r="B14" s="26" t="str">
        <f>'14'!B14</f>
        <v>أبنــــــــــــــــهس</v>
      </c>
      <c r="C14" s="26">
        <f>'14'!C14</f>
        <v>5029</v>
      </c>
      <c r="D14" s="26"/>
      <c r="E14" s="12"/>
      <c r="F14" s="2">
        <f>E14+'14'!F14</f>
        <v>14</v>
      </c>
      <c r="G14" s="2"/>
      <c r="H14" s="2">
        <f>G14+'14'!H14</f>
        <v>349</v>
      </c>
      <c r="I14" s="2"/>
      <c r="J14" s="2">
        <f>I14+'14'!J14</f>
        <v>2016</v>
      </c>
      <c r="K14" s="2"/>
      <c r="L14" s="2">
        <f>K14+'14'!L14</f>
        <v>0</v>
      </c>
      <c r="M14" s="2"/>
      <c r="N14" s="2">
        <f>M14+'14'!N14</f>
        <v>0</v>
      </c>
      <c r="O14" s="2"/>
      <c r="P14" s="2">
        <f>O14+'14'!P14</f>
        <v>0</v>
      </c>
      <c r="Q14" s="4">
        <f t="shared" si="4"/>
        <v>0</v>
      </c>
      <c r="R14" s="4">
        <f>Q14+'14'!R14</f>
        <v>2379</v>
      </c>
      <c r="S14" s="27">
        <f t="shared" si="5"/>
        <v>0.47305627361304436</v>
      </c>
      <c r="T14" s="12"/>
      <c r="U14" s="12">
        <f>T14+'14'!U14</f>
        <v>341</v>
      </c>
      <c r="V14" s="12"/>
      <c r="W14" s="12">
        <f>V14+'14'!W14</f>
        <v>29</v>
      </c>
      <c r="X14" s="12"/>
      <c r="Y14" s="12">
        <f>X14+'14'!Y14</f>
        <v>0</v>
      </c>
      <c r="AB14" s="5">
        <v>4</v>
      </c>
      <c r="AC14" s="26" t="str">
        <f>'14'!AC14</f>
        <v>أبنــــــــــــــــهس</v>
      </c>
      <c r="AD14" s="28">
        <f>'14'!AI14</f>
        <v>196</v>
      </c>
      <c r="AE14" s="3"/>
      <c r="AF14" s="28">
        <f>AE14+'14'!AF14</f>
        <v>440</v>
      </c>
      <c r="AG14" s="4"/>
      <c r="AH14" s="28">
        <f>AG14+'14'!AH14</f>
        <v>244</v>
      </c>
      <c r="AI14" s="4">
        <f t="shared" si="6"/>
        <v>196</v>
      </c>
      <c r="AJ14" s="11" t="e">
        <f t="shared" si="0"/>
        <v>#DIV/0!</v>
      </c>
      <c r="AK14" s="53">
        <f t="shared" si="1"/>
        <v>9.75</v>
      </c>
      <c r="AM14" s="316" t="s">
        <v>42</v>
      </c>
      <c r="AN14" s="317"/>
      <c r="AO14" s="318"/>
      <c r="AP14" s="319"/>
      <c r="AQ14" s="319"/>
      <c r="AR14" s="319"/>
      <c r="AS14" s="320"/>
      <c r="AT14" s="39">
        <f>AT13+AI51</f>
        <v>6357</v>
      </c>
      <c r="AU14" s="57"/>
      <c r="AW14" s="26" t="str">
        <f>'14'!AW14</f>
        <v>أبنــــــــــــــــهس</v>
      </c>
      <c r="AX14" s="12">
        <f>'14'!AX14</f>
        <v>7</v>
      </c>
      <c r="AY14" s="12">
        <f>'14'!AY14</f>
        <v>2531</v>
      </c>
      <c r="AZ14" s="12"/>
      <c r="BA14" s="12"/>
      <c r="BB14" s="12">
        <f>BA14+'14'!BB14</f>
        <v>2092</v>
      </c>
      <c r="BC14" s="30">
        <f t="shared" si="2"/>
        <v>0.82655077044646386</v>
      </c>
      <c r="BD14" s="12">
        <f>'14'!BD14</f>
        <v>23</v>
      </c>
      <c r="BE14" s="12">
        <f>'14'!BE14</f>
        <v>921</v>
      </c>
      <c r="BF14" s="12"/>
      <c r="BG14" s="12"/>
      <c r="BH14" s="12">
        <f>BG14+'14'!BH14</f>
        <v>287</v>
      </c>
      <c r="BI14" s="30">
        <f t="shared" si="3"/>
        <v>0.31161780673181327</v>
      </c>
    </row>
    <row r="15" spans="1:62" ht="41.5" customHeight="1" x14ac:dyDescent="0.35">
      <c r="A15" s="5">
        <v>5</v>
      </c>
      <c r="B15" s="26" t="str">
        <f>'14'!B15</f>
        <v>ميت ســـــــــراج</v>
      </c>
      <c r="C15" s="26">
        <f>'14'!C15</f>
        <v>2369</v>
      </c>
      <c r="D15" s="26"/>
      <c r="E15" s="12"/>
      <c r="F15" s="2">
        <f>E15+'14'!F15</f>
        <v>4</v>
      </c>
      <c r="G15" s="2"/>
      <c r="H15" s="2">
        <f>G15+'14'!H15</f>
        <v>472</v>
      </c>
      <c r="I15" s="2"/>
      <c r="J15" s="2">
        <f>I15+'14'!J15</f>
        <v>839</v>
      </c>
      <c r="K15" s="2"/>
      <c r="L15" s="2">
        <f>K15+'14'!L15</f>
        <v>0</v>
      </c>
      <c r="M15" s="2"/>
      <c r="N15" s="2">
        <f>M15+'14'!N15</f>
        <v>0</v>
      </c>
      <c r="O15" s="2"/>
      <c r="P15" s="2">
        <f>O15+'14'!P15</f>
        <v>0</v>
      </c>
      <c r="Q15" s="4">
        <f t="shared" si="4"/>
        <v>0</v>
      </c>
      <c r="R15" s="4">
        <f>Q15+'14'!R15</f>
        <v>1315</v>
      </c>
      <c r="S15" s="27">
        <f t="shared" si="5"/>
        <v>0.55508653440270161</v>
      </c>
      <c r="T15" s="12"/>
      <c r="U15" s="12">
        <f>T15+'14'!U15</f>
        <v>105</v>
      </c>
      <c r="V15" s="12"/>
      <c r="W15" s="12">
        <f>V15+'14'!W15</f>
        <v>37</v>
      </c>
      <c r="X15" s="12"/>
      <c r="Y15" s="12">
        <f>X15+'14'!Y15</f>
        <v>0</v>
      </c>
      <c r="AB15" s="5">
        <v>5</v>
      </c>
      <c r="AC15" s="26" t="str">
        <f>'14'!AC15</f>
        <v>ميت ســـــــــراج</v>
      </c>
      <c r="AD15" s="28">
        <f>'14'!AI15</f>
        <v>74</v>
      </c>
      <c r="AE15" s="3"/>
      <c r="AF15" s="28">
        <f>AE15+'14'!AF15</f>
        <v>209</v>
      </c>
      <c r="AG15" s="4"/>
      <c r="AH15" s="28">
        <f>AG15+'14'!AH15</f>
        <v>135</v>
      </c>
      <c r="AI15" s="4">
        <f t="shared" si="6"/>
        <v>74</v>
      </c>
      <c r="AJ15" s="11" t="e">
        <f t="shared" si="0"/>
        <v>#DIV/0!</v>
      </c>
      <c r="AK15" s="53">
        <f t="shared" si="1"/>
        <v>9.7407407407407405</v>
      </c>
      <c r="AW15" s="26" t="str">
        <f>'14'!AW15</f>
        <v>ميت ســـــــــراج</v>
      </c>
      <c r="AX15" s="12">
        <f>'14'!AX15</f>
        <v>2</v>
      </c>
      <c r="AY15" s="12">
        <f>'14'!AY15</f>
        <v>1041</v>
      </c>
      <c r="AZ15" s="12"/>
      <c r="BA15" s="12"/>
      <c r="BB15" s="12">
        <f>BA15+'14'!BB15</f>
        <v>874</v>
      </c>
      <c r="BC15" s="30">
        <f t="shared" si="2"/>
        <v>0.83957732949087416</v>
      </c>
      <c r="BD15" s="12">
        <f>'14'!BD15</f>
        <v>5</v>
      </c>
      <c r="BE15" s="12">
        <f>'14'!BE15</f>
        <v>310</v>
      </c>
      <c r="BF15" s="12"/>
      <c r="BG15" s="12"/>
      <c r="BH15" s="12">
        <f>BG15+'14'!BH15</f>
        <v>385</v>
      </c>
      <c r="BI15" s="30">
        <f t="shared" si="3"/>
        <v>1.2419354838709677</v>
      </c>
    </row>
    <row r="16" spans="1:62" ht="41.5" customHeight="1" x14ac:dyDescent="0.35">
      <c r="A16" s="5">
        <v>6</v>
      </c>
      <c r="B16" s="26" t="str">
        <f>'14'!B16</f>
        <v>أم خــــــــــــــنان</v>
      </c>
      <c r="C16" s="26">
        <f>'14'!C16</f>
        <v>4900</v>
      </c>
      <c r="D16" s="26"/>
      <c r="E16" s="12"/>
      <c r="F16" s="2">
        <f>E16+'14'!F16</f>
        <v>11</v>
      </c>
      <c r="G16" s="2"/>
      <c r="H16" s="2">
        <f>G16+'14'!H16</f>
        <v>280</v>
      </c>
      <c r="I16" s="2"/>
      <c r="J16" s="2">
        <f>I16+'14'!J16</f>
        <v>1942</v>
      </c>
      <c r="K16" s="2"/>
      <c r="L16" s="2">
        <f>K16+'14'!L16</f>
        <v>0</v>
      </c>
      <c r="M16" s="2"/>
      <c r="N16" s="2">
        <f>M16+'14'!N16</f>
        <v>0</v>
      </c>
      <c r="O16" s="2"/>
      <c r="P16" s="2">
        <f>O16+'14'!P16</f>
        <v>0</v>
      </c>
      <c r="Q16" s="4">
        <f t="shared" si="4"/>
        <v>0</v>
      </c>
      <c r="R16" s="4">
        <f>Q16+'14'!R16</f>
        <v>2233</v>
      </c>
      <c r="S16" s="27">
        <f t="shared" si="5"/>
        <v>0.45571428571428574</v>
      </c>
      <c r="T16" s="12"/>
      <c r="U16" s="12">
        <f>T16+'14'!U16</f>
        <v>375</v>
      </c>
      <c r="V16" s="12"/>
      <c r="W16" s="12">
        <f>V16+'14'!W16</f>
        <v>0</v>
      </c>
      <c r="X16" s="12"/>
      <c r="Y16" s="12">
        <f>X16+'14'!Y16</f>
        <v>0</v>
      </c>
      <c r="AB16" s="5">
        <v>6</v>
      </c>
      <c r="AC16" s="26" t="str">
        <f>'14'!AC16</f>
        <v>أم خــــــــــــــنان</v>
      </c>
      <c r="AD16" s="28">
        <f>'14'!AI16</f>
        <v>204</v>
      </c>
      <c r="AE16" s="3"/>
      <c r="AF16" s="28">
        <f>AE16+'14'!AF16</f>
        <v>430</v>
      </c>
      <c r="AG16" s="4"/>
      <c r="AH16" s="28">
        <f>AG16+'14'!AH16</f>
        <v>226</v>
      </c>
      <c r="AI16" s="4">
        <f t="shared" si="6"/>
        <v>204</v>
      </c>
      <c r="AJ16" s="11" t="e">
        <f t="shared" si="0"/>
        <v>#DIV/0!</v>
      </c>
      <c r="AK16" s="53">
        <f t="shared" si="1"/>
        <v>9.8805309734513269</v>
      </c>
      <c r="AW16" s="26" t="str">
        <f>'14'!AW16</f>
        <v>أم خــــــــــــــنان</v>
      </c>
      <c r="AX16" s="12">
        <f>'14'!AX16</f>
        <v>8</v>
      </c>
      <c r="AY16" s="12">
        <f>'14'!AY16</f>
        <v>2981</v>
      </c>
      <c r="AZ16" s="12"/>
      <c r="BA16" s="12"/>
      <c r="BB16" s="12">
        <f>BA16+'14'!BB16</f>
        <v>2132</v>
      </c>
      <c r="BC16" s="30">
        <f t="shared" si="2"/>
        <v>0.71519624287151962</v>
      </c>
      <c r="BD16" s="12">
        <f>'14'!BD16</f>
        <v>12</v>
      </c>
      <c r="BE16" s="12">
        <f>'14'!BE16</f>
        <v>1313</v>
      </c>
      <c r="BF16" s="12"/>
      <c r="BG16" s="12"/>
      <c r="BH16" s="12">
        <f>BG16+'14'!BH16</f>
        <v>0</v>
      </c>
      <c r="BI16" s="30">
        <f t="shared" si="3"/>
        <v>0</v>
      </c>
    </row>
    <row r="17" spans="1:61" ht="41.5" customHeight="1" x14ac:dyDescent="0.35">
      <c r="A17" s="5">
        <v>7</v>
      </c>
      <c r="B17" s="26" t="str">
        <f>'14'!B17</f>
        <v>أجهور الرمل</v>
      </c>
      <c r="C17" s="26">
        <f>'14'!C17</f>
        <v>3590</v>
      </c>
      <c r="D17" s="26"/>
      <c r="E17" s="12"/>
      <c r="F17" s="2">
        <f>E17+'14'!F17</f>
        <v>17</v>
      </c>
      <c r="G17" s="2"/>
      <c r="H17" s="2">
        <f>G17+'14'!H17</f>
        <v>591</v>
      </c>
      <c r="I17" s="2"/>
      <c r="J17" s="2">
        <f>I17+'14'!J17</f>
        <v>1489</v>
      </c>
      <c r="K17" s="2"/>
      <c r="L17" s="2">
        <f>K17+'14'!L17</f>
        <v>0</v>
      </c>
      <c r="M17" s="2"/>
      <c r="N17" s="2">
        <f>M17+'14'!N17</f>
        <v>0</v>
      </c>
      <c r="O17" s="2"/>
      <c r="P17" s="2">
        <f>O17+'14'!P17</f>
        <v>0</v>
      </c>
      <c r="Q17" s="4">
        <f t="shared" si="4"/>
        <v>0</v>
      </c>
      <c r="R17" s="4">
        <f>Q17+'14'!R17</f>
        <v>2097</v>
      </c>
      <c r="S17" s="27">
        <f t="shared" si="5"/>
        <v>0.58412256267409468</v>
      </c>
      <c r="T17" s="12"/>
      <c r="U17" s="12">
        <f>T17+'14'!U17</f>
        <v>360</v>
      </c>
      <c r="V17" s="12"/>
      <c r="W17" s="12">
        <f>V17+'14'!W17</f>
        <v>121</v>
      </c>
      <c r="X17" s="12"/>
      <c r="Y17" s="12">
        <f>X17+'14'!Y17</f>
        <v>0</v>
      </c>
      <c r="AB17" s="5">
        <v>7</v>
      </c>
      <c r="AC17" s="26" t="str">
        <f>'14'!AC17</f>
        <v>أجهور الرمل</v>
      </c>
      <c r="AD17" s="28">
        <f>'14'!AI17</f>
        <v>100</v>
      </c>
      <c r="AE17" s="3"/>
      <c r="AF17" s="28">
        <f>AE17+'14'!AF17</f>
        <v>316</v>
      </c>
      <c r="AG17" s="4"/>
      <c r="AH17" s="28">
        <f>AG17+'14'!AH17</f>
        <v>216</v>
      </c>
      <c r="AI17" s="4">
        <f t="shared" si="6"/>
        <v>100</v>
      </c>
      <c r="AJ17" s="11" t="e">
        <f t="shared" si="0"/>
        <v>#DIV/0!</v>
      </c>
      <c r="AK17" s="53">
        <f t="shared" si="1"/>
        <v>9.7083333333333339</v>
      </c>
      <c r="AW17" s="26" t="str">
        <f>'14'!AW17</f>
        <v>أجهور الرمل</v>
      </c>
      <c r="AX17" s="12">
        <f>'14'!AX17</f>
        <v>4</v>
      </c>
      <c r="AY17" s="12">
        <f>'14'!AY17</f>
        <v>1796</v>
      </c>
      <c r="AZ17" s="12"/>
      <c r="BA17" s="12"/>
      <c r="BB17" s="12">
        <f>BA17+'14'!BB17</f>
        <v>1422</v>
      </c>
      <c r="BC17" s="30">
        <f t="shared" si="2"/>
        <v>0.79175946547884191</v>
      </c>
      <c r="BD17" s="12">
        <f>'14'!BD17</f>
        <v>3</v>
      </c>
      <c r="BE17" s="12">
        <f>'14'!BE17</f>
        <v>100</v>
      </c>
      <c r="BF17" s="12"/>
      <c r="BG17" s="12"/>
      <c r="BH17" s="12">
        <f>BG17+'14'!BH17</f>
        <v>441</v>
      </c>
      <c r="BI17" s="30">
        <f t="shared" si="3"/>
        <v>4.41</v>
      </c>
    </row>
    <row r="18" spans="1:61" ht="41.5" customHeight="1" x14ac:dyDescent="0.35">
      <c r="A18" s="5">
        <v>8</v>
      </c>
      <c r="B18" s="26" t="str">
        <f>'14'!B18</f>
        <v>منشأة دمــــــــــلو</v>
      </c>
      <c r="C18" s="26">
        <f>'14'!C18</f>
        <v>1320</v>
      </c>
      <c r="D18" s="26"/>
      <c r="E18" s="12"/>
      <c r="F18" s="2">
        <f>E18+'14'!F18</f>
        <v>18</v>
      </c>
      <c r="G18" s="2"/>
      <c r="H18" s="2">
        <f>G18+'14'!H18</f>
        <v>528</v>
      </c>
      <c r="I18" s="2"/>
      <c r="J18" s="2">
        <f>I18+'14'!J18</f>
        <v>704</v>
      </c>
      <c r="K18" s="2"/>
      <c r="L18" s="2">
        <f>K18+'14'!L18</f>
        <v>0</v>
      </c>
      <c r="M18" s="2"/>
      <c r="N18" s="2">
        <f>M18+'14'!N18</f>
        <v>0</v>
      </c>
      <c r="O18" s="2"/>
      <c r="P18" s="2">
        <f>O18+'14'!P18</f>
        <v>0</v>
      </c>
      <c r="Q18" s="4">
        <f t="shared" si="4"/>
        <v>0</v>
      </c>
      <c r="R18" s="4">
        <f>Q18+'14'!R18</f>
        <v>1250</v>
      </c>
      <c r="S18" s="27">
        <f t="shared" si="5"/>
        <v>0.94696969696969702</v>
      </c>
      <c r="T18" s="12"/>
      <c r="U18" s="12">
        <f>T18+'14'!U18</f>
        <v>175</v>
      </c>
      <c r="V18" s="12"/>
      <c r="W18" s="12">
        <f>V18+'14'!W18</f>
        <v>38</v>
      </c>
      <c r="X18" s="12"/>
      <c r="Y18" s="12">
        <f>X18+'14'!Y18</f>
        <v>0</v>
      </c>
      <c r="AB18" s="5">
        <v>8</v>
      </c>
      <c r="AC18" s="26" t="str">
        <f>'14'!AC18</f>
        <v>منشأة دمــــــــــلو</v>
      </c>
      <c r="AD18" s="28">
        <f>'14'!AI18</f>
        <v>4</v>
      </c>
      <c r="AE18" s="3"/>
      <c r="AF18" s="28">
        <f>AE18+'14'!AF18</f>
        <v>135</v>
      </c>
      <c r="AG18" s="4"/>
      <c r="AH18" s="28">
        <f>AG18+'14'!AH18</f>
        <v>131</v>
      </c>
      <c r="AI18" s="4">
        <f t="shared" si="6"/>
        <v>4</v>
      </c>
      <c r="AJ18" s="11" t="e">
        <f t="shared" si="0"/>
        <v>#DIV/0!</v>
      </c>
      <c r="AK18" s="53">
        <f t="shared" si="1"/>
        <v>9.5419847328244281</v>
      </c>
      <c r="AW18" s="26" t="str">
        <f>'14'!AW18</f>
        <v>منشأة دمــــــــــلو</v>
      </c>
      <c r="AX18" s="12">
        <f>'14'!AX18</f>
        <v>2</v>
      </c>
      <c r="AY18" s="12">
        <f>'14'!AY18</f>
        <v>896</v>
      </c>
      <c r="AZ18" s="12"/>
      <c r="BA18" s="12"/>
      <c r="BB18" s="12">
        <f>BA18+'14'!BB18</f>
        <v>748</v>
      </c>
      <c r="BC18" s="30">
        <f t="shared" si="2"/>
        <v>0.8348214285714286</v>
      </c>
      <c r="BD18" s="12">
        <f>'14'!BD18</f>
        <v>8</v>
      </c>
      <c r="BE18" s="12">
        <f>'14'!BE18</f>
        <v>340</v>
      </c>
      <c r="BF18" s="12"/>
      <c r="BG18" s="12"/>
      <c r="BH18" s="12">
        <f>BG18+'14'!BH18</f>
        <v>328</v>
      </c>
      <c r="BI18" s="30">
        <f t="shared" si="3"/>
        <v>0.96470588235294119</v>
      </c>
    </row>
    <row r="19" spans="1:61" ht="41.5" customHeight="1" x14ac:dyDescent="0.35">
      <c r="A19" s="5">
        <v>9</v>
      </c>
      <c r="B19" s="26" t="str">
        <f>'14'!B19</f>
        <v>شـــــــــــــرانيس</v>
      </c>
      <c r="C19" s="26">
        <f>'14'!C19</f>
        <v>1414</v>
      </c>
      <c r="D19" s="26"/>
      <c r="E19" s="12"/>
      <c r="F19" s="2">
        <f>E19+'14'!F19</f>
        <v>11</v>
      </c>
      <c r="G19" s="2"/>
      <c r="H19" s="2">
        <f>G19+'14'!H19</f>
        <v>359</v>
      </c>
      <c r="I19" s="2"/>
      <c r="J19" s="2">
        <f>I19+'14'!J19</f>
        <v>618</v>
      </c>
      <c r="K19" s="2"/>
      <c r="L19" s="2">
        <f>K19+'14'!L19</f>
        <v>0</v>
      </c>
      <c r="M19" s="2"/>
      <c r="N19" s="2">
        <f>M19+'14'!N19</f>
        <v>0</v>
      </c>
      <c r="O19" s="2"/>
      <c r="P19" s="2">
        <f>O19+'14'!P19</f>
        <v>0</v>
      </c>
      <c r="Q19" s="4">
        <f t="shared" si="4"/>
        <v>0</v>
      </c>
      <c r="R19" s="4">
        <f>Q19+'14'!R19</f>
        <v>988</v>
      </c>
      <c r="S19" s="27">
        <f t="shared" si="5"/>
        <v>0.69872701555869876</v>
      </c>
      <c r="T19" s="12"/>
      <c r="U19" s="12">
        <f>T19+'14'!U19</f>
        <v>143</v>
      </c>
      <c r="V19" s="12"/>
      <c r="W19" s="12">
        <f>V19+'14'!W19</f>
        <v>0</v>
      </c>
      <c r="X19" s="12"/>
      <c r="Y19" s="12">
        <f>X19+'14'!Y19</f>
        <v>0</v>
      </c>
      <c r="AB19" s="5">
        <v>9</v>
      </c>
      <c r="AC19" s="26" t="str">
        <f>'14'!AC19</f>
        <v>شـــــــــــــرانيس</v>
      </c>
      <c r="AD19" s="28">
        <f>'14'!AI19</f>
        <v>22</v>
      </c>
      <c r="AE19" s="3"/>
      <c r="AF19" s="28">
        <f>AE19+'14'!AF19</f>
        <v>125</v>
      </c>
      <c r="AG19" s="4"/>
      <c r="AH19" s="28">
        <f>AG19+'14'!AH19</f>
        <v>103</v>
      </c>
      <c r="AI19" s="4">
        <f t="shared" si="6"/>
        <v>22</v>
      </c>
      <c r="AJ19" s="11" t="e">
        <f t="shared" si="0"/>
        <v>#DIV/0!</v>
      </c>
      <c r="AK19" s="53">
        <f t="shared" si="1"/>
        <v>9.5922330097087372</v>
      </c>
      <c r="AW19" s="26" t="str">
        <f>'14'!AW19</f>
        <v>شـــــــــــــرانيس</v>
      </c>
      <c r="AX19" s="12">
        <f>'14'!AX19</f>
        <v>2</v>
      </c>
      <c r="AY19" s="12">
        <f>'14'!AY19</f>
        <v>675</v>
      </c>
      <c r="AZ19" s="12"/>
      <c r="BA19" s="12"/>
      <c r="BB19" s="12">
        <f>BA19+'14'!BB19</f>
        <v>569</v>
      </c>
      <c r="BC19" s="30">
        <f t="shared" si="2"/>
        <v>0.84296296296296291</v>
      </c>
      <c r="BD19" s="12">
        <f>'14'!BD19</f>
        <v>2</v>
      </c>
      <c r="BE19" s="12">
        <f>'14'!BE19</f>
        <v>397</v>
      </c>
      <c r="BF19" s="12"/>
      <c r="BG19" s="12"/>
      <c r="BH19" s="12">
        <f>BG19+'14'!BH19</f>
        <v>349</v>
      </c>
      <c r="BI19" s="30">
        <f t="shared" si="3"/>
        <v>0.87909319899244331</v>
      </c>
    </row>
    <row r="20" spans="1:61" ht="41.5" customHeight="1" x14ac:dyDescent="0.35">
      <c r="A20" s="5">
        <v>10</v>
      </c>
      <c r="B20" s="26" t="str">
        <f>'14'!B20</f>
        <v>قويســـــــــنا البلد</v>
      </c>
      <c r="C20" s="26">
        <f>'14'!C20</f>
        <v>4115</v>
      </c>
      <c r="D20" s="26"/>
      <c r="E20" s="12"/>
      <c r="F20" s="2">
        <f>E20+'14'!F20</f>
        <v>27</v>
      </c>
      <c r="G20" s="2"/>
      <c r="H20" s="2">
        <f>G20+'14'!H20</f>
        <v>406</v>
      </c>
      <c r="I20" s="2"/>
      <c r="J20" s="2">
        <f>I20+'14'!J20</f>
        <v>1286</v>
      </c>
      <c r="K20" s="2"/>
      <c r="L20" s="2">
        <f>K20+'14'!L20</f>
        <v>0</v>
      </c>
      <c r="M20" s="2"/>
      <c r="N20" s="2">
        <f>M20+'14'!N20</f>
        <v>0</v>
      </c>
      <c r="O20" s="2"/>
      <c r="P20" s="2">
        <f>O20+'14'!P20</f>
        <v>0</v>
      </c>
      <c r="Q20" s="4">
        <f t="shared" si="4"/>
        <v>0</v>
      </c>
      <c r="R20" s="4">
        <f>Q20+'14'!R20</f>
        <v>1719</v>
      </c>
      <c r="S20" s="27">
        <f t="shared" si="5"/>
        <v>0.41773997569866345</v>
      </c>
      <c r="T20" s="12"/>
      <c r="U20" s="12">
        <f>T20+'14'!U20</f>
        <v>405</v>
      </c>
      <c r="V20" s="12"/>
      <c r="W20" s="12">
        <f>V20+'14'!W20</f>
        <v>144</v>
      </c>
      <c r="X20" s="12"/>
      <c r="Y20" s="12">
        <f>X20+'14'!Y20</f>
        <v>0</v>
      </c>
      <c r="AB20" s="5">
        <v>10</v>
      </c>
      <c r="AC20" s="26" t="str">
        <f>'14'!AC20</f>
        <v>قويســـــــــنا البلد</v>
      </c>
      <c r="AD20" s="28">
        <f>'14'!AI20</f>
        <v>185</v>
      </c>
      <c r="AE20" s="3"/>
      <c r="AF20" s="28">
        <f>AE20+'14'!AF20</f>
        <v>360</v>
      </c>
      <c r="AG20" s="4"/>
      <c r="AH20" s="28">
        <f>AG20+'14'!AH20</f>
        <v>175</v>
      </c>
      <c r="AI20" s="4">
        <f t="shared" si="6"/>
        <v>185</v>
      </c>
      <c r="AJ20" s="11" t="e">
        <f t="shared" si="0"/>
        <v>#DIV/0!</v>
      </c>
      <c r="AK20" s="53">
        <f t="shared" si="1"/>
        <v>9.8228571428571421</v>
      </c>
      <c r="AW20" s="26" t="str">
        <f>'14'!AW20</f>
        <v>قويســـــــــنا البلد</v>
      </c>
      <c r="AX20" s="12">
        <f>'14'!AX20</f>
        <v>2</v>
      </c>
      <c r="AY20" s="12">
        <f>'14'!AY20</f>
        <v>1539</v>
      </c>
      <c r="AZ20" s="12"/>
      <c r="BA20" s="12"/>
      <c r="BB20" s="12">
        <f>BA20+'14'!BB20</f>
        <v>1355</v>
      </c>
      <c r="BC20" s="30">
        <f t="shared" si="2"/>
        <v>0.88044184535412606</v>
      </c>
      <c r="BD20" s="12">
        <f>'14'!BD20</f>
        <v>7</v>
      </c>
      <c r="BE20" s="12">
        <f>'14'!BE20</f>
        <v>580</v>
      </c>
      <c r="BF20" s="12"/>
      <c r="BG20" s="12"/>
      <c r="BH20" s="12">
        <f>BG20+'14'!BH20</f>
        <v>204</v>
      </c>
      <c r="BI20" s="30">
        <f t="shared" si="3"/>
        <v>0.35172413793103446</v>
      </c>
    </row>
    <row r="21" spans="1:61" ht="41.5" customHeight="1" x14ac:dyDescent="0.35">
      <c r="A21" s="5">
        <v>11</v>
      </c>
      <c r="B21" s="26" t="str">
        <f>'14'!B21</f>
        <v>بجيرم</v>
      </c>
      <c r="C21" s="26">
        <f>'14'!C21</f>
        <v>1782</v>
      </c>
      <c r="D21" s="26"/>
      <c r="E21" s="12"/>
      <c r="F21" s="2">
        <f>E21+'14'!F21</f>
        <v>8</v>
      </c>
      <c r="G21" s="2"/>
      <c r="H21" s="2">
        <f>G21+'14'!H21</f>
        <v>406</v>
      </c>
      <c r="I21" s="2"/>
      <c r="J21" s="2">
        <f>I21+'14'!J21</f>
        <v>755</v>
      </c>
      <c r="K21" s="2"/>
      <c r="L21" s="2">
        <f>K21+'14'!L21</f>
        <v>0</v>
      </c>
      <c r="M21" s="2"/>
      <c r="N21" s="2">
        <f>M21+'14'!N21</f>
        <v>0</v>
      </c>
      <c r="O21" s="2"/>
      <c r="P21" s="2">
        <f>O21+'14'!P21</f>
        <v>0</v>
      </c>
      <c r="Q21" s="4">
        <f t="shared" si="4"/>
        <v>0</v>
      </c>
      <c r="R21" s="4">
        <f>Q21+'14'!R21</f>
        <v>1169</v>
      </c>
      <c r="S21" s="27">
        <f t="shared" si="5"/>
        <v>0.65600448933782263</v>
      </c>
      <c r="T21" s="12"/>
      <c r="U21" s="12">
        <f>T21+'14'!U21</f>
        <v>126</v>
      </c>
      <c r="V21" s="12"/>
      <c r="W21" s="12">
        <f>V21+'14'!W21</f>
        <v>44</v>
      </c>
      <c r="X21" s="12"/>
      <c r="Y21" s="12">
        <f>X21+'14'!Y21</f>
        <v>0</v>
      </c>
      <c r="AB21" s="5">
        <v>11</v>
      </c>
      <c r="AC21" s="26" t="str">
        <f>'14'!AC21</f>
        <v>بجيرم</v>
      </c>
      <c r="AD21" s="28">
        <f>'14'!AI21</f>
        <v>37</v>
      </c>
      <c r="AE21" s="3"/>
      <c r="AF21" s="28">
        <f>AE21+'14'!AF21</f>
        <v>157</v>
      </c>
      <c r="AG21" s="4"/>
      <c r="AH21" s="28">
        <f>AG21+'14'!AH21</f>
        <v>120</v>
      </c>
      <c r="AI21" s="4">
        <f t="shared" si="6"/>
        <v>37</v>
      </c>
      <c r="AJ21" s="11" t="e">
        <f t="shared" si="0"/>
        <v>#DIV/0!</v>
      </c>
      <c r="AK21" s="53">
        <f t="shared" si="1"/>
        <v>9.7416666666666671</v>
      </c>
      <c r="AW21" s="26" t="str">
        <f>'14'!AW21</f>
        <v>بجيرم</v>
      </c>
      <c r="AX21" s="12">
        <f>'14'!AX21</f>
        <v>4</v>
      </c>
      <c r="AY21" s="12">
        <f>'14'!AY21</f>
        <v>946</v>
      </c>
      <c r="AZ21" s="12"/>
      <c r="BA21" s="12"/>
      <c r="BB21" s="12">
        <f>BA21+'14'!BB21</f>
        <v>823</v>
      </c>
      <c r="BC21" s="30">
        <f t="shared" si="2"/>
        <v>0.86997885835095135</v>
      </c>
      <c r="BD21" s="12">
        <f>'14'!BD21</f>
        <v>4</v>
      </c>
      <c r="BE21" s="12">
        <f>'14'!BE21</f>
        <v>99</v>
      </c>
      <c r="BF21" s="12"/>
      <c r="BG21" s="12"/>
      <c r="BH21" s="12">
        <f>BG21+'14'!BH21</f>
        <v>99</v>
      </c>
      <c r="BI21" s="30">
        <f t="shared" si="3"/>
        <v>1</v>
      </c>
    </row>
    <row r="22" spans="1:61" ht="30" customHeight="1" x14ac:dyDescent="0.35">
      <c r="A22" s="5">
        <v>12</v>
      </c>
      <c r="B22" s="26" t="str">
        <f>'14'!B22</f>
        <v>كفر بنى غريـــان</v>
      </c>
      <c r="C22" s="26">
        <f>'14'!C22</f>
        <v>2184</v>
      </c>
      <c r="D22" s="26"/>
      <c r="E22" s="12"/>
      <c r="F22" s="2">
        <f>E22+'14'!F22</f>
        <v>12</v>
      </c>
      <c r="G22" s="2"/>
      <c r="H22" s="2">
        <f>G22+'14'!H22</f>
        <v>471</v>
      </c>
      <c r="I22" s="2"/>
      <c r="J22" s="2">
        <f>I22+'14'!J22</f>
        <v>971</v>
      </c>
      <c r="K22" s="2"/>
      <c r="L22" s="2">
        <f>K22+'14'!L22</f>
        <v>0</v>
      </c>
      <c r="M22" s="2"/>
      <c r="N22" s="2">
        <f>M22+'14'!N22</f>
        <v>0</v>
      </c>
      <c r="O22" s="2"/>
      <c r="P22" s="2">
        <f>O22+'14'!P22</f>
        <v>0</v>
      </c>
      <c r="Q22" s="4">
        <f t="shared" si="4"/>
        <v>0</v>
      </c>
      <c r="R22" s="4">
        <f>Q22+'14'!R22</f>
        <v>1454</v>
      </c>
      <c r="S22" s="27">
        <f t="shared" si="5"/>
        <v>0.66575091575091572</v>
      </c>
      <c r="T22" s="12"/>
      <c r="U22" s="12">
        <f>T22+'14'!U22</f>
        <v>174</v>
      </c>
      <c r="V22" s="12"/>
      <c r="W22" s="12">
        <f>V22+'14'!W22</f>
        <v>7</v>
      </c>
      <c r="X22" s="12"/>
      <c r="Y22" s="12">
        <f>X22+'14'!Y22</f>
        <v>0</v>
      </c>
      <c r="AB22" s="5">
        <v>12</v>
      </c>
      <c r="AC22" s="26" t="str">
        <f>'14'!AC22</f>
        <v>كفر بنى غريـــان</v>
      </c>
      <c r="AD22" s="28">
        <f>'14'!AI22</f>
        <v>42</v>
      </c>
      <c r="AE22" s="3"/>
      <c r="AF22" s="28">
        <f>AE22+'14'!AF22</f>
        <v>192</v>
      </c>
      <c r="AG22" s="4"/>
      <c r="AH22" s="28">
        <f>AG22+'14'!AH22</f>
        <v>150</v>
      </c>
      <c r="AI22" s="4">
        <f t="shared" si="6"/>
        <v>42</v>
      </c>
      <c r="AJ22" s="11" t="e">
        <f t="shared" si="0"/>
        <v>#DIV/0!</v>
      </c>
      <c r="AK22" s="53">
        <f t="shared" si="1"/>
        <v>9.6933333333333334</v>
      </c>
      <c r="AW22" s="26" t="str">
        <f>'14'!AW22</f>
        <v>كفر بنى غريـــان</v>
      </c>
      <c r="AX22" s="12">
        <f>'14'!AX22</f>
        <v>3</v>
      </c>
      <c r="AY22" s="12">
        <f>'14'!AY22</f>
        <v>1327</v>
      </c>
      <c r="AZ22" s="12"/>
      <c r="BA22" s="12"/>
      <c r="BB22" s="12">
        <f>BA22+'14'!BB22</f>
        <v>994</v>
      </c>
      <c r="BC22" s="30">
        <f t="shared" si="2"/>
        <v>0.74905802562170309</v>
      </c>
      <c r="BD22" s="12">
        <f>'14'!BD22</f>
        <v>9</v>
      </c>
      <c r="BE22" s="12">
        <f>'14'!BE22</f>
        <v>381</v>
      </c>
      <c r="BF22" s="12"/>
      <c r="BG22" s="12"/>
      <c r="BH22" s="12">
        <f>BG22+'14'!BH22</f>
        <v>387</v>
      </c>
      <c r="BI22" s="30">
        <f t="shared" si="3"/>
        <v>1.015748031496063</v>
      </c>
    </row>
    <row r="23" spans="1:61" ht="30" customHeight="1" x14ac:dyDescent="0.35">
      <c r="A23" s="5">
        <v>13</v>
      </c>
      <c r="B23" s="26" t="str">
        <f>'14'!B23</f>
        <v>بــقســـــــــــــــــا</v>
      </c>
      <c r="C23" s="26">
        <f>'14'!C23</f>
        <v>862</v>
      </c>
      <c r="D23" s="26"/>
      <c r="E23" s="12"/>
      <c r="F23" s="2">
        <f>E23+'14'!F23</f>
        <v>8</v>
      </c>
      <c r="G23" s="2"/>
      <c r="H23" s="2">
        <f>G23+'14'!H23</f>
        <v>160</v>
      </c>
      <c r="I23" s="2"/>
      <c r="J23" s="2">
        <f>I23+'14'!J23</f>
        <v>359</v>
      </c>
      <c r="K23" s="2"/>
      <c r="L23" s="2">
        <f>K23+'14'!L23</f>
        <v>0</v>
      </c>
      <c r="M23" s="2"/>
      <c r="N23" s="2">
        <f>M23+'14'!N23</f>
        <v>0</v>
      </c>
      <c r="O23" s="2"/>
      <c r="P23" s="2">
        <f>O23+'14'!P23</f>
        <v>0</v>
      </c>
      <c r="Q23" s="4">
        <f t="shared" si="4"/>
        <v>0</v>
      </c>
      <c r="R23" s="4">
        <f>Q23+'14'!R23</f>
        <v>527</v>
      </c>
      <c r="S23" s="27">
        <f t="shared" si="5"/>
        <v>0.61136890951276102</v>
      </c>
      <c r="T23" s="12"/>
      <c r="U23" s="12">
        <f>T23+'14'!U23</f>
        <v>36</v>
      </c>
      <c r="V23" s="12"/>
      <c r="W23" s="12">
        <f>V23+'14'!W23</f>
        <v>14</v>
      </c>
      <c r="X23" s="12"/>
      <c r="Y23" s="12">
        <f>X23+'14'!Y23</f>
        <v>0</v>
      </c>
      <c r="AB23" s="5">
        <v>13</v>
      </c>
      <c r="AC23" s="26" t="str">
        <f>'14'!AC23</f>
        <v>بــقســـــــــــــــــا</v>
      </c>
      <c r="AD23" s="28">
        <f>'14'!AI23</f>
        <v>22</v>
      </c>
      <c r="AE23" s="3"/>
      <c r="AF23" s="28">
        <f>AE23+'14'!AF23</f>
        <v>75</v>
      </c>
      <c r="AG23" s="4"/>
      <c r="AH23" s="28">
        <f>AG23+'14'!AH23</f>
        <v>53</v>
      </c>
      <c r="AI23" s="4">
        <f t="shared" si="6"/>
        <v>22</v>
      </c>
      <c r="AJ23" s="11" t="e">
        <f t="shared" si="0"/>
        <v>#DIV/0!</v>
      </c>
      <c r="AK23" s="53">
        <f t="shared" si="1"/>
        <v>9.9433962264150946</v>
      </c>
      <c r="AW23" s="26" t="str">
        <f>'14'!AW23</f>
        <v>بــقســـــــــــــــــا</v>
      </c>
      <c r="AX23" s="12">
        <f>'14'!AX23</f>
        <v>1</v>
      </c>
      <c r="AY23" s="12">
        <f>'14'!AY23</f>
        <v>311</v>
      </c>
      <c r="AZ23" s="12"/>
      <c r="BA23" s="12"/>
      <c r="BB23" s="12">
        <f>BA23+'14'!BB23</f>
        <v>297</v>
      </c>
      <c r="BC23" s="30">
        <f t="shared" si="2"/>
        <v>0.954983922829582</v>
      </c>
      <c r="BD23" s="12">
        <f>'14'!BD23</f>
        <v>1</v>
      </c>
      <c r="BE23" s="12">
        <f>'14'!BE23</f>
        <v>40</v>
      </c>
      <c r="BF23" s="12"/>
      <c r="BG23" s="12"/>
      <c r="BH23" s="12">
        <f>BG23+'14'!BH23</f>
        <v>30</v>
      </c>
      <c r="BI23" s="30">
        <f t="shared" si="3"/>
        <v>0.75</v>
      </c>
    </row>
    <row r="24" spans="1:61" ht="37.15" customHeight="1" x14ac:dyDescent="0.35">
      <c r="A24" s="5">
        <v>14</v>
      </c>
      <c r="B24" s="26" t="str">
        <f>'14'!B24</f>
        <v>كفــــــــر الأكرم</v>
      </c>
      <c r="C24" s="26">
        <f>'14'!C24</f>
        <v>918</v>
      </c>
      <c r="D24" s="26"/>
      <c r="E24" s="12"/>
      <c r="F24" s="2">
        <f>E24+'14'!F24</f>
        <v>3</v>
      </c>
      <c r="G24" s="2"/>
      <c r="H24" s="2">
        <f>G24+'14'!H24</f>
        <v>233</v>
      </c>
      <c r="I24" s="2"/>
      <c r="J24" s="2">
        <f>I24+'14'!J24</f>
        <v>392</v>
      </c>
      <c r="K24" s="2"/>
      <c r="L24" s="2">
        <f>K24+'14'!L24</f>
        <v>0</v>
      </c>
      <c r="M24" s="2"/>
      <c r="N24" s="2">
        <f>M24+'14'!N24</f>
        <v>0</v>
      </c>
      <c r="O24" s="2"/>
      <c r="P24" s="2">
        <f>O24+'14'!P24</f>
        <v>0</v>
      </c>
      <c r="Q24" s="4">
        <f t="shared" si="4"/>
        <v>0</v>
      </c>
      <c r="R24" s="4">
        <f>Q24+'14'!R24</f>
        <v>628</v>
      </c>
      <c r="S24" s="27">
        <f t="shared" si="5"/>
        <v>0.68409586056644878</v>
      </c>
      <c r="T24" s="12"/>
      <c r="U24" s="12">
        <f>T24+'14'!U24</f>
        <v>87</v>
      </c>
      <c r="V24" s="12"/>
      <c r="W24" s="12">
        <f>V24+'14'!W24</f>
        <v>9</v>
      </c>
      <c r="X24" s="12"/>
      <c r="Y24" s="12">
        <f>X24+'14'!Y24</f>
        <v>0</v>
      </c>
      <c r="AB24" s="5">
        <v>14</v>
      </c>
      <c r="AC24" s="26" t="str">
        <f>'14'!AC24</f>
        <v>كفــــــــر الأكرم</v>
      </c>
      <c r="AD24" s="28">
        <f>'14'!AI24</f>
        <v>15</v>
      </c>
      <c r="AE24" s="3"/>
      <c r="AF24" s="28">
        <f>AE24+'14'!AF24</f>
        <v>80</v>
      </c>
      <c r="AG24" s="4"/>
      <c r="AH24" s="28">
        <f>AG24+'14'!AH24</f>
        <v>65</v>
      </c>
      <c r="AI24" s="4">
        <f t="shared" si="6"/>
        <v>15</v>
      </c>
      <c r="AJ24" s="11" t="e">
        <f t="shared" si="0"/>
        <v>#DIV/0!</v>
      </c>
      <c r="AK24" s="53">
        <f t="shared" si="1"/>
        <v>9.661538461538461</v>
      </c>
      <c r="AW24" s="26" t="str">
        <f>'14'!AW24</f>
        <v>كفــــــــر الأكرم</v>
      </c>
      <c r="AX24" s="12">
        <f>'14'!AX24</f>
        <v>2</v>
      </c>
      <c r="AY24" s="12">
        <f>'14'!AY24</f>
        <v>540</v>
      </c>
      <c r="AZ24" s="12"/>
      <c r="BA24" s="12"/>
      <c r="BB24" s="12">
        <f>BA24+'14'!BB24</f>
        <v>380</v>
      </c>
      <c r="BC24" s="30">
        <f t="shared" si="2"/>
        <v>0.70370370370370372</v>
      </c>
      <c r="BD24" s="12">
        <f>'14'!BD24</f>
        <v>2</v>
      </c>
      <c r="BE24" s="12">
        <f>'14'!BE24</f>
        <v>115</v>
      </c>
      <c r="BF24" s="12"/>
      <c r="BG24" s="12"/>
      <c r="BH24" s="12">
        <f>BG24+'14'!BH24</f>
        <v>160</v>
      </c>
      <c r="BI24" s="30">
        <f t="shared" si="3"/>
        <v>1.3913043478260869</v>
      </c>
    </row>
    <row r="25" spans="1:61" ht="28.9" customHeight="1" x14ac:dyDescent="0.35">
      <c r="A25" s="5">
        <v>15</v>
      </c>
      <c r="B25" s="26" t="str">
        <f>'14'!B25</f>
        <v>كفـــــــــر إبنهس</v>
      </c>
      <c r="C25" s="26">
        <f>'14'!C25</f>
        <v>2072</v>
      </c>
      <c r="D25" s="26"/>
      <c r="E25" s="12"/>
      <c r="F25" s="2">
        <f>E25+'14'!F25</f>
        <v>6</v>
      </c>
      <c r="G25" s="2"/>
      <c r="H25" s="2">
        <f>G25+'14'!H25</f>
        <v>345</v>
      </c>
      <c r="I25" s="2"/>
      <c r="J25" s="2">
        <f>I25+'14'!J25</f>
        <v>974</v>
      </c>
      <c r="K25" s="2"/>
      <c r="L25" s="2">
        <f>K25+'14'!L25</f>
        <v>0</v>
      </c>
      <c r="M25" s="2"/>
      <c r="N25" s="2">
        <f>M25+'14'!N25</f>
        <v>0</v>
      </c>
      <c r="O25" s="2"/>
      <c r="P25" s="2">
        <f>O25+'14'!P25</f>
        <v>0</v>
      </c>
      <c r="Q25" s="4">
        <f t="shared" si="4"/>
        <v>0</v>
      </c>
      <c r="R25" s="4">
        <f>Q25+'14'!R25</f>
        <v>1325</v>
      </c>
      <c r="S25" s="27">
        <f t="shared" si="5"/>
        <v>0.63947876447876451</v>
      </c>
      <c r="T25" s="12"/>
      <c r="U25" s="12">
        <f>T25+'14'!U25</f>
        <v>173</v>
      </c>
      <c r="V25" s="12"/>
      <c r="W25" s="12">
        <f>V25+'14'!W25</f>
        <v>50</v>
      </c>
      <c r="X25" s="12"/>
      <c r="Y25" s="12">
        <f>X25+'14'!Y25</f>
        <v>0</v>
      </c>
      <c r="AB25" s="5">
        <v>15</v>
      </c>
      <c r="AC25" s="26" t="str">
        <f>'14'!AC25</f>
        <v>كفـــــــــر إبنهس</v>
      </c>
      <c r="AD25" s="28">
        <f>'14'!AI25</f>
        <v>31</v>
      </c>
      <c r="AE25" s="3"/>
      <c r="AF25" s="28">
        <f>AE25+'14'!AF25</f>
        <v>180</v>
      </c>
      <c r="AG25" s="4"/>
      <c r="AH25" s="28">
        <f>AG25+'14'!AH25</f>
        <v>149</v>
      </c>
      <c r="AI25" s="4">
        <f t="shared" si="6"/>
        <v>31</v>
      </c>
      <c r="AJ25" s="11" t="e">
        <f t="shared" si="0"/>
        <v>#DIV/0!</v>
      </c>
      <c r="AK25" s="53">
        <f t="shared" si="1"/>
        <v>8.8926174496644297</v>
      </c>
      <c r="AW25" s="26" t="str">
        <f>'14'!AW25</f>
        <v>كفـــــــــر إبنهس</v>
      </c>
      <c r="AX25" s="12">
        <f>'14'!AX25</f>
        <v>3</v>
      </c>
      <c r="AY25" s="12">
        <f>'14'!AY25</f>
        <v>1013</v>
      </c>
      <c r="AZ25" s="12"/>
      <c r="BA25" s="12"/>
      <c r="BB25" s="12">
        <f>BA25+'14'!BB25</f>
        <v>838</v>
      </c>
      <c r="BC25" s="30">
        <f t="shared" si="2"/>
        <v>0.82724580454096741</v>
      </c>
      <c r="BD25" s="12">
        <f>'14'!BD25</f>
        <v>4</v>
      </c>
      <c r="BE25" s="12">
        <f>'14'!BE25</f>
        <v>620</v>
      </c>
      <c r="BF25" s="12"/>
      <c r="BG25" s="12"/>
      <c r="BH25" s="12">
        <f>BG25+'14'!BH25</f>
        <v>507</v>
      </c>
      <c r="BI25" s="30">
        <f t="shared" si="3"/>
        <v>0.81774193548387097</v>
      </c>
    </row>
    <row r="26" spans="1:61" ht="28.9" customHeight="1" x14ac:dyDescent="0.35">
      <c r="A26" s="5">
        <v>16</v>
      </c>
      <c r="B26" s="26" t="str">
        <f>'14'!B26</f>
        <v>الرمــــــــــــــالى</v>
      </c>
      <c r="C26" s="26">
        <f>'14'!C26</f>
        <v>2699</v>
      </c>
      <c r="D26" s="26"/>
      <c r="E26" s="12"/>
      <c r="F26" s="2">
        <f>E26+'14'!F26</f>
        <v>27</v>
      </c>
      <c r="G26" s="2"/>
      <c r="H26" s="2">
        <f>G26+'14'!H26</f>
        <v>312</v>
      </c>
      <c r="I26" s="2"/>
      <c r="J26" s="2">
        <f>I26+'14'!J26</f>
        <v>993</v>
      </c>
      <c r="K26" s="2"/>
      <c r="L26" s="2">
        <f>K26+'14'!L26</f>
        <v>0</v>
      </c>
      <c r="M26" s="2"/>
      <c r="N26" s="2">
        <f>M26+'14'!N26</f>
        <v>0</v>
      </c>
      <c r="O26" s="2"/>
      <c r="P26" s="2">
        <f>O26+'14'!P26</f>
        <v>0</v>
      </c>
      <c r="Q26" s="4">
        <f t="shared" si="4"/>
        <v>0</v>
      </c>
      <c r="R26" s="4">
        <f>Q26+'14'!R26</f>
        <v>1332</v>
      </c>
      <c r="S26" s="27">
        <f t="shared" si="5"/>
        <v>0.49351611708040016</v>
      </c>
      <c r="T26" s="12"/>
      <c r="U26" s="12">
        <f>T26+'14'!U26</f>
        <v>114</v>
      </c>
      <c r="V26" s="12"/>
      <c r="W26" s="12">
        <f>V26+'14'!W26</f>
        <v>108</v>
      </c>
      <c r="X26" s="12"/>
      <c r="Y26" s="12">
        <f>X26+'14'!Y26</f>
        <v>1</v>
      </c>
      <c r="Z26" s="38"/>
      <c r="AB26" s="5">
        <v>16</v>
      </c>
      <c r="AC26" s="26" t="str">
        <f>'14'!AC26</f>
        <v>الرمــــــــــــــالى</v>
      </c>
      <c r="AD26" s="28">
        <f>'14'!AI26</f>
        <v>96</v>
      </c>
      <c r="AE26" s="3"/>
      <c r="AF26" s="28">
        <f>AE26+'14'!AF26</f>
        <v>235</v>
      </c>
      <c r="AG26" s="4"/>
      <c r="AH26" s="28">
        <f>AG26+'14'!AH26</f>
        <v>139</v>
      </c>
      <c r="AI26" s="4">
        <f t="shared" si="6"/>
        <v>96</v>
      </c>
      <c r="AJ26" s="11" t="e">
        <f t="shared" si="0"/>
        <v>#DIV/0!</v>
      </c>
      <c r="AK26" s="53">
        <f t="shared" si="1"/>
        <v>9.5827338129496411</v>
      </c>
      <c r="AV26" s="38"/>
      <c r="AW26" s="26" t="str">
        <f>'14'!AW26</f>
        <v>الرمــــــــــــــالى</v>
      </c>
      <c r="AX26" s="12">
        <f>'14'!AX26</f>
        <v>3</v>
      </c>
      <c r="AY26" s="12">
        <f>'14'!AY26</f>
        <v>1486</v>
      </c>
      <c r="AZ26" s="12"/>
      <c r="BA26" s="12"/>
      <c r="BB26" s="12">
        <f>BA26+'14'!BB26</f>
        <v>1149</v>
      </c>
      <c r="BC26" s="30">
        <f t="shared" si="2"/>
        <v>0.77321668909825036</v>
      </c>
      <c r="BD26" s="12">
        <f>'14'!BD26</f>
        <v>3</v>
      </c>
      <c r="BE26" s="12">
        <f>'14'!BE26</f>
        <v>98</v>
      </c>
      <c r="BF26" s="12"/>
      <c r="BG26" s="12"/>
      <c r="BH26" s="12">
        <f>BG26+'14'!BH26</f>
        <v>0</v>
      </c>
      <c r="BI26" s="30">
        <f t="shared" si="3"/>
        <v>0</v>
      </c>
    </row>
    <row r="27" spans="1:61" ht="28.9" customHeight="1" x14ac:dyDescent="0.35">
      <c r="A27" s="5">
        <v>17</v>
      </c>
      <c r="B27" s="26" t="str">
        <f>'14'!B27</f>
        <v>مصطــــــــــــاى</v>
      </c>
      <c r="C27" s="26">
        <f>'14'!C27</f>
        <v>2666</v>
      </c>
      <c r="D27" s="26"/>
      <c r="E27" s="12"/>
      <c r="F27" s="2">
        <f>E27+'14'!F27</f>
        <v>54</v>
      </c>
      <c r="G27" s="2"/>
      <c r="H27" s="2">
        <f>G27+'14'!H27</f>
        <v>364</v>
      </c>
      <c r="I27" s="2"/>
      <c r="J27" s="2">
        <f>I27+'14'!J27</f>
        <v>1154</v>
      </c>
      <c r="K27" s="2"/>
      <c r="L27" s="2">
        <f>K27+'14'!L27</f>
        <v>0</v>
      </c>
      <c r="M27" s="2"/>
      <c r="N27" s="2">
        <f>M27+'14'!N27</f>
        <v>0</v>
      </c>
      <c r="O27" s="2"/>
      <c r="P27" s="2">
        <f>O27+'14'!P27</f>
        <v>0</v>
      </c>
      <c r="Q27" s="4">
        <f t="shared" si="4"/>
        <v>0</v>
      </c>
      <c r="R27" s="4">
        <f>Q27+'14'!R27</f>
        <v>1572</v>
      </c>
      <c r="S27" s="27">
        <f t="shared" si="5"/>
        <v>0.58964741185296321</v>
      </c>
      <c r="T27" s="12"/>
      <c r="U27" s="12">
        <f>T27+'14'!U27</f>
        <v>45</v>
      </c>
      <c r="V27" s="12"/>
      <c r="W27" s="12">
        <f>V27+'14'!W27</f>
        <v>15</v>
      </c>
      <c r="X27" s="12"/>
      <c r="Y27" s="12">
        <f>X27+'14'!Y27</f>
        <v>0</v>
      </c>
      <c r="AB27" s="5">
        <v>17</v>
      </c>
      <c r="AC27" s="26" t="str">
        <f>'14'!AC27</f>
        <v>مصطــــــــــــاى</v>
      </c>
      <c r="AD27" s="28">
        <f>'14'!AI27</f>
        <v>74</v>
      </c>
      <c r="AE27" s="3"/>
      <c r="AF27" s="28">
        <f>AE27+'14'!AF27</f>
        <v>234</v>
      </c>
      <c r="AG27" s="4"/>
      <c r="AH27" s="28">
        <f>AG27+'14'!AH27</f>
        <v>160</v>
      </c>
      <c r="AI27" s="4">
        <f t="shared" si="6"/>
        <v>74</v>
      </c>
      <c r="AJ27" s="11" t="e">
        <f t="shared" si="0"/>
        <v>#DIV/0!</v>
      </c>
      <c r="AK27" s="53">
        <f t="shared" si="1"/>
        <v>9.8249999999999993</v>
      </c>
      <c r="AW27" s="26" t="str">
        <f>'14'!AW27</f>
        <v>مصطــــــــــــاى</v>
      </c>
      <c r="AX27" s="12">
        <f>'14'!AX27</f>
        <v>3</v>
      </c>
      <c r="AY27" s="12">
        <f>'14'!AY27</f>
        <v>1709</v>
      </c>
      <c r="AZ27" s="12"/>
      <c r="BA27" s="12"/>
      <c r="BB27" s="12">
        <f>BA27+'14'!BB27</f>
        <v>1252</v>
      </c>
      <c r="BC27" s="30">
        <f t="shared" si="2"/>
        <v>0.73259215915740195</v>
      </c>
      <c r="BD27" s="12">
        <f>'14'!BD27</f>
        <v>6</v>
      </c>
      <c r="BE27" s="12">
        <f>'14'!BE27</f>
        <v>696</v>
      </c>
      <c r="BF27" s="12"/>
      <c r="BG27" s="12"/>
      <c r="BH27" s="12">
        <f>BG27+'14'!BH27</f>
        <v>120</v>
      </c>
      <c r="BI27" s="30">
        <f t="shared" si="3"/>
        <v>0.17241379310344829</v>
      </c>
    </row>
    <row r="28" spans="1:61" ht="28.9" customHeight="1" x14ac:dyDescent="0.35">
      <c r="A28" s="5">
        <v>18</v>
      </c>
      <c r="B28" s="26" t="str">
        <f>'14'!B28</f>
        <v>كفر طـــــــه شبرا</v>
      </c>
      <c r="C28" s="26">
        <f>'14'!C28</f>
        <v>1795</v>
      </c>
      <c r="D28" s="26"/>
      <c r="E28" s="12"/>
      <c r="F28" s="2">
        <f>E28+'14'!F28</f>
        <v>8</v>
      </c>
      <c r="G28" s="2"/>
      <c r="H28" s="2">
        <f>G28+'14'!H28</f>
        <v>294</v>
      </c>
      <c r="I28" s="2"/>
      <c r="J28" s="2">
        <f>I28+'14'!J28</f>
        <v>940</v>
      </c>
      <c r="K28" s="2"/>
      <c r="L28" s="2">
        <f>K28+'14'!L28</f>
        <v>0</v>
      </c>
      <c r="M28" s="2"/>
      <c r="N28" s="2">
        <f>M28+'14'!N28</f>
        <v>0</v>
      </c>
      <c r="O28" s="2"/>
      <c r="P28" s="2">
        <f>O28+'14'!P28</f>
        <v>0</v>
      </c>
      <c r="Q28" s="4">
        <f t="shared" si="4"/>
        <v>0</v>
      </c>
      <c r="R28" s="4">
        <f>Q28+'14'!R28</f>
        <v>1242</v>
      </c>
      <c r="S28" s="27">
        <f t="shared" si="5"/>
        <v>0.69192200557103067</v>
      </c>
      <c r="T28" s="12"/>
      <c r="U28" s="12">
        <f>T28+'14'!U28</f>
        <v>136</v>
      </c>
      <c r="V28" s="12"/>
      <c r="W28" s="12">
        <f>V28+'14'!W28</f>
        <v>33</v>
      </c>
      <c r="X28" s="12"/>
      <c r="Y28" s="12">
        <f>X28+'14'!Y28</f>
        <v>0</v>
      </c>
      <c r="AB28" s="5">
        <v>18</v>
      </c>
      <c r="AC28" s="26" t="str">
        <f>'14'!AC28</f>
        <v>كفر طـــــــه شبرا</v>
      </c>
      <c r="AD28" s="28">
        <f>'14'!AI28</f>
        <v>28</v>
      </c>
      <c r="AE28" s="3"/>
      <c r="AF28" s="28">
        <f>AE28+'14'!AF28</f>
        <v>158</v>
      </c>
      <c r="AG28" s="4"/>
      <c r="AH28" s="28">
        <f>AG28+'14'!AH28</f>
        <v>130</v>
      </c>
      <c r="AI28" s="4">
        <f t="shared" si="6"/>
        <v>28</v>
      </c>
      <c r="AJ28" s="11" t="e">
        <f t="shared" si="0"/>
        <v>#DIV/0!</v>
      </c>
      <c r="AK28" s="53">
        <f t="shared" si="1"/>
        <v>9.5538461538461537</v>
      </c>
      <c r="AW28" s="26" t="str">
        <f>'14'!AW28</f>
        <v>كفر طـــــــه شبرا</v>
      </c>
      <c r="AX28" s="12">
        <f>'14'!AX28</f>
        <v>4</v>
      </c>
      <c r="AY28" s="12">
        <f>'14'!AY28</f>
        <v>948</v>
      </c>
      <c r="AZ28" s="12"/>
      <c r="BA28" s="12"/>
      <c r="BB28" s="12">
        <f>BA28+'14'!BB28</f>
        <v>827</v>
      </c>
      <c r="BC28" s="30">
        <f t="shared" si="2"/>
        <v>0.87236286919831219</v>
      </c>
      <c r="BD28" s="12">
        <f>'14'!BD28</f>
        <v>7</v>
      </c>
      <c r="BE28" s="12">
        <f>'14'!BE28</f>
        <v>300</v>
      </c>
      <c r="BF28" s="12"/>
      <c r="BG28" s="12"/>
      <c r="BH28" s="12">
        <f>BG28+'14'!BH28</f>
        <v>403</v>
      </c>
      <c r="BI28" s="30">
        <f t="shared" si="3"/>
        <v>1.3433333333333333</v>
      </c>
    </row>
    <row r="29" spans="1:61" ht="28.9" customHeight="1" x14ac:dyDescent="0.35">
      <c r="A29" s="5">
        <v>19</v>
      </c>
      <c r="B29" s="26" t="str">
        <f>'14'!B29</f>
        <v>كفر أبـــو الحسن</v>
      </c>
      <c r="C29" s="26">
        <f>'14'!C29</f>
        <v>1397</v>
      </c>
      <c r="D29" s="26"/>
      <c r="E29" s="12"/>
      <c r="F29" s="2">
        <f>E29+'14'!F29</f>
        <v>4</v>
      </c>
      <c r="G29" s="2"/>
      <c r="H29" s="2">
        <f>G29+'14'!H29</f>
        <v>238</v>
      </c>
      <c r="I29" s="2"/>
      <c r="J29" s="2">
        <f>I29+'14'!J29</f>
        <v>841</v>
      </c>
      <c r="K29" s="2"/>
      <c r="L29" s="2">
        <f>K29+'14'!L29</f>
        <v>0</v>
      </c>
      <c r="M29" s="2"/>
      <c r="N29" s="2">
        <f>M29+'14'!N29</f>
        <v>0</v>
      </c>
      <c r="O29" s="2"/>
      <c r="P29" s="2">
        <f>O29+'14'!P29</f>
        <v>0</v>
      </c>
      <c r="Q29" s="4">
        <f t="shared" si="4"/>
        <v>0</v>
      </c>
      <c r="R29" s="4">
        <f>Q29+'14'!R29</f>
        <v>1083</v>
      </c>
      <c r="S29" s="27">
        <f t="shared" si="5"/>
        <v>0.77523264137437364</v>
      </c>
      <c r="T29" s="12"/>
      <c r="U29" s="12">
        <f>T29+'14'!U29</f>
        <v>205</v>
      </c>
      <c r="V29" s="12"/>
      <c r="W29" s="12">
        <f>V29+'14'!W29</f>
        <v>18</v>
      </c>
      <c r="X29" s="12"/>
      <c r="Y29" s="12">
        <f>X29+'14'!Y29</f>
        <v>0</v>
      </c>
      <c r="AB29" s="5">
        <v>19</v>
      </c>
      <c r="AC29" s="26" t="str">
        <f>'14'!AC29</f>
        <v>كفر أبـــو الحسن</v>
      </c>
      <c r="AD29" s="28">
        <f>'14'!AI29</f>
        <v>22</v>
      </c>
      <c r="AE29" s="3"/>
      <c r="AF29" s="28">
        <f>AE29+'14'!AF29</f>
        <v>133</v>
      </c>
      <c r="AG29" s="4"/>
      <c r="AH29" s="28">
        <f>AG29+'14'!AH29</f>
        <v>111</v>
      </c>
      <c r="AI29" s="4">
        <f t="shared" si="6"/>
        <v>22</v>
      </c>
      <c r="AJ29" s="11" t="e">
        <f t="shared" si="0"/>
        <v>#DIV/0!</v>
      </c>
      <c r="AK29" s="53">
        <f t="shared" si="1"/>
        <v>9.7567567567567561</v>
      </c>
      <c r="AW29" s="26" t="str">
        <f>'14'!AW29</f>
        <v>كفر أبـــو الحسن</v>
      </c>
      <c r="AX29" s="12">
        <f>'14'!AX29</f>
        <v>3</v>
      </c>
      <c r="AY29" s="12">
        <f>'14'!AY29</f>
        <v>912</v>
      </c>
      <c r="AZ29" s="12"/>
      <c r="BA29" s="12"/>
      <c r="BB29" s="12">
        <f>BA29+'14'!BB29</f>
        <v>760</v>
      </c>
      <c r="BC29" s="30">
        <f t="shared" si="2"/>
        <v>0.83333333333333337</v>
      </c>
      <c r="BD29" s="12">
        <f>'14'!BD29</f>
        <v>9</v>
      </c>
      <c r="BE29" s="12">
        <f>'14'!BE29</f>
        <v>258</v>
      </c>
      <c r="BF29" s="12"/>
      <c r="BG29" s="12"/>
      <c r="BH29" s="12">
        <f>BG29+'14'!BH29</f>
        <v>351</v>
      </c>
      <c r="BI29" s="30">
        <f t="shared" si="3"/>
        <v>1.3604651162790697</v>
      </c>
    </row>
    <row r="30" spans="1:61" ht="28.9" customHeight="1" x14ac:dyDescent="0.35">
      <c r="A30" s="5">
        <v>20</v>
      </c>
      <c r="B30" s="26" t="str">
        <f>'14'!B30</f>
        <v>ميت أبـــــوشيخه</v>
      </c>
      <c r="C30" s="26">
        <f>'14'!C30</f>
        <v>1134</v>
      </c>
      <c r="D30" s="26"/>
      <c r="E30" s="12"/>
      <c r="F30" s="2">
        <f>E30+'14'!F30</f>
        <v>10</v>
      </c>
      <c r="G30" s="2"/>
      <c r="H30" s="2">
        <f>G30+'14'!H30</f>
        <v>144</v>
      </c>
      <c r="I30" s="2"/>
      <c r="J30" s="2">
        <f>I30+'14'!J30</f>
        <v>435</v>
      </c>
      <c r="K30" s="2"/>
      <c r="L30" s="2">
        <f>K30+'14'!L30</f>
        <v>0</v>
      </c>
      <c r="M30" s="2"/>
      <c r="N30" s="2">
        <f>M30+'14'!N30</f>
        <v>0</v>
      </c>
      <c r="O30" s="2"/>
      <c r="P30" s="2">
        <f>O30+'14'!P30</f>
        <v>0</v>
      </c>
      <c r="Q30" s="4">
        <f t="shared" si="4"/>
        <v>0</v>
      </c>
      <c r="R30" s="4">
        <f>Q30+'14'!R30</f>
        <v>589</v>
      </c>
      <c r="S30" s="27">
        <f t="shared" si="5"/>
        <v>0.51940035273368612</v>
      </c>
      <c r="T30" s="12"/>
      <c r="U30" s="12">
        <f>T30+'14'!U30</f>
        <v>68</v>
      </c>
      <c r="V30" s="12"/>
      <c r="W30" s="12">
        <f>V30+'14'!W30</f>
        <v>10</v>
      </c>
      <c r="X30" s="12"/>
      <c r="Y30" s="12">
        <f>X30+'14'!Y30</f>
        <v>0</v>
      </c>
      <c r="AB30" s="5">
        <v>20</v>
      </c>
      <c r="AC30" s="26" t="str">
        <f>'14'!AC30</f>
        <v>ميت أبـــــوشيخه</v>
      </c>
      <c r="AD30" s="28">
        <f>'14'!AI30</f>
        <v>40</v>
      </c>
      <c r="AE30" s="3"/>
      <c r="AF30" s="28">
        <f>AE30+'14'!AF30</f>
        <v>100</v>
      </c>
      <c r="AG30" s="4"/>
      <c r="AH30" s="28">
        <f>AG30+'14'!AH30</f>
        <v>60</v>
      </c>
      <c r="AI30" s="4">
        <f t="shared" si="6"/>
        <v>40</v>
      </c>
      <c r="AJ30" s="11" t="e">
        <f t="shared" si="0"/>
        <v>#DIV/0!</v>
      </c>
      <c r="AK30" s="53">
        <f t="shared" si="1"/>
        <v>9.8166666666666664</v>
      </c>
      <c r="AW30" s="26" t="str">
        <f>'14'!AW30</f>
        <v>ميت أبـــــوشيخه</v>
      </c>
      <c r="AX30" s="12">
        <f>'14'!AX30</f>
        <v>2</v>
      </c>
      <c r="AY30" s="12">
        <f>'14'!AY30</f>
        <v>560</v>
      </c>
      <c r="AZ30" s="12"/>
      <c r="BA30" s="12"/>
      <c r="BB30" s="12">
        <f>BA30+'14'!BB30</f>
        <v>459</v>
      </c>
      <c r="BC30" s="30">
        <f t="shared" si="2"/>
        <v>0.81964285714285712</v>
      </c>
      <c r="BD30" s="12">
        <f>'14'!BD30</f>
        <v>2</v>
      </c>
      <c r="BE30" s="12">
        <f>'14'!BE30</f>
        <v>107</v>
      </c>
      <c r="BF30" s="12"/>
      <c r="BG30" s="12"/>
      <c r="BH30" s="12">
        <f>BG30+'14'!BH30</f>
        <v>85</v>
      </c>
      <c r="BI30" s="30">
        <f t="shared" si="3"/>
        <v>0.79439252336448596</v>
      </c>
    </row>
    <row r="31" spans="1:61" ht="28.9" customHeight="1" x14ac:dyDescent="0.35">
      <c r="A31" s="5">
        <v>21</v>
      </c>
      <c r="B31" s="26" t="str">
        <f>'14'!B31</f>
        <v>طــــــــــــه شبرا</v>
      </c>
      <c r="C31" s="26">
        <f>'14'!C31</f>
        <v>5149</v>
      </c>
      <c r="D31" s="26"/>
      <c r="E31" s="12"/>
      <c r="F31" s="2">
        <f>E31+'14'!F31</f>
        <v>22</v>
      </c>
      <c r="G31" s="2"/>
      <c r="H31" s="2">
        <f>G31+'14'!H31</f>
        <v>967</v>
      </c>
      <c r="I31" s="2"/>
      <c r="J31" s="2">
        <f>I31+'14'!J31</f>
        <v>1288</v>
      </c>
      <c r="K31" s="2"/>
      <c r="L31" s="2">
        <f>K31+'14'!L31</f>
        <v>0</v>
      </c>
      <c r="M31" s="2"/>
      <c r="N31" s="2">
        <f>M31+'14'!N31</f>
        <v>0</v>
      </c>
      <c r="O31" s="2"/>
      <c r="P31" s="2">
        <f>O31+'14'!P31</f>
        <v>0</v>
      </c>
      <c r="Q31" s="4">
        <f t="shared" si="4"/>
        <v>0</v>
      </c>
      <c r="R31" s="4">
        <f>Q31+'14'!R31</f>
        <v>2277</v>
      </c>
      <c r="S31" s="27">
        <f t="shared" si="5"/>
        <v>0.442221790638959</v>
      </c>
      <c r="T31" s="12"/>
      <c r="U31" s="12">
        <f>T31+'14'!U31</f>
        <v>277</v>
      </c>
      <c r="V31" s="12"/>
      <c r="W31" s="12">
        <f>V31+'14'!W31</f>
        <v>3</v>
      </c>
      <c r="X31" s="12"/>
      <c r="Y31" s="12">
        <f>X31+'14'!Y31</f>
        <v>0</v>
      </c>
      <c r="AB31" s="5">
        <v>21</v>
      </c>
      <c r="AC31" s="26" t="str">
        <f>'14'!AC31</f>
        <v>طــــــــــــه شبرا</v>
      </c>
      <c r="AD31" s="28">
        <f>'14'!AI31</f>
        <v>216</v>
      </c>
      <c r="AE31" s="3"/>
      <c r="AF31" s="28">
        <f>AE31+'14'!AF31</f>
        <v>452</v>
      </c>
      <c r="AG31" s="4"/>
      <c r="AH31" s="28">
        <f>AG31+'14'!AH31</f>
        <v>236</v>
      </c>
      <c r="AI31" s="4">
        <f t="shared" si="6"/>
        <v>216</v>
      </c>
      <c r="AJ31" s="11" t="e">
        <f t="shared" si="0"/>
        <v>#DIV/0!</v>
      </c>
      <c r="AK31" s="53">
        <f t="shared" si="1"/>
        <v>9.648305084745763</v>
      </c>
      <c r="AW31" s="26" t="str">
        <f>'14'!AW31</f>
        <v>طــــــــــــه شبرا</v>
      </c>
      <c r="AX31" s="12">
        <f>'14'!AX31</f>
        <v>6</v>
      </c>
      <c r="AY31" s="12">
        <f>'14'!AY31</f>
        <v>2219</v>
      </c>
      <c r="AZ31" s="12"/>
      <c r="BA31" s="12"/>
      <c r="BB31" s="12">
        <f>BA31+'14'!BB31</f>
        <v>1367</v>
      </c>
      <c r="BC31" s="30">
        <f t="shared" si="2"/>
        <v>0.61604326273095988</v>
      </c>
      <c r="BD31" s="12">
        <f>'14'!BD31</f>
        <v>8</v>
      </c>
      <c r="BE31" s="12">
        <f>'14'!BE31</f>
        <v>748</v>
      </c>
      <c r="BF31" s="12"/>
      <c r="BG31" s="12"/>
      <c r="BH31" s="12">
        <f>BG31+'14'!BH31</f>
        <v>690</v>
      </c>
      <c r="BI31" s="30">
        <f t="shared" si="3"/>
        <v>0.92245989304812837</v>
      </c>
    </row>
    <row r="32" spans="1:61" ht="28.9" customHeight="1" x14ac:dyDescent="0.35">
      <c r="A32" s="5">
        <v>22</v>
      </c>
      <c r="B32" s="26" t="str">
        <f>'14'!B32</f>
        <v>أشـــــــــــــــــليم</v>
      </c>
      <c r="C32" s="26">
        <f>'14'!C32</f>
        <v>2638</v>
      </c>
      <c r="D32" s="26"/>
      <c r="E32" s="12"/>
      <c r="F32" s="2">
        <f>E32+'14'!F32</f>
        <v>19</v>
      </c>
      <c r="G32" s="2"/>
      <c r="H32" s="2">
        <f>G32+'14'!H32</f>
        <v>606</v>
      </c>
      <c r="I32" s="2"/>
      <c r="J32" s="2">
        <f>I32+'14'!J32</f>
        <v>1522</v>
      </c>
      <c r="K32" s="2"/>
      <c r="L32" s="2">
        <f>K32+'14'!L32</f>
        <v>0</v>
      </c>
      <c r="M32" s="2"/>
      <c r="N32" s="2">
        <f>M32+'14'!N32</f>
        <v>0</v>
      </c>
      <c r="O32" s="2"/>
      <c r="P32" s="2">
        <f>O32+'14'!P32</f>
        <v>0</v>
      </c>
      <c r="Q32" s="4">
        <f t="shared" si="4"/>
        <v>0</v>
      </c>
      <c r="R32" s="4">
        <f>Q32+'14'!R32</f>
        <v>2147</v>
      </c>
      <c r="S32" s="27">
        <f t="shared" si="5"/>
        <v>0.81387414708112205</v>
      </c>
      <c r="T32" s="12"/>
      <c r="U32" s="12">
        <f>T32+'14'!U32</f>
        <v>149</v>
      </c>
      <c r="V32" s="12"/>
      <c r="W32" s="12">
        <f>V32+'14'!W32</f>
        <v>119</v>
      </c>
      <c r="X32" s="12"/>
      <c r="Y32" s="12">
        <f>X32+'14'!Y32</f>
        <v>0</v>
      </c>
      <c r="AB32" s="5">
        <v>22</v>
      </c>
      <c r="AC32" s="26" t="str">
        <f>'14'!AC32</f>
        <v>أشـــــــــــــــــليم</v>
      </c>
      <c r="AD32" s="28">
        <f>'14'!AI32</f>
        <v>31</v>
      </c>
      <c r="AE32" s="3"/>
      <c r="AF32" s="28">
        <f>AE32+'14'!AF32</f>
        <v>252</v>
      </c>
      <c r="AG32" s="4"/>
      <c r="AH32" s="28">
        <f>AG32+'14'!AH32</f>
        <v>221</v>
      </c>
      <c r="AI32" s="4">
        <f t="shared" si="6"/>
        <v>31</v>
      </c>
      <c r="AJ32" s="11" t="e">
        <f t="shared" si="0"/>
        <v>#DIV/0!</v>
      </c>
      <c r="AK32" s="53">
        <f t="shared" si="1"/>
        <v>9.7149321266968318</v>
      </c>
      <c r="AW32" s="26" t="str">
        <f>'14'!AW32</f>
        <v>أشـــــــــــــــــليم</v>
      </c>
      <c r="AX32" s="12">
        <f>'14'!AX32</f>
        <v>8</v>
      </c>
      <c r="AY32" s="12">
        <f>'14'!AY32</f>
        <v>1819</v>
      </c>
      <c r="AZ32" s="12"/>
      <c r="BA32" s="12"/>
      <c r="BB32" s="12">
        <f>BA32+'14'!BB32</f>
        <v>1506</v>
      </c>
      <c r="BC32" s="30">
        <f t="shared" si="2"/>
        <v>0.82792743265530511</v>
      </c>
      <c r="BD32" s="12">
        <f>'14'!BD32</f>
        <v>7</v>
      </c>
      <c r="BE32" s="12">
        <f>'14'!BE32</f>
        <v>176</v>
      </c>
      <c r="BF32" s="12"/>
      <c r="BG32" s="12"/>
      <c r="BH32" s="12">
        <f>BG32+'14'!BH32</f>
        <v>531</v>
      </c>
      <c r="BI32" s="30">
        <f t="shared" si="3"/>
        <v>3.0170454545454546</v>
      </c>
    </row>
    <row r="33" spans="1:61" ht="28.9" customHeight="1" x14ac:dyDescent="0.35">
      <c r="A33" s="5">
        <v>23</v>
      </c>
      <c r="B33" s="26" t="str">
        <f>'14'!B33</f>
        <v>شبرا قبالــــــــــه</v>
      </c>
      <c r="C33" s="26">
        <f>'14'!C33</f>
        <v>2050</v>
      </c>
      <c r="D33" s="26"/>
      <c r="E33" s="12"/>
      <c r="F33" s="2">
        <f>E33+'14'!F33</f>
        <v>23</v>
      </c>
      <c r="G33" s="2"/>
      <c r="H33" s="2">
        <f>G33+'14'!H33</f>
        <v>644</v>
      </c>
      <c r="I33" s="2"/>
      <c r="J33" s="2">
        <f>I33+'14'!J33</f>
        <v>773</v>
      </c>
      <c r="K33" s="2"/>
      <c r="L33" s="2">
        <f>K33+'14'!L33</f>
        <v>0</v>
      </c>
      <c r="M33" s="2"/>
      <c r="N33" s="2">
        <f>M33+'14'!N33</f>
        <v>0</v>
      </c>
      <c r="O33" s="2"/>
      <c r="P33" s="2">
        <f>O33+'14'!P33</f>
        <v>0</v>
      </c>
      <c r="Q33" s="4">
        <f t="shared" si="4"/>
        <v>0</v>
      </c>
      <c r="R33" s="4">
        <f>Q33+'14'!R33</f>
        <v>1440</v>
      </c>
      <c r="S33" s="27">
        <f t="shared" si="5"/>
        <v>0.70243902439024386</v>
      </c>
      <c r="T33" s="12"/>
      <c r="U33" s="12">
        <f>T33+'14'!U33</f>
        <v>96</v>
      </c>
      <c r="V33" s="12"/>
      <c r="W33" s="12">
        <f>V33+'14'!W33</f>
        <v>64</v>
      </c>
      <c r="X33" s="12"/>
      <c r="Y33" s="12">
        <f>X33+'14'!Y33</f>
        <v>0</v>
      </c>
      <c r="AB33" s="5">
        <v>23</v>
      </c>
      <c r="AC33" s="26" t="str">
        <f>'14'!AC33</f>
        <v>شبرا قبالــــــــــه</v>
      </c>
      <c r="AD33" s="28">
        <f>'14'!AI33</f>
        <v>36</v>
      </c>
      <c r="AE33" s="3"/>
      <c r="AF33" s="28">
        <f>AE33+'14'!AF33</f>
        <v>180</v>
      </c>
      <c r="AG33" s="4"/>
      <c r="AH33" s="28">
        <f>AG33+'14'!AH33</f>
        <v>144</v>
      </c>
      <c r="AI33" s="4">
        <f t="shared" si="6"/>
        <v>36</v>
      </c>
      <c r="AJ33" s="11" t="e">
        <f t="shared" si="0"/>
        <v>#DIV/0!</v>
      </c>
      <c r="AK33" s="53">
        <f t="shared" si="1"/>
        <v>10</v>
      </c>
      <c r="AW33" s="26" t="str">
        <f>'14'!AW33</f>
        <v>شبرا قبالــــــــــه</v>
      </c>
      <c r="AX33" s="12">
        <f>'14'!AX33</f>
        <v>1</v>
      </c>
      <c r="AY33" s="12">
        <f>'14'!AY33</f>
        <v>918</v>
      </c>
      <c r="AZ33" s="12"/>
      <c r="BA33" s="12"/>
      <c r="BB33" s="12">
        <f>BA33+'14'!BB33</f>
        <v>780</v>
      </c>
      <c r="BC33" s="30">
        <f t="shared" si="2"/>
        <v>0.84967320261437906</v>
      </c>
      <c r="BD33" s="12">
        <f>'14'!BD33</f>
        <v>5</v>
      </c>
      <c r="BE33" s="12">
        <f>'14'!BE33</f>
        <v>375</v>
      </c>
      <c r="BF33" s="12"/>
      <c r="BG33" s="12"/>
      <c r="BH33" s="12">
        <f>BG33+'14'!BH33</f>
        <v>430</v>
      </c>
      <c r="BI33" s="30">
        <f t="shared" si="3"/>
        <v>1.1466666666666667</v>
      </c>
    </row>
    <row r="34" spans="1:61" ht="28.9" customHeight="1" x14ac:dyDescent="0.35">
      <c r="A34" s="5">
        <v>24</v>
      </c>
      <c r="B34" s="26" t="str">
        <f>'14'!B34</f>
        <v>عرب الرمـــــــل</v>
      </c>
      <c r="C34" s="26">
        <f>'14'!C34</f>
        <v>5755</v>
      </c>
      <c r="D34" s="26"/>
      <c r="E34" s="12"/>
      <c r="F34" s="2">
        <f>E34+'14'!F34</f>
        <v>22</v>
      </c>
      <c r="G34" s="2"/>
      <c r="H34" s="2">
        <f>G34+'14'!H34</f>
        <v>1011</v>
      </c>
      <c r="I34" s="2"/>
      <c r="J34" s="2">
        <f>I34+'14'!J34</f>
        <v>1364</v>
      </c>
      <c r="K34" s="2"/>
      <c r="L34" s="2">
        <f>K34+'14'!L34</f>
        <v>0</v>
      </c>
      <c r="M34" s="2"/>
      <c r="N34" s="2">
        <f>M34+'14'!N34</f>
        <v>0</v>
      </c>
      <c r="O34" s="2"/>
      <c r="P34" s="2">
        <f>O34+'14'!P34</f>
        <v>0</v>
      </c>
      <c r="Q34" s="4">
        <f t="shared" si="4"/>
        <v>0</v>
      </c>
      <c r="R34" s="4">
        <f>Q34+'14'!R34</f>
        <v>2397</v>
      </c>
      <c r="S34" s="27">
        <f t="shared" si="5"/>
        <v>0.41650738488271066</v>
      </c>
      <c r="T34" s="12"/>
      <c r="U34" s="12">
        <f>T34+'14'!U34</f>
        <v>562</v>
      </c>
      <c r="V34" s="12"/>
      <c r="W34" s="12">
        <f>V34+'14'!W34</f>
        <v>41</v>
      </c>
      <c r="X34" s="12"/>
      <c r="Y34" s="12">
        <f>X34+'14'!Y34</f>
        <v>0</v>
      </c>
      <c r="AB34" s="5">
        <v>24</v>
      </c>
      <c r="AC34" s="26" t="str">
        <f>'14'!AC34</f>
        <v>عرب الرمـــــــل</v>
      </c>
      <c r="AD34" s="28">
        <f>'14'!AI34</f>
        <v>263</v>
      </c>
      <c r="AE34" s="3"/>
      <c r="AF34" s="28">
        <f>AE34+'14'!AF34</f>
        <v>505</v>
      </c>
      <c r="AG34" s="4"/>
      <c r="AH34" s="28">
        <f>AG34+'14'!AH34</f>
        <v>242</v>
      </c>
      <c r="AI34" s="4">
        <f t="shared" si="6"/>
        <v>263</v>
      </c>
      <c r="AJ34" s="11" t="e">
        <f t="shared" si="0"/>
        <v>#DIV/0!</v>
      </c>
      <c r="AK34" s="53">
        <f t="shared" si="1"/>
        <v>9.9049586776859506</v>
      </c>
      <c r="AW34" s="26" t="str">
        <f>'14'!AW34</f>
        <v>عرب الرمـــــــل</v>
      </c>
      <c r="AX34" s="12">
        <f>'14'!AX34</f>
        <v>6</v>
      </c>
      <c r="AY34" s="12">
        <f>'14'!AY34</f>
        <v>2210</v>
      </c>
      <c r="AZ34" s="12"/>
      <c r="BA34" s="12"/>
      <c r="BB34" s="12">
        <f>BA34+'14'!BB34</f>
        <v>1456</v>
      </c>
      <c r="BC34" s="30">
        <f t="shared" si="2"/>
        <v>0.6588235294117647</v>
      </c>
      <c r="BD34" s="12">
        <f>'14'!BD34</f>
        <v>9</v>
      </c>
      <c r="BE34" s="12">
        <f>'14'!BE34</f>
        <v>932</v>
      </c>
      <c r="BF34" s="12"/>
      <c r="BG34" s="12"/>
      <c r="BH34" s="12">
        <f>BG34+'14'!BH34</f>
        <v>941</v>
      </c>
      <c r="BI34" s="30">
        <f t="shared" si="3"/>
        <v>1.0096566523605151</v>
      </c>
    </row>
    <row r="35" spans="1:61" ht="28.9" customHeight="1" x14ac:dyDescent="0.35">
      <c r="A35" s="5">
        <v>25</v>
      </c>
      <c r="B35" s="26" t="str">
        <f>'14'!B35</f>
        <v>كفر ميت سراج</v>
      </c>
      <c r="C35" s="26">
        <f>'14'!C35</f>
        <v>1840</v>
      </c>
      <c r="D35" s="26"/>
      <c r="E35" s="12"/>
      <c r="F35" s="2">
        <f>E35+'14'!F35</f>
        <v>8</v>
      </c>
      <c r="G35" s="2"/>
      <c r="H35" s="2">
        <f>G35+'14'!H35</f>
        <v>386</v>
      </c>
      <c r="I35" s="2"/>
      <c r="J35" s="2">
        <f>I35+'14'!J35</f>
        <v>773</v>
      </c>
      <c r="K35" s="2"/>
      <c r="L35" s="2">
        <f>K35+'14'!L35</f>
        <v>0</v>
      </c>
      <c r="M35" s="2"/>
      <c r="N35" s="2">
        <f>M35+'14'!N35</f>
        <v>0</v>
      </c>
      <c r="O35" s="2"/>
      <c r="P35" s="2">
        <f>O35+'14'!P35</f>
        <v>0</v>
      </c>
      <c r="Q35" s="4">
        <f t="shared" si="4"/>
        <v>0</v>
      </c>
      <c r="R35" s="4">
        <f>Q35+'14'!R35</f>
        <v>1167</v>
      </c>
      <c r="S35" s="27">
        <f t="shared" si="5"/>
        <v>0.63423913043478264</v>
      </c>
      <c r="T35" s="12"/>
      <c r="U35" s="12">
        <f>T35+'14'!U35</f>
        <v>174</v>
      </c>
      <c r="V35" s="12"/>
      <c r="W35" s="12">
        <f>V35+'14'!W35</f>
        <v>11</v>
      </c>
      <c r="X35" s="12"/>
      <c r="Y35" s="12">
        <f>X35+'14'!Y35</f>
        <v>0</v>
      </c>
      <c r="AB35" s="5">
        <v>25</v>
      </c>
      <c r="AC35" s="26" t="str">
        <f>'14'!AC35</f>
        <v>كفر ميت سراج</v>
      </c>
      <c r="AD35" s="28">
        <f>'14'!AI35</f>
        <v>41</v>
      </c>
      <c r="AE35" s="3"/>
      <c r="AF35" s="28">
        <f>AE35+'14'!AF35</f>
        <v>162</v>
      </c>
      <c r="AG35" s="4"/>
      <c r="AH35" s="28">
        <f>AG35+'14'!AH35</f>
        <v>121</v>
      </c>
      <c r="AI35" s="4">
        <f t="shared" si="6"/>
        <v>41</v>
      </c>
      <c r="AJ35" s="11" t="e">
        <f t="shared" si="0"/>
        <v>#DIV/0!</v>
      </c>
      <c r="AK35" s="53">
        <f t="shared" si="1"/>
        <v>9.6446280991735538</v>
      </c>
      <c r="AW35" s="26" t="str">
        <f>'14'!AW35</f>
        <v>كفر ميت سراج</v>
      </c>
      <c r="AX35" s="12">
        <f>'14'!AX35</f>
        <v>3</v>
      </c>
      <c r="AY35" s="12">
        <f>'14'!AY35</f>
        <v>1011</v>
      </c>
      <c r="AZ35" s="12"/>
      <c r="BA35" s="12"/>
      <c r="BB35" s="12">
        <f>BA35+'14'!BB35</f>
        <v>773</v>
      </c>
      <c r="BC35" s="30">
        <f t="shared" si="2"/>
        <v>0.76458951533135511</v>
      </c>
      <c r="BD35" s="12">
        <f>'14'!BD35</f>
        <v>4</v>
      </c>
      <c r="BE35" s="12">
        <f>'14'!BE35</f>
        <v>413</v>
      </c>
      <c r="BF35" s="12"/>
      <c r="BG35" s="12"/>
      <c r="BH35" s="12">
        <f>BG35+'14'!BH35</f>
        <v>232</v>
      </c>
      <c r="BI35" s="30">
        <f t="shared" si="3"/>
        <v>0.56174334140435833</v>
      </c>
    </row>
    <row r="36" spans="1:61" ht="28.9" customHeight="1" x14ac:dyDescent="0.35">
      <c r="A36" s="5">
        <v>26</v>
      </c>
      <c r="B36" s="26" t="str">
        <f>'14'!B36</f>
        <v>كفر أبشيش</v>
      </c>
      <c r="C36" s="26">
        <f>'14'!C36</f>
        <v>1345</v>
      </c>
      <c r="D36" s="26"/>
      <c r="E36" s="12"/>
      <c r="F36" s="2">
        <f>E36+'14'!F36</f>
        <v>14</v>
      </c>
      <c r="G36" s="2"/>
      <c r="H36" s="2">
        <f>G36+'14'!H36</f>
        <v>207</v>
      </c>
      <c r="I36" s="2"/>
      <c r="J36" s="2">
        <f>I36+'14'!J36</f>
        <v>725</v>
      </c>
      <c r="K36" s="2"/>
      <c r="L36" s="2">
        <f>K36+'14'!L36</f>
        <v>0</v>
      </c>
      <c r="M36" s="2"/>
      <c r="N36" s="2">
        <f>M36+'14'!N36</f>
        <v>0</v>
      </c>
      <c r="O36" s="2"/>
      <c r="P36" s="2">
        <f>O36+'14'!P36</f>
        <v>0</v>
      </c>
      <c r="Q36" s="4">
        <f t="shared" si="4"/>
        <v>0</v>
      </c>
      <c r="R36" s="4">
        <f>Q36+'14'!R36</f>
        <v>946</v>
      </c>
      <c r="S36" s="27">
        <f t="shared" si="5"/>
        <v>0.70334572490706315</v>
      </c>
      <c r="T36" s="12"/>
      <c r="U36" s="12">
        <f>T36+'14'!U36</f>
        <v>113</v>
      </c>
      <c r="V36" s="12"/>
      <c r="W36" s="12">
        <f>V36+'14'!W36</f>
        <v>4</v>
      </c>
      <c r="X36" s="12"/>
      <c r="Y36" s="12">
        <f>X36+'14'!Y36</f>
        <v>0</v>
      </c>
      <c r="AB36" s="5">
        <v>26</v>
      </c>
      <c r="AC36" s="26" t="str">
        <f>'14'!AC36</f>
        <v>كفر أبشيش</v>
      </c>
      <c r="AD36" s="28">
        <f>'14'!AI36</f>
        <v>24</v>
      </c>
      <c r="AE36" s="3"/>
      <c r="AF36" s="28">
        <f>AE36+'14'!AF36</f>
        <v>119</v>
      </c>
      <c r="AG36" s="4"/>
      <c r="AH36" s="28">
        <f>AG36+'14'!AH36</f>
        <v>95</v>
      </c>
      <c r="AI36" s="4">
        <f t="shared" si="6"/>
        <v>24</v>
      </c>
      <c r="AJ36" s="11" t="e">
        <f t="shared" si="0"/>
        <v>#DIV/0!</v>
      </c>
      <c r="AK36" s="53">
        <f t="shared" si="1"/>
        <v>9.9578947368421051</v>
      </c>
      <c r="AW36" s="26" t="str">
        <f>'14'!AW36</f>
        <v>كفر أبشيش</v>
      </c>
      <c r="AX36" s="12">
        <f>'14'!AX36</f>
        <v>1</v>
      </c>
      <c r="AY36" s="12">
        <f>'14'!AY36</f>
        <v>860</v>
      </c>
      <c r="AZ36" s="12"/>
      <c r="BA36" s="12"/>
      <c r="BB36" s="12">
        <f>BA36+'14'!BB36</f>
        <v>730</v>
      </c>
      <c r="BC36" s="30">
        <f t="shared" si="2"/>
        <v>0.84883720930232553</v>
      </c>
      <c r="BD36" s="12">
        <f>'14'!BD36</f>
        <v>4</v>
      </c>
      <c r="BE36" s="12">
        <f>'14'!BE36</f>
        <v>194</v>
      </c>
      <c r="BF36" s="12"/>
      <c r="BG36" s="12"/>
      <c r="BH36" s="12">
        <f>BG36+'14'!BH36</f>
        <v>0</v>
      </c>
      <c r="BI36" s="30">
        <f t="shared" si="3"/>
        <v>0</v>
      </c>
    </row>
    <row r="37" spans="1:61" ht="28.9" customHeight="1" x14ac:dyDescent="0.35">
      <c r="A37" s="5">
        <v>27</v>
      </c>
      <c r="B37" s="26" t="str">
        <f>'14'!B37</f>
        <v>كفر ميت العبسى</v>
      </c>
      <c r="C37" s="26">
        <f>'14'!C37</f>
        <v>1180</v>
      </c>
      <c r="D37" s="26"/>
      <c r="E37" s="12"/>
      <c r="F37" s="2">
        <f>E37+'14'!F37</f>
        <v>12</v>
      </c>
      <c r="G37" s="2"/>
      <c r="H37" s="2">
        <f>G37+'14'!H37</f>
        <v>248</v>
      </c>
      <c r="I37" s="2"/>
      <c r="J37" s="2">
        <f>I37+'14'!J37</f>
        <v>443</v>
      </c>
      <c r="K37" s="2"/>
      <c r="L37" s="2">
        <f>K37+'14'!L37</f>
        <v>0</v>
      </c>
      <c r="M37" s="2"/>
      <c r="N37" s="2">
        <f>M37+'14'!N37</f>
        <v>0</v>
      </c>
      <c r="O37" s="2"/>
      <c r="P37" s="2">
        <f>O37+'14'!P37</f>
        <v>0</v>
      </c>
      <c r="Q37" s="4">
        <f t="shared" si="4"/>
        <v>0</v>
      </c>
      <c r="R37" s="4">
        <f>Q37+'14'!R37</f>
        <v>703</v>
      </c>
      <c r="S37" s="27">
        <f t="shared" si="5"/>
        <v>0.59576271186440677</v>
      </c>
      <c r="T37" s="12"/>
      <c r="U37" s="12">
        <f>T37+'14'!U37</f>
        <v>53</v>
      </c>
      <c r="V37" s="12"/>
      <c r="W37" s="12">
        <f>V37+'14'!W37</f>
        <v>11</v>
      </c>
      <c r="X37" s="12"/>
      <c r="Y37" s="12">
        <f>X37+'14'!Y37</f>
        <v>0</v>
      </c>
      <c r="AB37" s="5">
        <v>27</v>
      </c>
      <c r="AC37" s="26" t="str">
        <f>'14'!AC37</f>
        <v>كفر ميت العبسى</v>
      </c>
      <c r="AD37" s="28">
        <f>'14'!AI37</f>
        <v>33</v>
      </c>
      <c r="AE37" s="3"/>
      <c r="AF37" s="28">
        <f>AE37+'14'!AF37</f>
        <v>104</v>
      </c>
      <c r="AG37" s="4"/>
      <c r="AH37" s="28">
        <f>AG37+'14'!AH37</f>
        <v>71</v>
      </c>
      <c r="AI37" s="4">
        <f t="shared" si="6"/>
        <v>33</v>
      </c>
      <c r="AJ37" s="11" t="e">
        <f t="shared" si="0"/>
        <v>#DIV/0!</v>
      </c>
      <c r="AK37" s="53">
        <f t="shared" si="1"/>
        <v>9.9014084507042259</v>
      </c>
      <c r="AW37" s="26" t="str">
        <f>'14'!AW37</f>
        <v>كفر ميت العبسى</v>
      </c>
      <c r="AX37" s="12">
        <f>'14'!AX37</f>
        <v>2</v>
      </c>
      <c r="AY37" s="12">
        <f>'14'!AY37</f>
        <v>494</v>
      </c>
      <c r="AZ37" s="12"/>
      <c r="BA37" s="12"/>
      <c r="BB37" s="12">
        <f>BA37+'14'!BB37</f>
        <v>418</v>
      </c>
      <c r="BC37" s="30">
        <f t="shared" si="2"/>
        <v>0.84615384615384615</v>
      </c>
      <c r="BD37" s="12">
        <f>'14'!BD37</f>
        <v>4</v>
      </c>
      <c r="BE37" s="12">
        <f>'14'!BE37</f>
        <v>114</v>
      </c>
      <c r="BF37" s="12"/>
      <c r="BG37" s="12"/>
      <c r="BH37" s="12">
        <f>BG37+'14'!BH37</f>
        <v>73</v>
      </c>
      <c r="BI37" s="30">
        <f t="shared" si="3"/>
        <v>0.64035087719298245</v>
      </c>
    </row>
    <row r="38" spans="1:61" ht="28.9" customHeight="1" x14ac:dyDescent="0.35">
      <c r="A38" s="5">
        <v>28</v>
      </c>
      <c r="B38" s="26" t="str">
        <f>'14'!B38</f>
        <v>كفر وهــــــــــب</v>
      </c>
      <c r="C38" s="26">
        <f>'14'!C38</f>
        <v>1854.9999999999998</v>
      </c>
      <c r="D38" s="26"/>
      <c r="E38" s="12"/>
      <c r="F38" s="2">
        <f>E38+'14'!F38</f>
        <v>7</v>
      </c>
      <c r="G38" s="2"/>
      <c r="H38" s="2">
        <f>G38+'14'!H38</f>
        <v>265</v>
      </c>
      <c r="I38" s="2"/>
      <c r="J38" s="2">
        <f>I38+'14'!J38</f>
        <v>618</v>
      </c>
      <c r="K38" s="2"/>
      <c r="L38" s="2">
        <f>K38+'14'!L38</f>
        <v>0</v>
      </c>
      <c r="M38" s="2"/>
      <c r="N38" s="2">
        <f>M38+'14'!N38</f>
        <v>0</v>
      </c>
      <c r="O38" s="2"/>
      <c r="P38" s="2">
        <f>O38+'14'!P38</f>
        <v>0</v>
      </c>
      <c r="Q38" s="4">
        <f t="shared" si="4"/>
        <v>0</v>
      </c>
      <c r="R38" s="4">
        <f>Q38+'14'!R38</f>
        <v>890</v>
      </c>
      <c r="S38" s="27">
        <f t="shared" si="5"/>
        <v>0.47978436657681944</v>
      </c>
      <c r="T38" s="12"/>
      <c r="U38" s="12">
        <f>T38+'14'!U38</f>
        <v>123</v>
      </c>
      <c r="V38" s="12"/>
      <c r="W38" s="12">
        <f>V38+'14'!W38</f>
        <v>7</v>
      </c>
      <c r="X38" s="12"/>
      <c r="Y38" s="12">
        <f>X38+'14'!Y38</f>
        <v>0</v>
      </c>
      <c r="AB38" s="5">
        <v>28</v>
      </c>
      <c r="AC38" s="26" t="str">
        <f>'14'!AC38</f>
        <v>كفر وهــــــــــب</v>
      </c>
      <c r="AD38" s="28">
        <f>'14'!AI38</f>
        <v>72</v>
      </c>
      <c r="AE38" s="3"/>
      <c r="AF38" s="28">
        <f>AE38+'14'!AF38</f>
        <v>163</v>
      </c>
      <c r="AG38" s="4"/>
      <c r="AH38" s="28">
        <f>AG38+'14'!AH38</f>
        <v>91</v>
      </c>
      <c r="AI38" s="4">
        <f t="shared" si="6"/>
        <v>72</v>
      </c>
      <c r="AJ38" s="11" t="e">
        <f t="shared" si="0"/>
        <v>#DIV/0!</v>
      </c>
      <c r="AK38" s="53">
        <f t="shared" si="1"/>
        <v>9.780219780219781</v>
      </c>
      <c r="AW38" s="26" t="str">
        <f>'14'!AW38</f>
        <v>كفر وهــــــــــب</v>
      </c>
      <c r="AX38" s="12">
        <f>'14'!AX38</f>
        <v>2</v>
      </c>
      <c r="AY38" s="12">
        <f>'14'!AY38</f>
        <v>793</v>
      </c>
      <c r="AZ38" s="12"/>
      <c r="BA38" s="12"/>
      <c r="BB38" s="12">
        <f>BA38+'14'!BB38</f>
        <v>623</v>
      </c>
      <c r="BC38" s="30">
        <f t="shared" si="2"/>
        <v>0.78562421185372</v>
      </c>
      <c r="BD38" s="12">
        <f>'14'!BD38</f>
        <v>3</v>
      </c>
      <c r="BE38" s="12">
        <f>'14'!BE38</f>
        <v>180</v>
      </c>
      <c r="BF38" s="12"/>
      <c r="BG38" s="12"/>
      <c r="BH38" s="12">
        <f>BG38+'14'!BH38</f>
        <v>160</v>
      </c>
      <c r="BI38" s="30">
        <f t="shared" si="3"/>
        <v>0.88888888888888884</v>
      </c>
    </row>
    <row r="39" spans="1:61" ht="28.9" customHeight="1" x14ac:dyDescent="0.35">
      <c r="A39" s="5">
        <v>29</v>
      </c>
      <c r="B39" s="26" t="str">
        <f>'14'!B39</f>
        <v>دمــــــــــــــهوج</v>
      </c>
      <c r="C39" s="26">
        <f>'14'!C39</f>
        <v>2738</v>
      </c>
      <c r="D39" s="26"/>
      <c r="E39" s="12"/>
      <c r="F39" s="2">
        <f>E39+'14'!F39</f>
        <v>11</v>
      </c>
      <c r="G39" s="2"/>
      <c r="H39" s="2">
        <f>G39+'14'!H39</f>
        <v>437</v>
      </c>
      <c r="I39" s="2"/>
      <c r="J39" s="2">
        <f>I39+'14'!J39</f>
        <v>832</v>
      </c>
      <c r="K39" s="2"/>
      <c r="L39" s="2">
        <f>K39+'14'!L39</f>
        <v>0</v>
      </c>
      <c r="M39" s="2"/>
      <c r="N39" s="2">
        <f>M39+'14'!N39</f>
        <v>0</v>
      </c>
      <c r="O39" s="2"/>
      <c r="P39" s="2">
        <f>O39+'14'!P39</f>
        <v>0</v>
      </c>
      <c r="Q39" s="4">
        <f t="shared" si="4"/>
        <v>0</v>
      </c>
      <c r="R39" s="4">
        <f>Q39+'14'!R39</f>
        <v>1280</v>
      </c>
      <c r="S39" s="27">
        <f t="shared" si="5"/>
        <v>0.46749452154857563</v>
      </c>
      <c r="T39" s="12"/>
      <c r="U39" s="12">
        <f>T39+'14'!U39</f>
        <v>158</v>
      </c>
      <c r="V39" s="12"/>
      <c r="W39" s="12">
        <f>V39+'14'!W39</f>
        <v>7</v>
      </c>
      <c r="X39" s="12"/>
      <c r="Y39" s="12">
        <f>X39+'14'!Y39</f>
        <v>0</v>
      </c>
      <c r="AB39" s="5">
        <v>29</v>
      </c>
      <c r="AC39" s="26" t="str">
        <f>'14'!AC39</f>
        <v>دمــــــــــــــهوج</v>
      </c>
      <c r="AD39" s="28">
        <f>'14'!AI39</f>
        <v>109</v>
      </c>
      <c r="AE39" s="3"/>
      <c r="AF39" s="28">
        <f>AE39+'14'!AF39</f>
        <v>240</v>
      </c>
      <c r="AG39" s="4"/>
      <c r="AH39" s="28">
        <f>AG39+'14'!AH39</f>
        <v>131</v>
      </c>
      <c r="AI39" s="4">
        <f t="shared" si="6"/>
        <v>109</v>
      </c>
      <c r="AJ39" s="11" t="e">
        <f t="shared" si="0"/>
        <v>#DIV/0!</v>
      </c>
      <c r="AK39" s="53">
        <f t="shared" si="1"/>
        <v>9.770992366412214</v>
      </c>
      <c r="AW39" s="26" t="str">
        <f>'14'!AW39</f>
        <v>دمــــــــــــــهوج</v>
      </c>
      <c r="AX39" s="12">
        <f>'14'!AX39</f>
        <v>2</v>
      </c>
      <c r="AY39" s="12">
        <f>'14'!AY39</f>
        <v>1086</v>
      </c>
      <c r="AZ39" s="12"/>
      <c r="BA39" s="12"/>
      <c r="BB39" s="12">
        <f>BA39+'14'!BB39</f>
        <v>834</v>
      </c>
      <c r="BC39" s="30">
        <f t="shared" si="2"/>
        <v>0.76795580110497241</v>
      </c>
      <c r="BD39" s="12">
        <f>'14'!BD39</f>
        <v>10</v>
      </c>
      <c r="BE39" s="12">
        <f>'14'!BE39</f>
        <v>455</v>
      </c>
      <c r="BF39" s="12"/>
      <c r="BG39" s="12"/>
      <c r="BH39" s="12">
        <f>BG39+'14'!BH39</f>
        <v>439</v>
      </c>
      <c r="BI39" s="30">
        <f t="shared" si="3"/>
        <v>0.96483516483516485</v>
      </c>
    </row>
    <row r="40" spans="1:61" ht="28.9" customHeight="1" x14ac:dyDescent="0.35">
      <c r="A40" s="5">
        <v>30</v>
      </c>
      <c r="B40" s="26" t="str">
        <f>'14'!B40</f>
        <v>كفر زين الدين</v>
      </c>
      <c r="C40" s="26">
        <f>'14'!C40</f>
        <v>819</v>
      </c>
      <c r="D40" s="26"/>
      <c r="E40" s="12"/>
      <c r="F40" s="2">
        <f>E40+'14'!F40</f>
        <v>9</v>
      </c>
      <c r="G40" s="2"/>
      <c r="H40" s="2">
        <f>G40+'14'!H40</f>
        <v>266</v>
      </c>
      <c r="I40" s="2"/>
      <c r="J40" s="2">
        <f>I40+'14'!J40</f>
        <v>430</v>
      </c>
      <c r="K40" s="2"/>
      <c r="L40" s="2">
        <f>K40+'14'!L40</f>
        <v>0</v>
      </c>
      <c r="M40" s="2"/>
      <c r="N40" s="2">
        <f>M40+'14'!N40</f>
        <v>0</v>
      </c>
      <c r="O40" s="2"/>
      <c r="P40" s="2">
        <f>O40+'14'!P40</f>
        <v>0</v>
      </c>
      <c r="Q40" s="4">
        <f t="shared" si="4"/>
        <v>0</v>
      </c>
      <c r="R40" s="4">
        <f>Q40+'14'!R40</f>
        <v>705</v>
      </c>
      <c r="S40" s="27">
        <f t="shared" si="5"/>
        <v>0.86080586080586086</v>
      </c>
      <c r="T40" s="12"/>
      <c r="U40" s="12">
        <f>T40+'14'!U40</f>
        <v>76</v>
      </c>
      <c r="V40" s="12"/>
      <c r="W40" s="12">
        <f>V40+'14'!W40</f>
        <v>26</v>
      </c>
      <c r="X40" s="12"/>
      <c r="Y40" s="12">
        <f>X40+'14'!Y40</f>
        <v>0</v>
      </c>
      <c r="AB40" s="5">
        <v>30</v>
      </c>
      <c r="AC40" s="26" t="str">
        <f>'14'!AC40</f>
        <v>كفر زين الدين</v>
      </c>
      <c r="AD40" s="28">
        <f>'14'!AI40</f>
        <v>9</v>
      </c>
      <c r="AE40" s="3"/>
      <c r="AF40" s="28">
        <f>AE40+'14'!AF40</f>
        <v>80</v>
      </c>
      <c r="AG40" s="4"/>
      <c r="AH40" s="28">
        <f>AG40+'14'!AH40</f>
        <v>71</v>
      </c>
      <c r="AI40" s="4">
        <f t="shared" si="6"/>
        <v>9</v>
      </c>
      <c r="AJ40" s="11" t="e">
        <f t="shared" si="0"/>
        <v>#DIV/0!</v>
      </c>
      <c r="AK40" s="53">
        <f t="shared" si="1"/>
        <v>9.929577464788732</v>
      </c>
      <c r="AW40" s="26" t="str">
        <f>'14'!AW40</f>
        <v>كفر زين الدين</v>
      </c>
      <c r="AX40" s="12">
        <f>'14'!AX40</f>
        <v>1</v>
      </c>
      <c r="AY40" s="12">
        <f>'14'!AY40</f>
        <v>563</v>
      </c>
      <c r="AZ40" s="12"/>
      <c r="BA40" s="12"/>
      <c r="BB40" s="12">
        <f>BA40+'14'!BB40</f>
        <v>364</v>
      </c>
      <c r="BC40" s="30">
        <f t="shared" si="2"/>
        <v>0.64653641207815271</v>
      </c>
      <c r="BD40" s="12">
        <f>'14'!BD40</f>
        <v>2</v>
      </c>
      <c r="BE40" s="12">
        <f>'14'!BE40</f>
        <v>87</v>
      </c>
      <c r="BF40" s="12"/>
      <c r="BG40" s="12"/>
      <c r="BH40" s="12">
        <f>BG40+'14'!BH40</f>
        <v>166</v>
      </c>
      <c r="BI40" s="30">
        <f t="shared" si="3"/>
        <v>1.9080459770114941</v>
      </c>
    </row>
    <row r="41" spans="1:61" ht="28.9" customHeight="1" x14ac:dyDescent="0.35">
      <c r="A41" s="5">
        <v>31</v>
      </c>
      <c r="B41" s="26" t="str">
        <f>'14'!B41</f>
        <v>عزبــة أبوالنصر</v>
      </c>
      <c r="C41" s="26">
        <f>'14'!C41</f>
        <v>410</v>
      </c>
      <c r="D41" s="26"/>
      <c r="E41" s="12"/>
      <c r="F41" s="2">
        <f>E41+'14'!F41</f>
        <v>10</v>
      </c>
      <c r="G41" s="2"/>
      <c r="H41" s="2">
        <f>G41+'14'!H41</f>
        <v>229</v>
      </c>
      <c r="I41" s="2"/>
      <c r="J41" s="2">
        <f>I41+'14'!J41</f>
        <v>120</v>
      </c>
      <c r="K41" s="2"/>
      <c r="L41" s="2">
        <f>K41+'14'!L41</f>
        <v>0</v>
      </c>
      <c r="M41" s="2"/>
      <c r="N41" s="2">
        <f>M41+'14'!N41</f>
        <v>0</v>
      </c>
      <c r="O41" s="2"/>
      <c r="P41" s="2">
        <f>O41+'14'!P41</f>
        <v>0</v>
      </c>
      <c r="Q41" s="4">
        <f t="shared" si="4"/>
        <v>0</v>
      </c>
      <c r="R41" s="4">
        <f>Q41+'14'!R41</f>
        <v>359</v>
      </c>
      <c r="S41" s="27">
        <f t="shared" si="5"/>
        <v>0.87560975609756098</v>
      </c>
      <c r="T41" s="12"/>
      <c r="U41" s="12">
        <f>T41+'14'!U41</f>
        <v>0</v>
      </c>
      <c r="V41" s="12"/>
      <c r="W41" s="12">
        <f>V41+'14'!W41</f>
        <v>0</v>
      </c>
      <c r="X41" s="12"/>
      <c r="Y41" s="12">
        <f>X41+'14'!Y41</f>
        <v>0</v>
      </c>
      <c r="AB41" s="5">
        <v>31</v>
      </c>
      <c r="AC41" s="26" t="str">
        <f>'14'!AC41</f>
        <v>عزبــة أبوالنصر</v>
      </c>
      <c r="AD41" s="28">
        <f>'14'!AI41</f>
        <v>4</v>
      </c>
      <c r="AE41" s="3"/>
      <c r="AF41" s="28">
        <f>AE41+'14'!AF41</f>
        <v>41</v>
      </c>
      <c r="AG41" s="4"/>
      <c r="AH41" s="28">
        <f>AG41+'14'!AH41</f>
        <v>37</v>
      </c>
      <c r="AI41" s="4">
        <f t="shared" si="6"/>
        <v>4</v>
      </c>
      <c r="AJ41" s="11" t="e">
        <f t="shared" si="0"/>
        <v>#DIV/0!</v>
      </c>
      <c r="AK41" s="53">
        <f t="shared" si="1"/>
        <v>9.7027027027027035</v>
      </c>
      <c r="AW41" s="26" t="str">
        <f>'14'!AW41</f>
        <v>عزبــة أبوالنصر</v>
      </c>
      <c r="AX41" s="12">
        <f>'14'!AX41</f>
        <v>2</v>
      </c>
      <c r="AY41" s="12">
        <f>'14'!AY41</f>
        <v>70</v>
      </c>
      <c r="AZ41" s="12"/>
      <c r="BA41" s="12"/>
      <c r="BB41" s="12">
        <f>BA41+'14'!BB41</f>
        <v>65</v>
      </c>
      <c r="BC41" s="30">
        <f t="shared" si="2"/>
        <v>0.9285714285714286</v>
      </c>
      <c r="BD41" s="12">
        <f>'14'!BD41</f>
        <v>3</v>
      </c>
      <c r="BE41" s="12">
        <f>'14'!BE41</f>
        <v>75</v>
      </c>
      <c r="BF41" s="12"/>
      <c r="BG41" s="12"/>
      <c r="BH41" s="12">
        <f>BG41+'14'!BH41</f>
        <v>36</v>
      </c>
      <c r="BI41" s="30">
        <f t="shared" si="3"/>
        <v>0.48</v>
      </c>
    </row>
    <row r="42" spans="1:61" ht="28.9" customHeight="1" x14ac:dyDescent="0.35">
      <c r="A42" s="5">
        <v>32</v>
      </c>
      <c r="B42" s="26" t="str">
        <f>'14'!B42</f>
        <v>شمنديــــــــــــــل</v>
      </c>
      <c r="C42" s="26">
        <f>'14'!C42</f>
        <v>880</v>
      </c>
      <c r="D42" s="26"/>
      <c r="E42" s="12"/>
      <c r="F42" s="2">
        <f>E42+'14'!F42</f>
        <v>7</v>
      </c>
      <c r="G42" s="2"/>
      <c r="H42" s="2">
        <f>G42+'14'!H42</f>
        <v>219</v>
      </c>
      <c r="I42" s="2"/>
      <c r="J42" s="2">
        <f>I42+'14'!J42</f>
        <v>421</v>
      </c>
      <c r="K42" s="2"/>
      <c r="L42" s="2">
        <f>K42+'14'!L42</f>
        <v>0</v>
      </c>
      <c r="M42" s="2"/>
      <c r="N42" s="2">
        <f>M42+'14'!N42</f>
        <v>0</v>
      </c>
      <c r="O42" s="2"/>
      <c r="P42" s="2">
        <f>O42+'14'!P42</f>
        <v>0</v>
      </c>
      <c r="Q42" s="4">
        <f t="shared" si="4"/>
        <v>0</v>
      </c>
      <c r="R42" s="4">
        <f>Q42+'14'!R42</f>
        <v>647</v>
      </c>
      <c r="S42" s="27">
        <f t="shared" si="5"/>
        <v>0.73522727272727273</v>
      </c>
      <c r="T42" s="12"/>
      <c r="U42" s="12">
        <f>T42+'14'!U42</f>
        <v>69</v>
      </c>
      <c r="V42" s="12"/>
      <c r="W42" s="12">
        <f>V42+'14'!W42</f>
        <v>11</v>
      </c>
      <c r="X42" s="12"/>
      <c r="Y42" s="12">
        <f>X42+'14'!Y42</f>
        <v>0</v>
      </c>
      <c r="AB42" s="5">
        <v>32</v>
      </c>
      <c r="AC42" s="26" t="str">
        <f>'14'!AC42</f>
        <v>شمنديــــــــــــــل</v>
      </c>
      <c r="AD42" s="28">
        <f>'14'!AI42</f>
        <v>9</v>
      </c>
      <c r="AE42" s="3"/>
      <c r="AF42" s="28">
        <f>AE42+'14'!AF42</f>
        <v>78</v>
      </c>
      <c r="AG42" s="4"/>
      <c r="AH42" s="28">
        <f>AG42+'14'!AH42</f>
        <v>69</v>
      </c>
      <c r="AI42" s="4">
        <f t="shared" si="6"/>
        <v>9</v>
      </c>
      <c r="AJ42" s="11" t="e">
        <f t="shared" si="0"/>
        <v>#DIV/0!</v>
      </c>
      <c r="AK42" s="53">
        <f t="shared" si="1"/>
        <v>9.3768115942028984</v>
      </c>
      <c r="AW42" s="26" t="str">
        <f>'14'!AW42</f>
        <v>شمنديــــــــــــــل</v>
      </c>
      <c r="AX42" s="12">
        <f>'14'!AX42</f>
        <v>2</v>
      </c>
      <c r="AY42" s="12">
        <f>'14'!AY42</f>
        <v>569</v>
      </c>
      <c r="AZ42" s="12"/>
      <c r="BA42" s="12"/>
      <c r="BB42" s="12">
        <f>BA42+'14'!BB42</f>
        <v>453</v>
      </c>
      <c r="BC42" s="30">
        <f t="shared" si="2"/>
        <v>0.79613356766256593</v>
      </c>
      <c r="BD42" s="12">
        <f>'14'!BD42</f>
        <v>1</v>
      </c>
      <c r="BE42" s="12">
        <f>'14'!BE42</f>
        <v>39</v>
      </c>
      <c r="BF42" s="12"/>
      <c r="BG42" s="12"/>
      <c r="BH42" s="12">
        <f>BG42+'14'!BH42</f>
        <v>82</v>
      </c>
      <c r="BI42" s="30">
        <f t="shared" si="3"/>
        <v>2.1025641025641026</v>
      </c>
    </row>
    <row r="43" spans="1:61" ht="28.9" customHeight="1" x14ac:dyDescent="0.35">
      <c r="A43" s="5">
        <v>33</v>
      </c>
      <c r="B43" s="26" t="str">
        <f>'14'!B43</f>
        <v>كفور الرمل</v>
      </c>
      <c r="C43" s="26">
        <f>'14'!C43</f>
        <v>1721</v>
      </c>
      <c r="D43" s="26"/>
      <c r="E43" s="12"/>
      <c r="F43" s="2">
        <f>E43+'14'!F43</f>
        <v>17</v>
      </c>
      <c r="G43" s="2"/>
      <c r="H43" s="2">
        <f>G43+'14'!H43</f>
        <v>505</v>
      </c>
      <c r="I43" s="2"/>
      <c r="J43" s="2">
        <f>I43+'14'!J43</f>
        <v>718</v>
      </c>
      <c r="K43" s="2"/>
      <c r="L43" s="2">
        <f>K43+'14'!L43</f>
        <v>0</v>
      </c>
      <c r="M43" s="2"/>
      <c r="N43" s="2">
        <f>M43+'14'!N43</f>
        <v>0</v>
      </c>
      <c r="O43" s="2"/>
      <c r="P43" s="2">
        <f>O43+'14'!P43</f>
        <v>0</v>
      </c>
      <c r="Q43" s="4">
        <f t="shared" si="4"/>
        <v>0</v>
      </c>
      <c r="R43" s="4">
        <f>Q43+'14'!R43</f>
        <v>1240</v>
      </c>
      <c r="S43" s="27">
        <f t="shared" si="5"/>
        <v>0.72051133062173156</v>
      </c>
      <c r="T43" s="12"/>
      <c r="U43" s="12">
        <f>T43+'14'!U43</f>
        <v>192</v>
      </c>
      <c r="V43" s="12"/>
      <c r="W43" s="12">
        <f>V43+'14'!W43</f>
        <v>100</v>
      </c>
      <c r="X43" s="12"/>
      <c r="Y43" s="12">
        <f>X43+'14'!Y43</f>
        <v>0</v>
      </c>
      <c r="AB43" s="5">
        <v>33</v>
      </c>
      <c r="AC43" s="26" t="str">
        <f>'14'!AC43</f>
        <v>كفور الرمل</v>
      </c>
      <c r="AD43" s="28">
        <f>'14'!AI43</f>
        <v>15</v>
      </c>
      <c r="AE43" s="3"/>
      <c r="AF43" s="28">
        <f>AE43+'14'!AF43</f>
        <v>150</v>
      </c>
      <c r="AG43" s="4"/>
      <c r="AH43" s="28">
        <f>AG43+'14'!AH43</f>
        <v>135</v>
      </c>
      <c r="AI43" s="4">
        <f t="shared" si="6"/>
        <v>15</v>
      </c>
      <c r="AJ43" s="11" t="e">
        <f t="shared" si="0"/>
        <v>#DIV/0!</v>
      </c>
      <c r="AK43" s="53">
        <f t="shared" si="1"/>
        <v>9.1851851851851851</v>
      </c>
      <c r="AW43" s="26" t="str">
        <f>'14'!AW43</f>
        <v>كفور الرمل</v>
      </c>
      <c r="AX43" s="12">
        <f>'14'!AX43</f>
        <v>4</v>
      </c>
      <c r="AY43" s="12">
        <f>'14'!AY43</f>
        <v>1335</v>
      </c>
      <c r="AZ43" s="12"/>
      <c r="BA43" s="12"/>
      <c r="BB43" s="12">
        <f>BA43+'14'!BB43</f>
        <v>918</v>
      </c>
      <c r="BC43" s="30">
        <f t="shared" si="2"/>
        <v>0.68764044943820224</v>
      </c>
      <c r="BD43" s="12">
        <f>'14'!BD43</f>
        <v>7</v>
      </c>
      <c r="BE43" s="12">
        <f>'14'!BE43</f>
        <v>753</v>
      </c>
      <c r="BF43" s="12"/>
      <c r="BG43" s="12"/>
      <c r="BH43" s="12">
        <f>BG43+'14'!BH43</f>
        <v>414</v>
      </c>
      <c r="BI43" s="30">
        <f t="shared" si="3"/>
        <v>0.54980079681274896</v>
      </c>
    </row>
    <row r="44" spans="1:61" ht="28.9" customHeight="1" x14ac:dyDescent="0.35">
      <c r="A44" s="5">
        <v>34</v>
      </c>
      <c r="B44" s="26" t="str">
        <f>'14'!B44</f>
        <v>منشأة أم خنان</v>
      </c>
      <c r="C44" s="26">
        <f>'14'!C44</f>
        <v>510</v>
      </c>
      <c r="D44" s="26"/>
      <c r="E44" s="12"/>
      <c r="F44" s="2">
        <f>E44+'14'!F44</f>
        <v>12</v>
      </c>
      <c r="G44" s="2"/>
      <c r="H44" s="2">
        <f>G44+'14'!H44</f>
        <v>194</v>
      </c>
      <c r="I44" s="2"/>
      <c r="J44" s="2">
        <f>I44+'14'!J44</f>
        <v>291</v>
      </c>
      <c r="K44" s="2"/>
      <c r="L44" s="2">
        <f>K44+'14'!L44</f>
        <v>0</v>
      </c>
      <c r="M44" s="2"/>
      <c r="N44" s="2">
        <f>M44+'14'!N44</f>
        <v>0</v>
      </c>
      <c r="O44" s="2"/>
      <c r="P44" s="2">
        <f>O44+'14'!P44</f>
        <v>0</v>
      </c>
      <c r="Q44" s="4">
        <f t="shared" si="4"/>
        <v>0</v>
      </c>
      <c r="R44" s="4">
        <f>Q44+'14'!R44</f>
        <v>497</v>
      </c>
      <c r="S44" s="27">
        <f t="shared" si="5"/>
        <v>0.97450980392156861</v>
      </c>
      <c r="T44" s="12"/>
      <c r="U44" s="12">
        <f>T44+'14'!U44</f>
        <v>11</v>
      </c>
      <c r="V44" s="12"/>
      <c r="W44" s="12">
        <f>V44+'14'!W44</f>
        <v>7</v>
      </c>
      <c r="X44" s="12"/>
      <c r="Y44" s="12">
        <f>X44+'14'!Y44</f>
        <v>0</v>
      </c>
      <c r="AB44" s="5">
        <v>34</v>
      </c>
      <c r="AC44" s="26" t="str">
        <f>'14'!AC44</f>
        <v>منشأة أم خنان</v>
      </c>
      <c r="AD44" s="28">
        <f>'14'!AI44</f>
        <v>4</v>
      </c>
      <c r="AE44" s="3"/>
      <c r="AF44" s="28">
        <f>AE44+'14'!AF44</f>
        <v>55</v>
      </c>
      <c r="AG44" s="4"/>
      <c r="AH44" s="28">
        <f>AG44+'14'!AH44</f>
        <v>51</v>
      </c>
      <c r="AI44" s="4">
        <f t="shared" si="6"/>
        <v>4</v>
      </c>
      <c r="AJ44" s="11" t="e">
        <f t="shared" si="0"/>
        <v>#DIV/0!</v>
      </c>
      <c r="AK44" s="53">
        <f t="shared" si="1"/>
        <v>9.7450980392156854</v>
      </c>
      <c r="AW44" s="26" t="str">
        <f>'14'!AW44</f>
        <v>منشأة أم خنان</v>
      </c>
      <c r="AX44" s="12">
        <f>'14'!AX44</f>
        <v>1</v>
      </c>
      <c r="AY44" s="12">
        <f>'14'!AY44</f>
        <v>277</v>
      </c>
      <c r="AZ44" s="12"/>
      <c r="BA44" s="12"/>
      <c r="BB44" s="12">
        <f>BA44+'14'!BB44</f>
        <v>269</v>
      </c>
      <c r="BC44" s="30">
        <f t="shared" si="2"/>
        <v>0.97111913357400725</v>
      </c>
      <c r="BD44" s="12">
        <f>'14'!BD44</f>
        <v>3</v>
      </c>
      <c r="BE44" s="12">
        <f>'14'!BE44</f>
        <v>170</v>
      </c>
      <c r="BF44" s="12"/>
      <c r="BG44" s="12"/>
      <c r="BH44" s="12">
        <f>BG44+'14'!BH44</f>
        <v>115</v>
      </c>
      <c r="BI44" s="30">
        <f t="shared" si="3"/>
        <v>0.67647058823529416</v>
      </c>
    </row>
    <row r="45" spans="1:61" ht="28.9" customHeight="1" x14ac:dyDescent="0.35">
      <c r="A45" s="5">
        <v>35</v>
      </c>
      <c r="B45" s="26">
        <f>'14'!B45</f>
        <v>0</v>
      </c>
      <c r="C45" s="26">
        <f>'14'!C45</f>
        <v>0</v>
      </c>
      <c r="D45" s="26"/>
      <c r="E45" s="12"/>
      <c r="F45" s="2">
        <f>E45+'14'!F45</f>
        <v>0</v>
      </c>
      <c r="G45" s="2"/>
      <c r="H45" s="2">
        <f>G45+'14'!H45</f>
        <v>0</v>
      </c>
      <c r="I45" s="2"/>
      <c r="J45" s="2">
        <f>I45+'14'!J45</f>
        <v>0</v>
      </c>
      <c r="K45" s="2"/>
      <c r="L45" s="2">
        <f>K45+'14'!L45</f>
        <v>0</v>
      </c>
      <c r="M45" s="2"/>
      <c r="N45" s="2">
        <f>M45+'14'!N45</f>
        <v>0</v>
      </c>
      <c r="O45" s="2"/>
      <c r="P45" s="2">
        <f>O45+'14'!P45</f>
        <v>0</v>
      </c>
      <c r="Q45" s="4">
        <f t="shared" si="4"/>
        <v>0</v>
      </c>
      <c r="R45" s="4">
        <f>Q45+'14'!R45</f>
        <v>0</v>
      </c>
      <c r="S45" s="27" t="e">
        <f t="shared" si="5"/>
        <v>#DIV/0!</v>
      </c>
      <c r="T45" s="12"/>
      <c r="U45" s="12">
        <f>T45+'14'!U45</f>
        <v>0</v>
      </c>
      <c r="V45" s="12"/>
      <c r="W45" s="12">
        <f>V45+'14'!W45</f>
        <v>0</v>
      </c>
      <c r="X45" s="12"/>
      <c r="Y45" s="12">
        <f>X45+'14'!Y45</f>
        <v>0</v>
      </c>
      <c r="AB45" s="5">
        <v>35</v>
      </c>
      <c r="AC45" s="26">
        <f>'14'!AC45</f>
        <v>0</v>
      </c>
      <c r="AD45" s="28">
        <f>'14'!AI45</f>
        <v>0</v>
      </c>
      <c r="AE45" s="3"/>
      <c r="AF45" s="28">
        <f>AE45+'14'!AF45</f>
        <v>0</v>
      </c>
      <c r="AG45" s="4"/>
      <c r="AH45" s="28">
        <f>AG45+'14'!AH45</f>
        <v>0</v>
      </c>
      <c r="AI45" s="4">
        <f t="shared" si="6"/>
        <v>0</v>
      </c>
      <c r="AJ45" s="11" t="e">
        <f t="shared" si="0"/>
        <v>#DIV/0!</v>
      </c>
      <c r="AK45" s="53" t="e">
        <f t="shared" si="1"/>
        <v>#DIV/0!</v>
      </c>
      <c r="AW45" s="26">
        <f>'14'!AW45</f>
        <v>0</v>
      </c>
      <c r="AX45" s="12">
        <f>'14'!AX45</f>
        <v>0</v>
      </c>
      <c r="AY45" s="12">
        <f>'14'!AY45</f>
        <v>0</v>
      </c>
      <c r="AZ45" s="12"/>
      <c r="BA45" s="12"/>
      <c r="BB45" s="12">
        <f>BA45+'14'!BB45</f>
        <v>0</v>
      </c>
      <c r="BC45" s="30" t="e">
        <f t="shared" si="2"/>
        <v>#DIV/0!</v>
      </c>
      <c r="BD45" s="12">
        <f>'14'!BD45</f>
        <v>0</v>
      </c>
      <c r="BE45" s="12">
        <f>'14'!BE45</f>
        <v>0</v>
      </c>
      <c r="BF45" s="12"/>
      <c r="BG45" s="12"/>
      <c r="BH45" s="12">
        <f>BG45+'14'!BH45</f>
        <v>0</v>
      </c>
      <c r="BI45" s="30" t="e">
        <f t="shared" si="3"/>
        <v>#DIV/0!</v>
      </c>
    </row>
    <row r="46" spans="1:61" ht="28.9" customHeight="1" x14ac:dyDescent="0.35">
      <c r="A46" s="5">
        <v>36</v>
      </c>
      <c r="B46" s="26">
        <f>'14'!B46</f>
        <v>0</v>
      </c>
      <c r="C46" s="26">
        <f>'14'!C46</f>
        <v>0</v>
      </c>
      <c r="D46" s="26"/>
      <c r="E46" s="12"/>
      <c r="F46" s="2">
        <f>E46+'14'!F46</f>
        <v>0</v>
      </c>
      <c r="G46" s="2"/>
      <c r="H46" s="2">
        <f>G46+'14'!H46</f>
        <v>0</v>
      </c>
      <c r="I46" s="2"/>
      <c r="J46" s="2">
        <f>I46+'14'!J46</f>
        <v>0</v>
      </c>
      <c r="K46" s="2"/>
      <c r="L46" s="2">
        <f>K46+'14'!L46</f>
        <v>0</v>
      </c>
      <c r="M46" s="2"/>
      <c r="N46" s="2">
        <f>M46+'14'!N46</f>
        <v>0</v>
      </c>
      <c r="O46" s="2"/>
      <c r="P46" s="2">
        <f>O46+'14'!P46</f>
        <v>0</v>
      </c>
      <c r="Q46" s="4">
        <f t="shared" si="4"/>
        <v>0</v>
      </c>
      <c r="R46" s="4">
        <f>Q46+'14'!R46</f>
        <v>0</v>
      </c>
      <c r="S46" s="27" t="e">
        <f t="shared" si="5"/>
        <v>#DIV/0!</v>
      </c>
      <c r="T46" s="12"/>
      <c r="U46" s="12">
        <f>T46+'14'!U46</f>
        <v>0</v>
      </c>
      <c r="V46" s="12"/>
      <c r="W46" s="12">
        <f>V46+'14'!W46</f>
        <v>0</v>
      </c>
      <c r="X46" s="12"/>
      <c r="Y46" s="12">
        <f>X46+'14'!Y46</f>
        <v>0</v>
      </c>
      <c r="AB46" s="5">
        <v>36</v>
      </c>
      <c r="AC46" s="26">
        <f>'14'!AC46</f>
        <v>0</v>
      </c>
      <c r="AD46" s="28">
        <f>'14'!AI46</f>
        <v>0</v>
      </c>
      <c r="AE46" s="3"/>
      <c r="AF46" s="28">
        <f>AE46+'14'!AF46</f>
        <v>0</v>
      </c>
      <c r="AG46" s="4"/>
      <c r="AH46" s="28">
        <f>AG46+'14'!AH46</f>
        <v>0</v>
      </c>
      <c r="AI46" s="4">
        <f t="shared" si="6"/>
        <v>0</v>
      </c>
      <c r="AJ46" s="11" t="e">
        <f t="shared" si="0"/>
        <v>#DIV/0!</v>
      </c>
      <c r="AK46" s="53" t="e">
        <f t="shared" si="1"/>
        <v>#DIV/0!</v>
      </c>
      <c r="AW46" s="26">
        <f>'14'!AW46</f>
        <v>0</v>
      </c>
      <c r="AX46" s="12">
        <f>'14'!AX46</f>
        <v>0</v>
      </c>
      <c r="AY46" s="12">
        <f>'14'!AY46</f>
        <v>0</v>
      </c>
      <c r="AZ46" s="12"/>
      <c r="BA46" s="12"/>
      <c r="BB46" s="12">
        <f>BA46+'14'!BB46</f>
        <v>0</v>
      </c>
      <c r="BC46" s="30" t="e">
        <f t="shared" si="2"/>
        <v>#DIV/0!</v>
      </c>
      <c r="BD46" s="12">
        <f>'14'!BD46</f>
        <v>0</v>
      </c>
      <c r="BE46" s="12">
        <f>'14'!BE46</f>
        <v>0</v>
      </c>
      <c r="BF46" s="12"/>
      <c r="BG46" s="12"/>
      <c r="BH46" s="12">
        <f>BG46+'14'!BH46</f>
        <v>0</v>
      </c>
      <c r="BI46" s="30" t="e">
        <f t="shared" si="3"/>
        <v>#DIV/0!</v>
      </c>
    </row>
    <row r="47" spans="1:61" ht="28.9" customHeight="1" x14ac:dyDescent="0.35">
      <c r="A47" s="5">
        <v>37</v>
      </c>
      <c r="B47" s="26">
        <f>'14'!B47</f>
        <v>0</v>
      </c>
      <c r="C47" s="26">
        <f>'14'!C47</f>
        <v>0</v>
      </c>
      <c r="D47" s="26"/>
      <c r="E47" s="12"/>
      <c r="F47" s="2">
        <f>E47+'14'!F47</f>
        <v>0</v>
      </c>
      <c r="G47" s="2"/>
      <c r="H47" s="2">
        <f>G47+'14'!H47</f>
        <v>0</v>
      </c>
      <c r="I47" s="2"/>
      <c r="J47" s="2">
        <f>I47+'14'!J47</f>
        <v>0</v>
      </c>
      <c r="K47" s="2"/>
      <c r="L47" s="2">
        <f>K47+'14'!L47</f>
        <v>0</v>
      </c>
      <c r="M47" s="2"/>
      <c r="N47" s="2">
        <f>M47+'14'!N47</f>
        <v>0</v>
      </c>
      <c r="O47" s="2"/>
      <c r="P47" s="2">
        <f>O47+'14'!P47</f>
        <v>0</v>
      </c>
      <c r="Q47" s="4">
        <f t="shared" si="4"/>
        <v>0</v>
      </c>
      <c r="R47" s="4">
        <f>Q47+'14'!R47</f>
        <v>0</v>
      </c>
      <c r="S47" s="27" t="e">
        <f t="shared" si="5"/>
        <v>#DIV/0!</v>
      </c>
      <c r="T47" s="12"/>
      <c r="U47" s="12">
        <f>T47+'14'!U47</f>
        <v>0</v>
      </c>
      <c r="V47" s="12"/>
      <c r="W47" s="12">
        <f>V47+'14'!W47</f>
        <v>0</v>
      </c>
      <c r="X47" s="12"/>
      <c r="Y47" s="12">
        <f>X47+'14'!Y47</f>
        <v>0</v>
      </c>
      <c r="AB47" s="5">
        <v>37</v>
      </c>
      <c r="AC47" s="26">
        <f>'14'!AC47</f>
        <v>0</v>
      </c>
      <c r="AD47" s="28">
        <f>'14'!AI47</f>
        <v>0</v>
      </c>
      <c r="AE47" s="3"/>
      <c r="AF47" s="28">
        <f>AE47+'14'!AF47</f>
        <v>0</v>
      </c>
      <c r="AG47" s="4"/>
      <c r="AH47" s="28">
        <f>AG47+'14'!AH47</f>
        <v>0</v>
      </c>
      <c r="AI47" s="4">
        <f t="shared" si="6"/>
        <v>0</v>
      </c>
      <c r="AJ47" s="11" t="e">
        <f t="shared" si="0"/>
        <v>#DIV/0!</v>
      </c>
      <c r="AK47" s="53" t="e">
        <f t="shared" si="1"/>
        <v>#DIV/0!</v>
      </c>
      <c r="AW47" s="26">
        <f>'14'!AW47</f>
        <v>0</v>
      </c>
      <c r="AX47" s="12">
        <f>'14'!AX47</f>
        <v>0</v>
      </c>
      <c r="AY47" s="12">
        <f>'14'!AY47</f>
        <v>0</v>
      </c>
      <c r="AZ47" s="12"/>
      <c r="BA47" s="12"/>
      <c r="BB47" s="12">
        <f>BA47+'14'!BB47</f>
        <v>0</v>
      </c>
      <c r="BC47" s="30" t="e">
        <f t="shared" si="2"/>
        <v>#DIV/0!</v>
      </c>
      <c r="BD47" s="12">
        <f>'14'!BD47</f>
        <v>0</v>
      </c>
      <c r="BE47" s="12">
        <f>'14'!BE47</f>
        <v>0</v>
      </c>
      <c r="BF47" s="12"/>
      <c r="BG47" s="12"/>
      <c r="BH47" s="12">
        <f>BG47+'14'!BH47</f>
        <v>0</v>
      </c>
      <c r="BI47" s="30" t="e">
        <f t="shared" si="3"/>
        <v>#DIV/0!</v>
      </c>
    </row>
    <row r="48" spans="1:61" ht="28.9" customHeight="1" x14ac:dyDescent="0.35">
      <c r="A48" s="5">
        <v>38</v>
      </c>
      <c r="B48" s="26">
        <f>'14'!B48</f>
        <v>0</v>
      </c>
      <c r="C48" s="26">
        <f>'14'!C48</f>
        <v>0</v>
      </c>
      <c r="D48" s="26"/>
      <c r="E48" s="12"/>
      <c r="F48" s="2">
        <f>E48+'14'!F48</f>
        <v>0</v>
      </c>
      <c r="G48" s="2"/>
      <c r="H48" s="2">
        <f>G48+'14'!H48</f>
        <v>0</v>
      </c>
      <c r="I48" s="2"/>
      <c r="J48" s="2">
        <f>I48+'14'!J48</f>
        <v>0</v>
      </c>
      <c r="K48" s="2"/>
      <c r="L48" s="2">
        <f>K48+'14'!L48</f>
        <v>0</v>
      </c>
      <c r="M48" s="2"/>
      <c r="N48" s="2">
        <f>M48+'14'!N48</f>
        <v>0</v>
      </c>
      <c r="O48" s="2"/>
      <c r="P48" s="2">
        <f>O48+'14'!P48</f>
        <v>0</v>
      </c>
      <c r="Q48" s="4">
        <f t="shared" si="4"/>
        <v>0</v>
      </c>
      <c r="R48" s="4">
        <f>Q48+'14'!R48</f>
        <v>0</v>
      </c>
      <c r="S48" s="27" t="e">
        <f t="shared" si="5"/>
        <v>#DIV/0!</v>
      </c>
      <c r="T48" s="12"/>
      <c r="U48" s="12">
        <f>T48+'14'!U48</f>
        <v>0</v>
      </c>
      <c r="V48" s="12"/>
      <c r="W48" s="12">
        <f>V48+'14'!W48</f>
        <v>0</v>
      </c>
      <c r="X48" s="12"/>
      <c r="Y48" s="12">
        <f>X48+'14'!Y48</f>
        <v>0</v>
      </c>
      <c r="AB48" s="5">
        <v>38</v>
      </c>
      <c r="AC48" s="26">
        <f>'14'!AC48</f>
        <v>0</v>
      </c>
      <c r="AD48" s="28">
        <f>'14'!AI48</f>
        <v>0</v>
      </c>
      <c r="AE48" s="3"/>
      <c r="AF48" s="28">
        <f>AE48+'14'!AF48</f>
        <v>0</v>
      </c>
      <c r="AG48" s="4"/>
      <c r="AH48" s="28">
        <f>AG48+'14'!AH48</f>
        <v>0</v>
      </c>
      <c r="AI48" s="4">
        <f t="shared" si="6"/>
        <v>0</v>
      </c>
      <c r="AJ48" s="11" t="e">
        <f t="shared" si="0"/>
        <v>#DIV/0!</v>
      </c>
      <c r="AK48" s="53" t="e">
        <f t="shared" si="1"/>
        <v>#DIV/0!</v>
      </c>
      <c r="AW48" s="26">
        <f>'14'!AW48</f>
        <v>0</v>
      </c>
      <c r="AX48" s="12">
        <f>'14'!AX48</f>
        <v>0</v>
      </c>
      <c r="AY48" s="12">
        <f>'14'!AY48</f>
        <v>0</v>
      </c>
      <c r="AZ48" s="12"/>
      <c r="BA48" s="12"/>
      <c r="BB48" s="12">
        <f>BA48+'14'!BB48</f>
        <v>0</v>
      </c>
      <c r="BC48" s="30" t="e">
        <f t="shared" si="2"/>
        <v>#DIV/0!</v>
      </c>
      <c r="BD48" s="12">
        <f>'14'!BD48</f>
        <v>0</v>
      </c>
      <c r="BE48" s="12">
        <f>'14'!BE48</f>
        <v>0</v>
      </c>
      <c r="BF48" s="12"/>
      <c r="BG48" s="12"/>
      <c r="BH48" s="12">
        <f>BG48+'14'!BH48</f>
        <v>0</v>
      </c>
      <c r="BI48" s="30" t="e">
        <f t="shared" si="3"/>
        <v>#DIV/0!</v>
      </c>
    </row>
    <row r="49" spans="1:61" ht="28.9" customHeight="1" x14ac:dyDescent="0.35">
      <c r="A49" s="5">
        <v>39</v>
      </c>
      <c r="B49" s="26">
        <f>'14'!B49</f>
        <v>0</v>
      </c>
      <c r="C49" s="26">
        <f>'14'!C49</f>
        <v>0</v>
      </c>
      <c r="D49" s="26"/>
      <c r="E49" s="12"/>
      <c r="F49" s="2">
        <f>E49+'14'!F49</f>
        <v>0</v>
      </c>
      <c r="G49" s="2"/>
      <c r="H49" s="2">
        <f>G49+'14'!H49</f>
        <v>0</v>
      </c>
      <c r="I49" s="2"/>
      <c r="J49" s="2">
        <f>I49+'14'!J49</f>
        <v>0</v>
      </c>
      <c r="K49" s="2"/>
      <c r="L49" s="2">
        <f>K49+'14'!L49</f>
        <v>0</v>
      </c>
      <c r="M49" s="2"/>
      <c r="N49" s="2">
        <f>M49+'14'!N49</f>
        <v>0</v>
      </c>
      <c r="O49" s="2"/>
      <c r="P49" s="2">
        <f>O49+'14'!P49</f>
        <v>0</v>
      </c>
      <c r="Q49" s="4">
        <f t="shared" si="4"/>
        <v>0</v>
      </c>
      <c r="R49" s="4">
        <f>Q49+'14'!R49</f>
        <v>0</v>
      </c>
      <c r="S49" s="27" t="e">
        <f t="shared" si="5"/>
        <v>#DIV/0!</v>
      </c>
      <c r="T49" s="12"/>
      <c r="U49" s="12">
        <f>T49+'14'!U49</f>
        <v>0</v>
      </c>
      <c r="V49" s="12"/>
      <c r="W49" s="12">
        <f>V49+'14'!W49</f>
        <v>0</v>
      </c>
      <c r="X49" s="12"/>
      <c r="Y49" s="12">
        <f>X49+'14'!Y49</f>
        <v>0</v>
      </c>
      <c r="AB49" s="5">
        <v>39</v>
      </c>
      <c r="AC49" s="26">
        <f>'14'!AC49</f>
        <v>0</v>
      </c>
      <c r="AD49" s="28">
        <f>'14'!AI49</f>
        <v>0</v>
      </c>
      <c r="AE49" s="3"/>
      <c r="AF49" s="28">
        <f>AE49+'14'!AF49</f>
        <v>0</v>
      </c>
      <c r="AG49" s="4"/>
      <c r="AH49" s="28">
        <f>AG49+'14'!AH49</f>
        <v>0</v>
      </c>
      <c r="AI49" s="4">
        <f t="shared" si="6"/>
        <v>0</v>
      </c>
      <c r="AJ49" s="11" t="e">
        <f t="shared" si="0"/>
        <v>#DIV/0!</v>
      </c>
      <c r="AK49" s="53" t="e">
        <f t="shared" si="1"/>
        <v>#DIV/0!</v>
      </c>
      <c r="AW49" s="26">
        <f>'14'!AW49</f>
        <v>0</v>
      </c>
      <c r="AX49" s="12">
        <f>'14'!AX49</f>
        <v>0</v>
      </c>
      <c r="AY49" s="12">
        <f>'14'!AY49</f>
        <v>0</v>
      </c>
      <c r="AZ49" s="12"/>
      <c r="BA49" s="12"/>
      <c r="BB49" s="12">
        <f>BA49+'14'!BB49</f>
        <v>0</v>
      </c>
      <c r="BC49" s="30" t="e">
        <f t="shared" si="2"/>
        <v>#DIV/0!</v>
      </c>
      <c r="BD49" s="12">
        <f>'14'!BD49</f>
        <v>0</v>
      </c>
      <c r="BE49" s="12">
        <f>'14'!BE49</f>
        <v>0</v>
      </c>
      <c r="BF49" s="12"/>
      <c r="BG49" s="12"/>
      <c r="BH49" s="12">
        <f>BG49+'14'!BH49</f>
        <v>0</v>
      </c>
      <c r="BI49" s="30" t="e">
        <f t="shared" si="3"/>
        <v>#DIV/0!</v>
      </c>
    </row>
    <row r="50" spans="1:61" ht="28.9" customHeight="1" x14ac:dyDescent="0.35">
      <c r="A50" s="5">
        <v>40</v>
      </c>
      <c r="B50" s="26">
        <f>'14'!B50</f>
        <v>0</v>
      </c>
      <c r="C50" s="26">
        <f>'14'!C50</f>
        <v>0</v>
      </c>
      <c r="D50" s="26"/>
      <c r="E50" s="12"/>
      <c r="F50" s="2">
        <f>E50+'14'!F50</f>
        <v>0</v>
      </c>
      <c r="G50" s="2"/>
      <c r="H50" s="2">
        <f>G50+'14'!H50</f>
        <v>0</v>
      </c>
      <c r="I50" s="2"/>
      <c r="J50" s="2">
        <f>I50+'14'!J50</f>
        <v>0</v>
      </c>
      <c r="K50" s="2"/>
      <c r="L50" s="2">
        <f>K50+'14'!L50</f>
        <v>0</v>
      </c>
      <c r="M50" s="2"/>
      <c r="N50" s="2">
        <f>M50+'14'!N50</f>
        <v>0</v>
      </c>
      <c r="O50" s="2"/>
      <c r="P50" s="2">
        <f>O50+'14'!P50</f>
        <v>0</v>
      </c>
      <c r="Q50" s="4">
        <f t="shared" si="4"/>
        <v>0</v>
      </c>
      <c r="R50" s="4">
        <f>Q50+'14'!R50</f>
        <v>0</v>
      </c>
      <c r="S50" s="27" t="e">
        <f t="shared" si="5"/>
        <v>#DIV/0!</v>
      </c>
      <c r="T50" s="12"/>
      <c r="U50" s="12">
        <f>T50+'14'!U50</f>
        <v>0</v>
      </c>
      <c r="V50" s="12"/>
      <c r="W50" s="12">
        <f>V50+'14'!W50</f>
        <v>0</v>
      </c>
      <c r="X50" s="12"/>
      <c r="Y50" s="12">
        <f>X50+'14'!Y50</f>
        <v>0</v>
      </c>
      <c r="AB50" s="5">
        <v>40</v>
      </c>
      <c r="AC50" s="26">
        <f>'14'!AC50</f>
        <v>0</v>
      </c>
      <c r="AD50" s="28">
        <f>'14'!AI50</f>
        <v>0</v>
      </c>
      <c r="AE50" s="3"/>
      <c r="AF50" s="28">
        <f>AE50+'14'!AF50</f>
        <v>0</v>
      </c>
      <c r="AG50" s="4"/>
      <c r="AH50" s="28">
        <f>AG50+'14'!AH50</f>
        <v>0</v>
      </c>
      <c r="AI50" s="4">
        <f t="shared" si="6"/>
        <v>0</v>
      </c>
      <c r="AJ50" s="11" t="e">
        <f t="shared" si="0"/>
        <v>#DIV/0!</v>
      </c>
      <c r="AK50" s="53" t="e">
        <f t="shared" si="1"/>
        <v>#DIV/0!</v>
      </c>
      <c r="AW50" s="26">
        <f>'14'!AW50</f>
        <v>0</v>
      </c>
      <c r="AX50" s="12">
        <f>'14'!AX50</f>
        <v>0</v>
      </c>
      <c r="AY50" s="12">
        <f>'14'!AY50</f>
        <v>0</v>
      </c>
      <c r="AZ50" s="12"/>
      <c r="BA50" s="12"/>
      <c r="BB50" s="12">
        <f>BA50+'14'!BB50</f>
        <v>0</v>
      </c>
      <c r="BC50" s="30" t="e">
        <f t="shared" si="2"/>
        <v>#DIV/0!</v>
      </c>
      <c r="BD50" s="12">
        <f>'14'!BD50</f>
        <v>0</v>
      </c>
      <c r="BE50" s="12">
        <f>'14'!BE50</f>
        <v>0</v>
      </c>
      <c r="BF50" s="12"/>
      <c r="BG50" s="12"/>
      <c r="BH50" s="12">
        <f>BG50+'14'!BH50</f>
        <v>0</v>
      </c>
      <c r="BI50" s="30" t="e">
        <f t="shared" si="3"/>
        <v>#DIV/0!</v>
      </c>
    </row>
    <row r="51" spans="1:61" ht="25.5" thickBot="1" x14ac:dyDescent="0.4">
      <c r="A51" s="321" t="s">
        <v>26</v>
      </c>
      <c r="B51" s="321"/>
      <c r="C51" s="35">
        <f>SUM(C11:C50)</f>
        <v>97446</v>
      </c>
      <c r="D51" s="35">
        <f>SUM(D11:D50)</f>
        <v>0</v>
      </c>
      <c r="E51" s="6">
        <f>SUM(E11:E50)</f>
        <v>0</v>
      </c>
      <c r="F51" s="6">
        <f>SUM(F11:F50)</f>
        <v>533</v>
      </c>
      <c r="G51" s="6">
        <f t="shared" ref="G51:R51" si="8">SUM(G11:G50)</f>
        <v>0</v>
      </c>
      <c r="H51" s="6">
        <f t="shared" si="8"/>
        <v>14954</v>
      </c>
      <c r="I51" s="6">
        <f t="shared" si="8"/>
        <v>0</v>
      </c>
      <c r="J51" s="6">
        <f t="shared" si="8"/>
        <v>37926</v>
      </c>
      <c r="K51" s="6">
        <f t="shared" si="8"/>
        <v>0</v>
      </c>
      <c r="L51" s="6">
        <f t="shared" si="8"/>
        <v>0</v>
      </c>
      <c r="M51" s="6">
        <f t="shared" si="8"/>
        <v>0</v>
      </c>
      <c r="N51" s="6">
        <f t="shared" si="8"/>
        <v>0</v>
      </c>
      <c r="O51" s="6">
        <f t="shared" si="8"/>
        <v>0</v>
      </c>
      <c r="P51" s="6">
        <f t="shared" si="8"/>
        <v>0</v>
      </c>
      <c r="Q51" s="6">
        <f t="shared" si="8"/>
        <v>0</v>
      </c>
      <c r="R51" s="6">
        <f t="shared" si="8"/>
        <v>53413</v>
      </c>
      <c r="S51" s="10">
        <f>R51/C51</f>
        <v>0.54812922028610722</v>
      </c>
      <c r="T51" s="23">
        <f t="shared" ref="T51:Y51" si="9">SUM(T11:T50)</f>
        <v>0</v>
      </c>
      <c r="U51" s="23">
        <f t="shared" si="9"/>
        <v>7532</v>
      </c>
      <c r="V51" s="23">
        <f t="shared" si="9"/>
        <v>0</v>
      </c>
      <c r="W51" s="23">
        <f t="shared" si="9"/>
        <v>1107</v>
      </c>
      <c r="X51" s="23">
        <f t="shared" si="9"/>
        <v>0</v>
      </c>
      <c r="Y51" s="23">
        <f t="shared" si="9"/>
        <v>2</v>
      </c>
      <c r="AB51" s="37" t="s">
        <v>29</v>
      </c>
      <c r="AC51" s="37"/>
      <c r="AD51" s="34">
        <f t="shared" ref="AD51:AI51" si="10">SUM(AD11:AD50)</f>
        <v>3133</v>
      </c>
      <c r="AE51" s="23">
        <f t="shared" si="10"/>
        <v>0</v>
      </c>
      <c r="AF51" s="14">
        <f t="shared" si="10"/>
        <v>8632</v>
      </c>
      <c r="AG51" s="14">
        <f t="shared" si="10"/>
        <v>0</v>
      </c>
      <c r="AH51" s="14">
        <f t="shared" si="10"/>
        <v>5499</v>
      </c>
      <c r="AI51" s="14">
        <f t="shared" si="10"/>
        <v>3133</v>
      </c>
      <c r="AJ51" s="11" t="e">
        <f t="shared" si="0"/>
        <v>#DIV/0!</v>
      </c>
      <c r="AK51" s="53">
        <f t="shared" si="1"/>
        <v>9.713220585561011</v>
      </c>
      <c r="AW51" s="33" t="s">
        <v>26</v>
      </c>
      <c r="AX51" s="13">
        <f>SUM(AX11:AX50)</f>
        <v>121</v>
      </c>
      <c r="AY51" s="13">
        <f>SUM(AY11:AY50)</f>
        <v>50910</v>
      </c>
      <c r="AZ51" s="13">
        <f>SUM(AZ11:AZ50)</f>
        <v>0</v>
      </c>
      <c r="BA51" s="13">
        <f>SUM(BA11:BA50)</f>
        <v>0</v>
      </c>
      <c r="BB51" s="13">
        <f>SUM(BB11:BB50)</f>
        <v>39924</v>
      </c>
      <c r="BC51" s="31">
        <f t="shared" si="2"/>
        <v>0.78420742486741313</v>
      </c>
      <c r="BD51" s="32">
        <f>SUM(BD11:BD50)</f>
        <v>241</v>
      </c>
      <c r="BE51" s="32">
        <f>SUM(BE11:BE50)</f>
        <v>14990</v>
      </c>
      <c r="BF51" s="32">
        <f>SUM(BF11:BF50)</f>
        <v>0</v>
      </c>
      <c r="BG51" s="32">
        <f>SUM(BG11:BG50)</f>
        <v>0</v>
      </c>
      <c r="BH51" s="32">
        <f>SUM(BH11:BH50)</f>
        <v>9274</v>
      </c>
      <c r="BI51" s="31">
        <f t="shared" si="3"/>
        <v>0.61867911941294196</v>
      </c>
    </row>
    <row r="52" spans="1:61" ht="17.5" x14ac:dyDescent="0.35">
      <c r="AB52" s="36"/>
      <c r="AC52" s="36"/>
      <c r="AD52" s="36"/>
      <c r="AE52" s="36"/>
      <c r="AF52" s="40"/>
      <c r="AG52" s="40"/>
      <c r="AH52" s="40"/>
      <c r="AI52" s="41"/>
      <c r="AJ52" s="15"/>
      <c r="AK52" s="15"/>
    </row>
    <row r="54" spans="1:61" ht="18.5" x14ac:dyDescent="0.45">
      <c r="G54" s="322" t="s">
        <v>36</v>
      </c>
      <c r="H54" s="322"/>
      <c r="I54" s="322"/>
      <c r="J54" s="322"/>
      <c r="K54" s="322"/>
      <c r="L54" s="322"/>
      <c r="M54" s="322"/>
      <c r="N54" s="322"/>
      <c r="O54" s="322"/>
      <c r="P54" s="322"/>
      <c r="Q54" s="322"/>
      <c r="R54" s="322"/>
      <c r="S54" s="322"/>
      <c r="AB54" s="313" t="s">
        <v>44</v>
      </c>
      <c r="AC54" s="313"/>
      <c r="AD54" s="313"/>
      <c r="AE54" s="313"/>
      <c r="AF54" s="313"/>
      <c r="AG54" s="313"/>
      <c r="AH54" s="313"/>
      <c r="AI54" s="313"/>
      <c r="AJ54" s="313"/>
      <c r="AK54" s="313"/>
      <c r="AL54" s="313"/>
      <c r="AM54" s="313"/>
      <c r="AN54" s="313"/>
    </row>
    <row r="55" spans="1:61" ht="18.5" x14ac:dyDescent="0.45">
      <c r="AX55" s="313" t="s">
        <v>44</v>
      </c>
      <c r="AY55" s="313"/>
      <c r="AZ55" s="313"/>
      <c r="BA55" s="313"/>
      <c r="BB55" s="313"/>
      <c r="BC55" s="313"/>
      <c r="BD55" s="313"/>
      <c r="BE55" s="313"/>
      <c r="BF55" s="313"/>
      <c r="BG55" s="313"/>
      <c r="BH55" s="313"/>
      <c r="BI55" s="313"/>
    </row>
    <row r="56" spans="1:61" ht="15.5" x14ac:dyDescent="0.35">
      <c r="AG56" s="38"/>
      <c r="AH56" s="38"/>
      <c r="AI56" s="38"/>
    </row>
  </sheetData>
  <mergeCells count="56">
    <mergeCell ref="A6:Y6"/>
    <mergeCell ref="AF6:AN6"/>
    <mergeCell ref="AY6:BI6"/>
    <mergeCell ref="A7:Y7"/>
    <mergeCell ref="A8:A10"/>
    <mergeCell ref="B8:B10"/>
    <mergeCell ref="C8:C10"/>
    <mergeCell ref="D8:D10"/>
    <mergeCell ref="E8:J8"/>
    <mergeCell ref="K8:P8"/>
    <mergeCell ref="Q8:R9"/>
    <mergeCell ref="S8:S10"/>
    <mergeCell ref="T8:U9"/>
    <mergeCell ref="V8:W9"/>
    <mergeCell ref="X8:Y9"/>
    <mergeCell ref="AB8:AB10"/>
    <mergeCell ref="AN8:AN9"/>
    <mergeCell ref="AO8:AO9"/>
    <mergeCell ref="AP8:AQ8"/>
    <mergeCell ref="AR8:AS8"/>
    <mergeCell ref="AC8:AC10"/>
    <mergeCell ref="AD8:AD10"/>
    <mergeCell ref="AE8:AF9"/>
    <mergeCell ref="AG8:AH9"/>
    <mergeCell ref="AI8:AI10"/>
    <mergeCell ref="AJ8:AJ10"/>
    <mergeCell ref="AW8:AW10"/>
    <mergeCell ref="AX8:BC8"/>
    <mergeCell ref="BD8:BI8"/>
    <mergeCell ref="E9:F9"/>
    <mergeCell ref="G9:H9"/>
    <mergeCell ref="I9:J9"/>
    <mergeCell ref="K9:L9"/>
    <mergeCell ref="M9:N9"/>
    <mergeCell ref="AK8:AK10"/>
    <mergeCell ref="AM8:AM13"/>
    <mergeCell ref="BF9:BF10"/>
    <mergeCell ref="BG9:BG10"/>
    <mergeCell ref="BH9:BH10"/>
    <mergeCell ref="O9:P9"/>
    <mergeCell ref="AX9:AX10"/>
    <mergeCell ref="AY9:AY10"/>
    <mergeCell ref="AZ9:AZ10"/>
    <mergeCell ref="BA9:BA10"/>
    <mergeCell ref="BB9:BB10"/>
    <mergeCell ref="AT8:AT9"/>
    <mergeCell ref="AX55:BI55"/>
    <mergeCell ref="BI9:BI10"/>
    <mergeCell ref="AM14:AN14"/>
    <mergeCell ref="AO14:AS14"/>
    <mergeCell ref="A51:B51"/>
    <mergeCell ref="G54:S54"/>
    <mergeCell ref="AB54:AN54"/>
    <mergeCell ref="BC9:BC10"/>
    <mergeCell ref="BD9:BD10"/>
    <mergeCell ref="BE9:BE10"/>
  </mergeCells>
  <pageMargins left="0.7" right="0.7" top="0.75" bottom="0.75" header="0.3" footer="0.3"/>
  <pageSetup paperSize="9" scale="17" orientation="landscape" r:id="rId1"/>
  <colBreaks count="2" manualBreakCount="2">
    <brk id="26" max="55" man="1"/>
    <brk id="47" max="55" man="1"/>
  </col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14C4F-B086-4A69-85FC-7FFC9C477433}">
  <dimension ref="A1:BJ56"/>
  <sheetViews>
    <sheetView rightToLeft="1" view="pageBreakPreview" topLeftCell="AE5" zoomScale="55" zoomScaleNormal="29" zoomScalePageLayoutView="40" workbookViewId="0">
      <selection activeCell="AU5" sqref="AU1:AU65536"/>
    </sheetView>
  </sheetViews>
  <sheetFormatPr defaultRowHeight="14.5" x14ac:dyDescent="0.35"/>
  <cols>
    <col min="1" max="1" width="11.26953125" style="1" customWidth="1"/>
    <col min="2" max="4" width="18.7265625" style="1" customWidth="1"/>
    <col min="5" max="6" width="15.26953125" customWidth="1"/>
    <col min="7" max="7" width="18.453125" customWidth="1"/>
    <col min="8" max="8" width="16.81640625" customWidth="1"/>
    <col min="9" max="9" width="15.26953125" customWidth="1"/>
    <col min="10" max="10" width="15.54296875" customWidth="1"/>
    <col min="11" max="23" width="15.26953125" customWidth="1"/>
    <col min="24" max="25" width="12.54296875" customWidth="1"/>
    <col min="27" max="27" width="19.1796875" customWidth="1"/>
    <col min="28" max="30" width="15.26953125" customWidth="1"/>
    <col min="31" max="32" width="13.7265625" customWidth="1"/>
    <col min="33" max="33" width="14.1796875" customWidth="1"/>
    <col min="34" max="34" width="13" customWidth="1"/>
    <col min="35" max="35" width="18.26953125" customWidth="1"/>
    <col min="36" max="40" width="15" customWidth="1"/>
    <col min="41" max="41" width="16.7265625" customWidth="1"/>
    <col min="42" max="42" width="18" customWidth="1"/>
    <col min="43" max="46" width="15" customWidth="1"/>
    <col min="47" max="47" width="14" style="1" customWidth="1"/>
    <col min="49" max="49" width="15.1796875" customWidth="1"/>
    <col min="50" max="50" width="22.26953125" customWidth="1"/>
    <col min="51" max="51" width="16.26953125" customWidth="1"/>
    <col min="52" max="52" width="13.453125" customWidth="1"/>
    <col min="53" max="53" width="14" customWidth="1"/>
    <col min="54" max="54" width="11.7265625" customWidth="1"/>
    <col min="55" max="55" width="14.26953125" customWidth="1"/>
    <col min="56" max="56" width="17.7265625" customWidth="1"/>
    <col min="57" max="57" width="22.453125" customWidth="1"/>
    <col min="58" max="58" width="17.7265625" customWidth="1"/>
    <col min="59" max="59" width="11.7265625" customWidth="1"/>
    <col min="60" max="60" width="16.81640625" customWidth="1"/>
    <col min="61" max="61" width="12.81640625" customWidth="1"/>
    <col min="62" max="62" width="15.26953125" customWidth="1"/>
  </cols>
  <sheetData>
    <row r="1" spans="1:62" s="21" customFormat="1" ht="23.5" x14ac:dyDescent="0.55000000000000004">
      <c r="A1" s="22" t="s">
        <v>0</v>
      </c>
      <c r="B1" s="22"/>
      <c r="C1" s="22"/>
      <c r="D1" s="18"/>
      <c r="E1" s="18"/>
      <c r="F1" s="18"/>
      <c r="G1" s="18"/>
      <c r="H1" s="18"/>
      <c r="I1" s="18"/>
      <c r="J1" s="18"/>
      <c r="K1" s="18"/>
      <c r="L1" s="18"/>
      <c r="M1" s="18"/>
      <c r="N1" s="19"/>
      <c r="O1" s="19"/>
      <c r="P1" s="18"/>
      <c r="Q1" s="18"/>
      <c r="R1" s="18"/>
      <c r="S1" s="18"/>
      <c r="T1" s="18"/>
      <c r="U1" s="18"/>
      <c r="V1" s="18"/>
      <c r="W1" s="18"/>
      <c r="X1" s="18"/>
      <c r="Y1" s="18"/>
      <c r="AA1" s="29"/>
      <c r="AB1" s="22" t="s">
        <v>0</v>
      </c>
      <c r="AC1" s="22"/>
      <c r="AD1" s="29"/>
      <c r="AE1" s="29"/>
      <c r="AF1" s="29"/>
      <c r="AU1" s="54"/>
      <c r="AW1" s="22" t="s">
        <v>0</v>
      </c>
      <c r="AX1" s="22"/>
      <c r="AY1" s="22"/>
      <c r="AZ1" s="18"/>
      <c r="BA1" s="18"/>
      <c r="BB1" s="18"/>
      <c r="BC1" s="18"/>
      <c r="BD1" s="18"/>
      <c r="BE1" s="20"/>
      <c r="BF1" s="19"/>
      <c r="BI1" s="29"/>
      <c r="BJ1" s="29"/>
    </row>
    <row r="2" spans="1:62" s="21" customFormat="1" ht="23.5" x14ac:dyDescent="0.55000000000000004">
      <c r="A2" s="22" t="s">
        <v>21</v>
      </c>
      <c r="B2" s="22"/>
      <c r="C2" s="22"/>
      <c r="D2" s="18"/>
      <c r="E2" s="18"/>
      <c r="F2" s="18"/>
      <c r="G2" s="18"/>
      <c r="H2" s="18"/>
      <c r="I2" s="18"/>
      <c r="J2" s="18"/>
      <c r="K2" s="18"/>
      <c r="L2" s="18"/>
      <c r="M2" s="18"/>
      <c r="N2" s="19"/>
      <c r="O2" s="19"/>
      <c r="P2" s="18"/>
      <c r="Q2" s="18"/>
      <c r="R2" s="18"/>
      <c r="S2" s="18"/>
      <c r="T2" s="18"/>
      <c r="U2" s="18"/>
      <c r="V2" s="18"/>
      <c r="W2" s="18"/>
      <c r="X2" s="18"/>
      <c r="Y2" s="18"/>
      <c r="AA2" s="29"/>
      <c r="AB2" s="22" t="s">
        <v>21</v>
      </c>
      <c r="AC2" s="22"/>
      <c r="AD2" s="29"/>
      <c r="AE2" s="29"/>
      <c r="AF2" s="29"/>
      <c r="AU2" s="54"/>
      <c r="AW2" s="22" t="s">
        <v>21</v>
      </c>
      <c r="AX2" s="22"/>
      <c r="AY2" s="22"/>
      <c r="AZ2" s="18"/>
      <c r="BA2" s="18"/>
      <c r="BB2" s="18"/>
      <c r="BC2" s="18"/>
      <c r="BD2" s="18"/>
      <c r="BE2" s="20"/>
      <c r="BF2" s="19"/>
      <c r="BI2" s="29"/>
      <c r="BJ2" s="29"/>
    </row>
    <row r="3" spans="1:62" s="21" customFormat="1" ht="23.5" x14ac:dyDescent="0.55000000000000004">
      <c r="A3" s="22" t="s">
        <v>22</v>
      </c>
      <c r="B3" s="22"/>
      <c r="C3" s="22"/>
      <c r="D3" s="18"/>
      <c r="E3" s="18"/>
      <c r="F3" s="18"/>
      <c r="G3" s="18"/>
      <c r="H3" s="18"/>
      <c r="I3" s="18"/>
      <c r="J3" s="18"/>
      <c r="K3" s="18"/>
      <c r="L3" s="18"/>
      <c r="M3" s="18"/>
      <c r="N3" s="19"/>
      <c r="O3" s="19"/>
      <c r="P3" s="18"/>
      <c r="Q3" s="18"/>
      <c r="R3" s="18"/>
      <c r="S3" s="18"/>
      <c r="T3" s="18"/>
      <c r="U3" s="18"/>
      <c r="V3" s="18"/>
      <c r="W3" s="18"/>
      <c r="X3" s="18"/>
      <c r="Y3" s="18"/>
      <c r="AA3" s="29"/>
      <c r="AB3" s="22" t="s">
        <v>22</v>
      </c>
      <c r="AC3" s="22"/>
      <c r="AD3" s="29"/>
      <c r="AE3" s="29"/>
      <c r="AF3" s="29"/>
      <c r="AU3" s="54"/>
      <c r="AW3" s="22" t="s">
        <v>22</v>
      </c>
      <c r="AX3" s="22"/>
      <c r="AY3" s="22"/>
      <c r="AZ3" s="18"/>
      <c r="BA3" s="18"/>
      <c r="BB3" s="18"/>
      <c r="BC3" s="18"/>
      <c r="BD3" s="18"/>
      <c r="BE3" s="20"/>
      <c r="BF3" s="19"/>
      <c r="BI3" s="29"/>
      <c r="BJ3" s="29"/>
    </row>
    <row r="4" spans="1:62" s="21" customFormat="1" ht="23.5" x14ac:dyDescent="0.55000000000000004">
      <c r="A4" s="22" t="s">
        <v>23</v>
      </c>
      <c r="B4" s="22"/>
      <c r="C4" s="22"/>
      <c r="D4" s="19"/>
      <c r="E4" s="20"/>
      <c r="F4" s="20"/>
      <c r="G4" s="20"/>
      <c r="H4" s="20"/>
      <c r="I4" s="18"/>
      <c r="J4" s="18"/>
      <c r="K4" s="18"/>
      <c r="L4" s="18"/>
      <c r="M4" s="18"/>
      <c r="N4" s="19"/>
      <c r="O4" s="19"/>
      <c r="P4" s="18"/>
      <c r="Q4" s="18"/>
      <c r="R4" s="18"/>
      <c r="S4" s="18"/>
      <c r="T4" s="18"/>
      <c r="U4" s="18"/>
      <c r="V4" s="18"/>
      <c r="W4" s="18"/>
      <c r="X4" s="18"/>
      <c r="Y4" s="18"/>
      <c r="AB4" s="22" t="s">
        <v>23</v>
      </c>
      <c r="AC4" s="22"/>
      <c r="AU4" s="54"/>
      <c r="AW4" s="22" t="s">
        <v>23</v>
      </c>
      <c r="AX4" s="22"/>
      <c r="AY4" s="22"/>
      <c r="AZ4" s="19"/>
      <c r="BA4" s="18"/>
      <c r="BB4" s="18"/>
      <c r="BC4" s="18"/>
      <c r="BD4" s="18"/>
      <c r="BE4" s="20"/>
      <c r="BF4" s="19"/>
    </row>
    <row r="5" spans="1:62" s="21" customFormat="1" ht="23.5" x14ac:dyDescent="0.55000000000000004">
      <c r="A5" s="22" t="s">
        <v>1</v>
      </c>
      <c r="B5" s="22"/>
      <c r="C5" s="22"/>
      <c r="D5" s="19"/>
      <c r="E5" s="18"/>
      <c r="F5" s="18"/>
      <c r="G5" s="18"/>
      <c r="H5" s="18"/>
      <c r="I5" s="18"/>
      <c r="J5" s="18"/>
      <c r="K5" s="18"/>
      <c r="L5" s="18"/>
      <c r="M5" s="18"/>
      <c r="N5" s="19"/>
      <c r="O5" s="19"/>
      <c r="P5" s="18"/>
      <c r="Q5" s="18"/>
      <c r="R5" s="18"/>
      <c r="S5" s="18"/>
      <c r="T5" s="18"/>
      <c r="U5" s="18"/>
      <c r="V5" s="18"/>
      <c r="W5" s="18"/>
      <c r="X5" s="18"/>
      <c r="Y5" s="18"/>
      <c r="AB5" s="22" t="s">
        <v>1</v>
      </c>
      <c r="AC5" s="22"/>
      <c r="AU5" s="54"/>
      <c r="AW5" s="22" t="s">
        <v>1</v>
      </c>
      <c r="AX5" s="22"/>
      <c r="AY5" s="22"/>
      <c r="AZ5" s="19"/>
      <c r="BA5" s="18"/>
      <c r="BB5" s="18"/>
      <c r="BC5" s="18"/>
      <c r="BD5" s="18"/>
      <c r="BE5" s="20"/>
      <c r="BF5" s="19"/>
    </row>
    <row r="6" spans="1:62" ht="20" x14ac:dyDescent="0.4">
      <c r="A6" s="362" t="s">
        <v>18</v>
      </c>
      <c r="B6" s="362"/>
      <c r="C6" s="362"/>
      <c r="D6" s="362"/>
      <c r="E6" s="362"/>
      <c r="F6" s="362"/>
      <c r="G6" s="362"/>
      <c r="H6" s="362"/>
      <c r="I6" s="362"/>
      <c r="J6" s="362"/>
      <c r="K6" s="362"/>
      <c r="L6" s="362"/>
      <c r="M6" s="362"/>
      <c r="N6" s="362"/>
      <c r="O6" s="362"/>
      <c r="P6" s="362"/>
      <c r="Q6" s="362"/>
      <c r="R6" s="362"/>
      <c r="S6" s="362"/>
      <c r="T6" s="362"/>
      <c r="U6" s="362"/>
      <c r="V6" s="362"/>
      <c r="W6" s="362"/>
      <c r="X6" s="362"/>
      <c r="Y6" s="362"/>
      <c r="AF6" s="362" t="s">
        <v>16</v>
      </c>
      <c r="AG6" s="362"/>
      <c r="AH6" s="362"/>
      <c r="AI6" s="362"/>
      <c r="AJ6" s="362"/>
      <c r="AK6" s="362"/>
      <c r="AL6" s="362"/>
      <c r="AM6" s="362"/>
      <c r="AN6" s="362"/>
      <c r="AO6" s="24"/>
      <c r="AP6" s="24"/>
      <c r="AQ6" s="24"/>
      <c r="AR6" s="24"/>
      <c r="AS6" s="24"/>
      <c r="AT6" s="24"/>
      <c r="AY6" s="362" t="s">
        <v>30</v>
      </c>
      <c r="AZ6" s="362"/>
      <c r="BA6" s="362"/>
      <c r="BB6" s="362"/>
      <c r="BC6" s="362"/>
      <c r="BD6" s="362"/>
      <c r="BE6" s="362"/>
      <c r="BF6" s="362"/>
      <c r="BG6" s="362"/>
      <c r="BH6" s="362"/>
      <c r="BI6" s="362"/>
    </row>
    <row r="7" spans="1:62" ht="20.5" thickBot="1" x14ac:dyDescent="0.45">
      <c r="A7" s="363" t="s">
        <v>27</v>
      </c>
      <c r="B7" s="364"/>
      <c r="C7" s="364"/>
      <c r="D7" s="364"/>
      <c r="E7" s="363"/>
      <c r="F7" s="363"/>
      <c r="G7" s="363"/>
      <c r="H7" s="363"/>
      <c r="I7" s="363"/>
      <c r="J7" s="363"/>
      <c r="K7" s="363"/>
      <c r="L7" s="363"/>
      <c r="M7" s="363"/>
      <c r="N7" s="363"/>
      <c r="O7" s="363"/>
      <c r="P7" s="363"/>
      <c r="Q7" s="363"/>
      <c r="R7" s="363"/>
      <c r="S7" s="363"/>
      <c r="T7" s="364"/>
      <c r="U7" s="364"/>
      <c r="V7" s="364"/>
      <c r="W7" s="364"/>
      <c r="X7" s="364"/>
      <c r="Y7" s="364"/>
      <c r="AJ7" s="25" t="s">
        <v>31</v>
      </c>
      <c r="AK7" s="25"/>
      <c r="AL7" s="25"/>
      <c r="AN7" s="25"/>
      <c r="AO7" s="25"/>
      <c r="AP7" s="25"/>
      <c r="AQ7" s="25"/>
      <c r="AS7" s="25"/>
      <c r="AT7" s="25"/>
      <c r="BC7" s="25" t="s">
        <v>31</v>
      </c>
      <c r="BD7" s="25"/>
      <c r="BF7" s="25"/>
      <c r="BG7" s="25"/>
      <c r="BH7" s="25"/>
      <c r="BI7" s="25"/>
      <c r="BJ7" s="25"/>
    </row>
    <row r="8" spans="1:62" ht="41.5" customHeight="1" x14ac:dyDescent="0.35">
      <c r="A8" s="326" t="s">
        <v>24</v>
      </c>
      <c r="B8" s="365" t="s">
        <v>25</v>
      </c>
      <c r="C8" s="366" t="s">
        <v>11</v>
      </c>
      <c r="D8" s="366" t="s">
        <v>15</v>
      </c>
      <c r="E8" s="330" t="s">
        <v>5</v>
      </c>
      <c r="F8" s="330"/>
      <c r="G8" s="330"/>
      <c r="H8" s="330"/>
      <c r="I8" s="330"/>
      <c r="J8" s="330"/>
      <c r="K8" s="330" t="s">
        <v>7</v>
      </c>
      <c r="L8" s="330"/>
      <c r="M8" s="330"/>
      <c r="N8" s="330"/>
      <c r="O8" s="330"/>
      <c r="P8" s="330"/>
      <c r="Q8" s="356" t="s">
        <v>2</v>
      </c>
      <c r="R8" s="350"/>
      <c r="S8" s="358" t="s">
        <v>12</v>
      </c>
      <c r="T8" s="323" t="s">
        <v>8</v>
      </c>
      <c r="U8" s="323"/>
      <c r="V8" s="323" t="s">
        <v>9</v>
      </c>
      <c r="W8" s="323"/>
      <c r="X8" s="323" t="s">
        <v>20</v>
      </c>
      <c r="Y8" s="323"/>
      <c r="AB8" s="326" t="s">
        <v>24</v>
      </c>
      <c r="AC8" s="342" t="s">
        <v>28</v>
      </c>
      <c r="AD8" s="342" t="s">
        <v>14</v>
      </c>
      <c r="AE8" s="345" t="s">
        <v>45</v>
      </c>
      <c r="AF8" s="346"/>
      <c r="AG8" s="349" t="s">
        <v>10</v>
      </c>
      <c r="AH8" s="350"/>
      <c r="AI8" s="353" t="s">
        <v>46</v>
      </c>
      <c r="AJ8" s="336" t="s">
        <v>51</v>
      </c>
      <c r="AK8" s="336" t="s">
        <v>47</v>
      </c>
      <c r="AM8" s="339" t="s">
        <v>41</v>
      </c>
      <c r="AN8" s="341" t="s">
        <v>38</v>
      </c>
      <c r="AO8" s="341" t="s">
        <v>14</v>
      </c>
      <c r="AP8" s="341" t="s">
        <v>39</v>
      </c>
      <c r="AQ8" s="341"/>
      <c r="AR8" s="341" t="s">
        <v>50</v>
      </c>
      <c r="AS8" s="341"/>
      <c r="AT8" s="324" t="s">
        <v>40</v>
      </c>
      <c r="AU8" s="55"/>
      <c r="AW8" s="326" t="s">
        <v>28</v>
      </c>
      <c r="AX8" s="329" t="s">
        <v>48</v>
      </c>
      <c r="AY8" s="330"/>
      <c r="AZ8" s="330"/>
      <c r="BA8" s="330"/>
      <c r="BB8" s="330"/>
      <c r="BC8" s="331"/>
      <c r="BD8" s="332" t="s">
        <v>49</v>
      </c>
      <c r="BE8" s="330"/>
      <c r="BF8" s="330"/>
      <c r="BG8" s="330"/>
      <c r="BH8" s="330"/>
      <c r="BI8" s="331"/>
    </row>
    <row r="9" spans="1:62" ht="19.149999999999999" customHeight="1" x14ac:dyDescent="0.35">
      <c r="A9" s="327"/>
      <c r="B9" s="365"/>
      <c r="C9" s="366"/>
      <c r="D9" s="366"/>
      <c r="E9" s="333" t="s">
        <v>6</v>
      </c>
      <c r="F9" s="334"/>
      <c r="G9" s="335" t="s">
        <v>13</v>
      </c>
      <c r="H9" s="334"/>
      <c r="I9" s="323" t="s">
        <v>19</v>
      </c>
      <c r="J9" s="323"/>
      <c r="K9" s="333" t="s">
        <v>6</v>
      </c>
      <c r="L9" s="334"/>
      <c r="M9" s="335" t="s">
        <v>13</v>
      </c>
      <c r="N9" s="334"/>
      <c r="O9" s="323" t="s">
        <v>19</v>
      </c>
      <c r="P9" s="323"/>
      <c r="Q9" s="357"/>
      <c r="R9" s="352"/>
      <c r="S9" s="359"/>
      <c r="T9" s="323"/>
      <c r="U9" s="323"/>
      <c r="V9" s="323"/>
      <c r="W9" s="323"/>
      <c r="X9" s="323"/>
      <c r="Y9" s="323"/>
      <c r="AB9" s="327"/>
      <c r="AC9" s="343"/>
      <c r="AD9" s="343"/>
      <c r="AE9" s="347"/>
      <c r="AF9" s="348"/>
      <c r="AG9" s="351"/>
      <c r="AH9" s="352"/>
      <c r="AI9" s="354"/>
      <c r="AJ9" s="337"/>
      <c r="AK9" s="337"/>
      <c r="AM9" s="340"/>
      <c r="AN9" s="323"/>
      <c r="AO9" s="323"/>
      <c r="AP9" s="8" t="s">
        <v>3</v>
      </c>
      <c r="AQ9" s="8" t="s">
        <v>4</v>
      </c>
      <c r="AR9" s="43" t="s">
        <v>3</v>
      </c>
      <c r="AS9" s="43" t="s">
        <v>4</v>
      </c>
      <c r="AT9" s="325"/>
      <c r="AU9" s="55"/>
      <c r="AW9" s="327"/>
      <c r="AX9" s="314" t="s">
        <v>17</v>
      </c>
      <c r="AY9" s="314" t="s">
        <v>11</v>
      </c>
      <c r="AZ9" s="314" t="s">
        <v>32</v>
      </c>
      <c r="BA9" s="314" t="s">
        <v>37</v>
      </c>
      <c r="BB9" s="314" t="s">
        <v>34</v>
      </c>
      <c r="BC9" s="314" t="s">
        <v>12</v>
      </c>
      <c r="BD9" s="314" t="s">
        <v>33</v>
      </c>
      <c r="BE9" s="314" t="s">
        <v>11</v>
      </c>
      <c r="BF9" s="314" t="s">
        <v>35</v>
      </c>
      <c r="BG9" s="314" t="s">
        <v>37</v>
      </c>
      <c r="BH9" s="314" t="s">
        <v>34</v>
      </c>
      <c r="BI9" s="314" t="s">
        <v>12</v>
      </c>
    </row>
    <row r="10" spans="1:62" ht="53.5" customHeight="1" thickBot="1" x14ac:dyDescent="0.4">
      <c r="A10" s="328"/>
      <c r="B10" s="365"/>
      <c r="C10" s="366"/>
      <c r="D10" s="366"/>
      <c r="E10" s="7" t="s">
        <v>3</v>
      </c>
      <c r="F10" s="8" t="s">
        <v>4</v>
      </c>
      <c r="G10" s="7" t="s">
        <v>3</v>
      </c>
      <c r="H10" s="8" t="s">
        <v>4</v>
      </c>
      <c r="I10" s="8" t="s">
        <v>3</v>
      </c>
      <c r="J10" s="8" t="s">
        <v>4</v>
      </c>
      <c r="K10" s="7" t="s">
        <v>3</v>
      </c>
      <c r="L10" s="8" t="s">
        <v>4</v>
      </c>
      <c r="M10" s="7" t="s">
        <v>3</v>
      </c>
      <c r="N10" s="8" t="s">
        <v>4</v>
      </c>
      <c r="O10" s="8" t="s">
        <v>3</v>
      </c>
      <c r="P10" s="8" t="s">
        <v>4</v>
      </c>
      <c r="Q10" s="9" t="s">
        <v>3</v>
      </c>
      <c r="R10" s="9" t="s">
        <v>4</v>
      </c>
      <c r="S10" s="360"/>
      <c r="T10" s="8" t="s">
        <v>3</v>
      </c>
      <c r="U10" s="8" t="s">
        <v>4</v>
      </c>
      <c r="V10" s="8" t="s">
        <v>3</v>
      </c>
      <c r="W10" s="8" t="s">
        <v>4</v>
      </c>
      <c r="X10" s="8" t="s">
        <v>3</v>
      </c>
      <c r="Y10" s="8" t="s">
        <v>4</v>
      </c>
      <c r="AB10" s="361"/>
      <c r="AC10" s="344"/>
      <c r="AD10" s="344"/>
      <c r="AE10" s="49" t="s">
        <v>3</v>
      </c>
      <c r="AF10" s="50" t="s">
        <v>4</v>
      </c>
      <c r="AG10" s="51" t="s">
        <v>3</v>
      </c>
      <c r="AH10" s="52" t="s">
        <v>4</v>
      </c>
      <c r="AI10" s="355"/>
      <c r="AJ10" s="338"/>
      <c r="AK10" s="338"/>
      <c r="AM10" s="340"/>
      <c r="AN10" s="42" t="str">
        <f>'15'!AN10</f>
        <v>0124W120</v>
      </c>
      <c r="AO10" s="42">
        <f>'15'!AT10</f>
        <v>48</v>
      </c>
      <c r="AP10" s="42"/>
      <c r="AQ10" s="17">
        <f>AP10+'15'!AQ10</f>
        <v>73</v>
      </c>
      <c r="AR10" s="17"/>
      <c r="AS10" s="17">
        <f>AR10+'15'!AS10</f>
        <v>25</v>
      </c>
      <c r="AT10" s="44">
        <f>AO10+AP10-AR10</f>
        <v>48</v>
      </c>
      <c r="AU10" s="56"/>
      <c r="AW10" s="328"/>
      <c r="AX10" s="315"/>
      <c r="AY10" s="315"/>
      <c r="AZ10" s="315"/>
      <c r="BA10" s="315"/>
      <c r="BB10" s="315"/>
      <c r="BC10" s="315"/>
      <c r="BD10" s="315"/>
      <c r="BE10" s="315"/>
      <c r="BF10" s="315"/>
      <c r="BG10" s="315"/>
      <c r="BH10" s="315"/>
      <c r="BI10" s="315"/>
    </row>
    <row r="11" spans="1:62" ht="41.5" customHeight="1" x14ac:dyDescent="0.35">
      <c r="A11" s="5">
        <v>1</v>
      </c>
      <c r="B11" s="26" t="str">
        <f>'15'!B11</f>
        <v>مكتب الصحة</v>
      </c>
      <c r="C11" s="26">
        <f>'15'!C11</f>
        <v>12251</v>
      </c>
      <c r="D11" s="26"/>
      <c r="E11" s="12"/>
      <c r="F11" s="2">
        <f>E11+'15'!F11</f>
        <v>39</v>
      </c>
      <c r="G11" s="2"/>
      <c r="H11" s="2">
        <f>G11+'15'!H11</f>
        <v>1961</v>
      </c>
      <c r="I11" s="2"/>
      <c r="J11" s="2">
        <f>I11+'15'!J11</f>
        <v>5340</v>
      </c>
      <c r="K11" s="2"/>
      <c r="L11" s="2">
        <f>K11+'15'!L11</f>
        <v>0</v>
      </c>
      <c r="M11" s="2"/>
      <c r="N11" s="2">
        <f>M11+'15'!N11</f>
        <v>0</v>
      </c>
      <c r="O11" s="2"/>
      <c r="P11" s="2">
        <f>O11+'15'!P11</f>
        <v>0</v>
      </c>
      <c r="Q11" s="4">
        <f>O11+M11+K11+I11+G11+E11</f>
        <v>0</v>
      </c>
      <c r="R11" s="4">
        <f>Q11+'15'!R11</f>
        <v>7340</v>
      </c>
      <c r="S11" s="27">
        <f>R11/C11</f>
        <v>0.5991347645090197</v>
      </c>
      <c r="T11" s="12"/>
      <c r="U11" s="12">
        <f>T11+'15'!U11</f>
        <v>1397</v>
      </c>
      <c r="V11" s="12"/>
      <c r="W11" s="12">
        <f>V11+'15'!W11</f>
        <v>4</v>
      </c>
      <c r="X11" s="12"/>
      <c r="Y11" s="12">
        <f>X11+'15'!Y11</f>
        <v>1</v>
      </c>
      <c r="AB11" s="48">
        <v>1</v>
      </c>
      <c r="AC11" s="26" t="str">
        <f>'15'!AC11</f>
        <v>مكتب الصحة</v>
      </c>
      <c r="AD11" s="28">
        <f>'15'!AI11</f>
        <v>333</v>
      </c>
      <c r="AE11" s="3"/>
      <c r="AF11" s="28">
        <f>AE11+'15'!AF11</f>
        <v>1082</v>
      </c>
      <c r="AG11" s="4"/>
      <c r="AH11" s="28">
        <f>AG11+'15'!AH11</f>
        <v>749</v>
      </c>
      <c r="AI11" s="4">
        <f>AD11+AE11-AG11</f>
        <v>333</v>
      </c>
      <c r="AJ11" s="11" t="e">
        <f t="shared" ref="AJ11:AJ51" si="0">Q11/AG11</f>
        <v>#DIV/0!</v>
      </c>
      <c r="AK11" s="53">
        <f t="shared" ref="AK11:AK51" si="1">R11/AH11</f>
        <v>9.799732977303071</v>
      </c>
      <c r="AM11" s="340"/>
      <c r="AN11" s="42" t="str">
        <f>'15'!AN11</f>
        <v>420604325A</v>
      </c>
      <c r="AO11" s="42">
        <f>'15'!AT11</f>
        <v>3076</v>
      </c>
      <c r="AP11" s="16"/>
      <c r="AQ11" s="17">
        <f>AP11+'15'!AQ11</f>
        <v>8550</v>
      </c>
      <c r="AR11" s="16"/>
      <c r="AS11" s="17">
        <f>AR11+'15'!AS11</f>
        <v>5474</v>
      </c>
      <c r="AT11" s="44">
        <f>AO11+AP11-AR11</f>
        <v>3076</v>
      </c>
      <c r="AU11" s="56"/>
      <c r="AW11" s="26" t="str">
        <f>'15'!AW11</f>
        <v>مكتب الصحة</v>
      </c>
      <c r="AX11" s="12">
        <f>'15'!AX11</f>
        <v>11</v>
      </c>
      <c r="AY11" s="12">
        <f>'15'!AY11</f>
        <v>8411</v>
      </c>
      <c r="AZ11" s="12"/>
      <c r="BA11" s="12"/>
      <c r="BB11" s="12">
        <f>BA11+'15'!BB11</f>
        <v>5998</v>
      </c>
      <c r="BC11" s="30">
        <f t="shared" ref="BC11:BC51" si="2">BB11/AY11</f>
        <v>0.71311377957436695</v>
      </c>
      <c r="BD11" s="12">
        <f>'15'!BD11</f>
        <v>27</v>
      </c>
      <c r="BE11" s="12">
        <f>'15'!BE11</f>
        <v>1746</v>
      </c>
      <c r="BF11" s="12"/>
      <c r="BG11" s="12"/>
      <c r="BH11" s="12">
        <f>BG11+'15'!BH11</f>
        <v>477</v>
      </c>
      <c r="BI11" s="30">
        <f t="shared" ref="BI11:BI51" si="3">BH11/BE11</f>
        <v>0.27319587628865977</v>
      </c>
    </row>
    <row r="12" spans="1:62" ht="41.5" customHeight="1" x14ac:dyDescent="0.35">
      <c r="A12" s="5">
        <v>2</v>
      </c>
      <c r="B12" s="26" t="str">
        <f>'15'!B12</f>
        <v>شبرابخـــــــــــوم</v>
      </c>
      <c r="C12" s="26">
        <f>'15'!C12</f>
        <v>4445</v>
      </c>
      <c r="D12" s="26"/>
      <c r="E12" s="12"/>
      <c r="F12" s="2">
        <f>E12+'15'!F12</f>
        <v>14</v>
      </c>
      <c r="G12" s="2"/>
      <c r="H12" s="2">
        <f>G12+'15'!H12</f>
        <v>392</v>
      </c>
      <c r="I12" s="2"/>
      <c r="J12" s="2">
        <f>I12+'15'!J12</f>
        <v>1857</v>
      </c>
      <c r="K12" s="2"/>
      <c r="L12" s="2">
        <f>K12+'15'!L12</f>
        <v>0</v>
      </c>
      <c r="M12" s="2"/>
      <c r="N12" s="2">
        <f>M12+'15'!N12</f>
        <v>0</v>
      </c>
      <c r="O12" s="2"/>
      <c r="P12" s="2">
        <f>O12+'15'!P12</f>
        <v>0</v>
      </c>
      <c r="Q12" s="4">
        <f t="shared" ref="Q12:Q50" si="4">O12+M12+K12+I12+G12+E12</f>
        <v>0</v>
      </c>
      <c r="R12" s="4">
        <f>Q12+'15'!R12</f>
        <v>2263</v>
      </c>
      <c r="S12" s="27">
        <f t="shared" ref="S12:S50" si="5">R12/C12</f>
        <v>0.50911136107986499</v>
      </c>
      <c r="T12" s="12"/>
      <c r="U12" s="12">
        <f>T12+'15'!U12</f>
        <v>373</v>
      </c>
      <c r="V12" s="12"/>
      <c r="W12" s="12">
        <f>V12+'15'!W12</f>
        <v>15</v>
      </c>
      <c r="X12" s="12"/>
      <c r="Y12" s="12">
        <f>X12+'15'!Y12</f>
        <v>0</v>
      </c>
      <c r="AB12" s="5">
        <v>2</v>
      </c>
      <c r="AC12" s="26" t="str">
        <f>'15'!AC12</f>
        <v>شبرابخـــــــــــوم</v>
      </c>
      <c r="AD12" s="28">
        <f>'15'!AI12</f>
        <v>158</v>
      </c>
      <c r="AE12" s="3"/>
      <c r="AF12" s="28">
        <f>AE12+'15'!AF12</f>
        <v>390</v>
      </c>
      <c r="AG12" s="4"/>
      <c r="AH12" s="28">
        <f>AG12+'15'!AH12</f>
        <v>232</v>
      </c>
      <c r="AI12" s="4">
        <f>AD12+AE12-AG12</f>
        <v>158</v>
      </c>
      <c r="AJ12" s="11" t="e">
        <f t="shared" si="0"/>
        <v>#DIV/0!</v>
      </c>
      <c r="AK12" s="53">
        <f t="shared" si="1"/>
        <v>9.7543103448275854</v>
      </c>
      <c r="AM12" s="340"/>
      <c r="AN12" s="42" t="str">
        <f>'15'!AN12</f>
        <v>420604225A</v>
      </c>
      <c r="AO12" s="42">
        <f>'15'!AT12</f>
        <v>100</v>
      </c>
      <c r="AP12" s="16"/>
      <c r="AQ12" s="17">
        <f>AP12+'15'!AQ12</f>
        <v>100</v>
      </c>
      <c r="AR12" s="16"/>
      <c r="AS12" s="17">
        <f>AR12+'15'!AS12</f>
        <v>0</v>
      </c>
      <c r="AT12" s="44">
        <f>AO12+AP12-AR12</f>
        <v>100</v>
      </c>
      <c r="AU12" s="56"/>
      <c r="AW12" s="26" t="str">
        <f>'15'!AW12</f>
        <v>شبرابخـــــــــــوم</v>
      </c>
      <c r="AX12" s="12">
        <f>'15'!AX12</f>
        <v>6</v>
      </c>
      <c r="AY12" s="12">
        <f>'15'!AY12</f>
        <v>2215</v>
      </c>
      <c r="AZ12" s="12"/>
      <c r="BA12" s="12"/>
      <c r="BB12" s="12">
        <f>BA12+'15'!BB12</f>
        <v>2306</v>
      </c>
      <c r="BC12" s="30">
        <f t="shared" si="2"/>
        <v>1.0410835214446952</v>
      </c>
      <c r="BD12" s="12">
        <f>'15'!BD12</f>
        <v>16</v>
      </c>
      <c r="BE12" s="12">
        <f>'15'!BE12</f>
        <v>729</v>
      </c>
      <c r="BF12" s="12"/>
      <c r="BG12" s="12"/>
      <c r="BH12" s="12">
        <f>BG12+'15'!BH12</f>
        <v>224</v>
      </c>
      <c r="BI12" s="30">
        <f t="shared" si="3"/>
        <v>0.30727023319615915</v>
      </c>
    </row>
    <row r="13" spans="1:62" ht="41.5" customHeight="1" x14ac:dyDescent="0.35">
      <c r="A13" s="5">
        <v>3</v>
      </c>
      <c r="B13" s="26" t="str">
        <f>'15'!B13</f>
        <v>ميت بره</v>
      </c>
      <c r="C13" s="26">
        <f>'15'!C13</f>
        <v>11614</v>
      </c>
      <c r="D13" s="26"/>
      <c r="E13" s="12"/>
      <c r="F13" s="2">
        <f>E13+'15'!F13</f>
        <v>45</v>
      </c>
      <c r="G13" s="2"/>
      <c r="H13" s="2">
        <f>G13+'15'!H13</f>
        <v>465</v>
      </c>
      <c r="I13" s="2"/>
      <c r="J13" s="2">
        <f>I13+'15'!J13</f>
        <v>3703</v>
      </c>
      <c r="K13" s="2"/>
      <c r="L13" s="2">
        <f>K13+'15'!L13</f>
        <v>0</v>
      </c>
      <c r="M13" s="2"/>
      <c r="N13" s="2">
        <f>M13+'15'!N13</f>
        <v>0</v>
      </c>
      <c r="O13" s="2"/>
      <c r="P13" s="2">
        <f>O13+'15'!P13</f>
        <v>0</v>
      </c>
      <c r="Q13" s="4">
        <f t="shared" si="4"/>
        <v>0</v>
      </c>
      <c r="R13" s="4">
        <f>Q13+'15'!R13</f>
        <v>4213</v>
      </c>
      <c r="S13" s="27">
        <f t="shared" si="5"/>
        <v>0.36275185121405201</v>
      </c>
      <c r="T13" s="12"/>
      <c r="U13" s="12">
        <f>T13+'15'!U13</f>
        <v>641</v>
      </c>
      <c r="V13" s="12"/>
      <c r="W13" s="12">
        <f>V13+'15'!W13</f>
        <v>0</v>
      </c>
      <c r="X13" s="12"/>
      <c r="Y13" s="12">
        <f>X13+'15'!Y13</f>
        <v>0</v>
      </c>
      <c r="AB13" s="5">
        <v>3</v>
      </c>
      <c r="AC13" s="26" t="str">
        <f>'15'!AC13</f>
        <v>ميت بره</v>
      </c>
      <c r="AD13" s="28">
        <f>'15'!AI13</f>
        <v>584</v>
      </c>
      <c r="AE13" s="3"/>
      <c r="AF13" s="28">
        <f>AE13+'15'!AF13</f>
        <v>1020</v>
      </c>
      <c r="AG13" s="4"/>
      <c r="AH13" s="28">
        <f>AG13+'15'!AH13</f>
        <v>436</v>
      </c>
      <c r="AI13" s="4">
        <f t="shared" ref="AI13:AI50" si="6">AD13+AE13-AG13</f>
        <v>584</v>
      </c>
      <c r="AJ13" s="11" t="e">
        <f t="shared" si="0"/>
        <v>#DIV/0!</v>
      </c>
      <c r="AK13" s="53">
        <f t="shared" si="1"/>
        <v>9.6628440366972477</v>
      </c>
      <c r="AM13" s="340"/>
      <c r="AN13" s="46" t="s">
        <v>43</v>
      </c>
      <c r="AO13" s="45">
        <f t="shared" ref="AO13:AT13" si="7">SUM(AO10:AO12)</f>
        <v>3224</v>
      </c>
      <c r="AP13" s="45">
        <f t="shared" si="7"/>
        <v>0</v>
      </c>
      <c r="AQ13" s="45">
        <f t="shared" si="7"/>
        <v>8723</v>
      </c>
      <c r="AR13" s="45">
        <f t="shared" si="7"/>
        <v>0</v>
      </c>
      <c r="AS13" s="45">
        <f t="shared" si="7"/>
        <v>5499</v>
      </c>
      <c r="AT13" s="47">
        <f t="shared" si="7"/>
        <v>3224</v>
      </c>
      <c r="AU13" s="56"/>
      <c r="AW13" s="26" t="str">
        <f>'15'!AW13</f>
        <v>ميت بره</v>
      </c>
      <c r="AX13" s="12">
        <f>'15'!AX13</f>
        <v>8</v>
      </c>
      <c r="AY13" s="12">
        <f>'15'!AY13</f>
        <v>4849</v>
      </c>
      <c r="AZ13" s="12"/>
      <c r="BA13" s="12"/>
      <c r="BB13" s="12">
        <f>BA13+'15'!BB13</f>
        <v>4093</v>
      </c>
      <c r="BC13" s="30">
        <f t="shared" si="2"/>
        <v>0.84409156527118989</v>
      </c>
      <c r="BD13" s="12">
        <f>'15'!BD13</f>
        <v>21</v>
      </c>
      <c r="BE13" s="12">
        <f>'15'!BE13</f>
        <v>1129</v>
      </c>
      <c r="BF13" s="12"/>
      <c r="BG13" s="12"/>
      <c r="BH13" s="12">
        <f>BG13+'15'!BH13</f>
        <v>128</v>
      </c>
      <c r="BI13" s="30">
        <f t="shared" si="3"/>
        <v>0.11337466784765279</v>
      </c>
    </row>
    <row r="14" spans="1:62" ht="41.5" customHeight="1" thickBot="1" x14ac:dyDescent="0.4">
      <c r="A14" s="5">
        <v>4</v>
      </c>
      <c r="B14" s="26" t="str">
        <f>'15'!B14</f>
        <v>أبنــــــــــــــــهس</v>
      </c>
      <c r="C14" s="26">
        <f>'15'!C14</f>
        <v>5029</v>
      </c>
      <c r="D14" s="26"/>
      <c r="E14" s="12"/>
      <c r="F14" s="2">
        <f>E14+'15'!F14</f>
        <v>14</v>
      </c>
      <c r="G14" s="2"/>
      <c r="H14" s="2">
        <f>G14+'15'!H14</f>
        <v>349</v>
      </c>
      <c r="I14" s="2"/>
      <c r="J14" s="2">
        <f>I14+'15'!J14</f>
        <v>2016</v>
      </c>
      <c r="K14" s="2"/>
      <c r="L14" s="2">
        <f>K14+'15'!L14</f>
        <v>0</v>
      </c>
      <c r="M14" s="2"/>
      <c r="N14" s="2">
        <f>M14+'15'!N14</f>
        <v>0</v>
      </c>
      <c r="O14" s="2"/>
      <c r="P14" s="2">
        <f>O14+'15'!P14</f>
        <v>0</v>
      </c>
      <c r="Q14" s="4">
        <f t="shared" si="4"/>
        <v>0</v>
      </c>
      <c r="R14" s="4">
        <f>Q14+'15'!R14</f>
        <v>2379</v>
      </c>
      <c r="S14" s="27">
        <f t="shared" si="5"/>
        <v>0.47305627361304436</v>
      </c>
      <c r="T14" s="12"/>
      <c r="U14" s="12">
        <f>T14+'15'!U14</f>
        <v>341</v>
      </c>
      <c r="V14" s="12"/>
      <c r="W14" s="12">
        <f>V14+'15'!W14</f>
        <v>29</v>
      </c>
      <c r="X14" s="12"/>
      <c r="Y14" s="12">
        <f>X14+'15'!Y14</f>
        <v>0</v>
      </c>
      <c r="AB14" s="5">
        <v>4</v>
      </c>
      <c r="AC14" s="26" t="str">
        <f>'15'!AC14</f>
        <v>أبنــــــــــــــــهس</v>
      </c>
      <c r="AD14" s="28">
        <f>'15'!AI14</f>
        <v>196</v>
      </c>
      <c r="AE14" s="3"/>
      <c r="AF14" s="28">
        <f>AE14+'15'!AF14</f>
        <v>440</v>
      </c>
      <c r="AG14" s="4"/>
      <c r="AH14" s="28">
        <f>AG14+'15'!AH14</f>
        <v>244</v>
      </c>
      <c r="AI14" s="4">
        <f t="shared" si="6"/>
        <v>196</v>
      </c>
      <c r="AJ14" s="11" t="e">
        <f t="shared" si="0"/>
        <v>#DIV/0!</v>
      </c>
      <c r="AK14" s="53">
        <f t="shared" si="1"/>
        <v>9.75</v>
      </c>
      <c r="AM14" s="316" t="s">
        <v>42</v>
      </c>
      <c r="AN14" s="317"/>
      <c r="AO14" s="318"/>
      <c r="AP14" s="319"/>
      <c r="AQ14" s="319"/>
      <c r="AR14" s="319"/>
      <c r="AS14" s="320"/>
      <c r="AT14" s="39">
        <f>AT13+AI51</f>
        <v>6357</v>
      </c>
      <c r="AU14" s="57"/>
      <c r="AW14" s="26" t="str">
        <f>'15'!AW14</f>
        <v>أبنــــــــــــــــهس</v>
      </c>
      <c r="AX14" s="12">
        <f>'15'!AX14</f>
        <v>7</v>
      </c>
      <c r="AY14" s="12">
        <f>'15'!AY14</f>
        <v>2531</v>
      </c>
      <c r="AZ14" s="12"/>
      <c r="BA14" s="12"/>
      <c r="BB14" s="12">
        <f>BA14+'15'!BB14</f>
        <v>2092</v>
      </c>
      <c r="BC14" s="30">
        <f t="shared" si="2"/>
        <v>0.82655077044646386</v>
      </c>
      <c r="BD14" s="12">
        <f>'15'!BD14</f>
        <v>23</v>
      </c>
      <c r="BE14" s="12">
        <f>'15'!BE14</f>
        <v>921</v>
      </c>
      <c r="BF14" s="12"/>
      <c r="BG14" s="12"/>
      <c r="BH14" s="12">
        <f>BG14+'15'!BH14</f>
        <v>287</v>
      </c>
      <c r="BI14" s="30">
        <f t="shared" si="3"/>
        <v>0.31161780673181327</v>
      </c>
    </row>
    <row r="15" spans="1:62" ht="41.5" customHeight="1" x14ac:dyDescent="0.35">
      <c r="A15" s="5">
        <v>5</v>
      </c>
      <c r="B15" s="26" t="str">
        <f>'15'!B15</f>
        <v>ميت ســـــــــراج</v>
      </c>
      <c r="C15" s="26">
        <f>'15'!C15</f>
        <v>2369</v>
      </c>
      <c r="D15" s="26"/>
      <c r="E15" s="12"/>
      <c r="F15" s="2">
        <f>E15+'15'!F15</f>
        <v>4</v>
      </c>
      <c r="G15" s="2"/>
      <c r="H15" s="2">
        <f>G15+'15'!H15</f>
        <v>472</v>
      </c>
      <c r="I15" s="2"/>
      <c r="J15" s="2">
        <f>I15+'15'!J15</f>
        <v>839</v>
      </c>
      <c r="K15" s="2"/>
      <c r="L15" s="2">
        <f>K15+'15'!L15</f>
        <v>0</v>
      </c>
      <c r="M15" s="2"/>
      <c r="N15" s="2">
        <f>M15+'15'!N15</f>
        <v>0</v>
      </c>
      <c r="O15" s="2"/>
      <c r="P15" s="2">
        <f>O15+'15'!P15</f>
        <v>0</v>
      </c>
      <c r="Q15" s="4">
        <f t="shared" si="4"/>
        <v>0</v>
      </c>
      <c r="R15" s="4">
        <f>Q15+'15'!R15</f>
        <v>1315</v>
      </c>
      <c r="S15" s="27">
        <f t="shared" si="5"/>
        <v>0.55508653440270161</v>
      </c>
      <c r="T15" s="12"/>
      <c r="U15" s="12">
        <f>T15+'15'!U15</f>
        <v>105</v>
      </c>
      <c r="V15" s="12"/>
      <c r="W15" s="12">
        <f>V15+'15'!W15</f>
        <v>37</v>
      </c>
      <c r="X15" s="12"/>
      <c r="Y15" s="12">
        <f>X15+'15'!Y15</f>
        <v>0</v>
      </c>
      <c r="AB15" s="5">
        <v>5</v>
      </c>
      <c r="AC15" s="26" t="str">
        <f>'15'!AC15</f>
        <v>ميت ســـــــــراج</v>
      </c>
      <c r="AD15" s="28">
        <f>'15'!AI15</f>
        <v>74</v>
      </c>
      <c r="AE15" s="3"/>
      <c r="AF15" s="28">
        <f>AE15+'15'!AF15</f>
        <v>209</v>
      </c>
      <c r="AG15" s="4"/>
      <c r="AH15" s="28">
        <f>AG15+'15'!AH15</f>
        <v>135</v>
      </c>
      <c r="AI15" s="4">
        <f t="shared" si="6"/>
        <v>74</v>
      </c>
      <c r="AJ15" s="11" t="e">
        <f t="shared" si="0"/>
        <v>#DIV/0!</v>
      </c>
      <c r="AK15" s="53">
        <f t="shared" si="1"/>
        <v>9.7407407407407405</v>
      </c>
      <c r="AW15" s="26" t="str">
        <f>'15'!AW15</f>
        <v>ميت ســـــــــراج</v>
      </c>
      <c r="AX15" s="12">
        <f>'15'!AX15</f>
        <v>2</v>
      </c>
      <c r="AY15" s="12">
        <f>'15'!AY15</f>
        <v>1041</v>
      </c>
      <c r="AZ15" s="12"/>
      <c r="BA15" s="12"/>
      <c r="BB15" s="12">
        <f>BA15+'15'!BB15</f>
        <v>874</v>
      </c>
      <c r="BC15" s="30">
        <f t="shared" si="2"/>
        <v>0.83957732949087416</v>
      </c>
      <c r="BD15" s="12">
        <f>'15'!BD15</f>
        <v>5</v>
      </c>
      <c r="BE15" s="12">
        <f>'15'!BE15</f>
        <v>310</v>
      </c>
      <c r="BF15" s="12"/>
      <c r="BG15" s="12"/>
      <c r="BH15" s="12">
        <f>BG15+'15'!BH15</f>
        <v>385</v>
      </c>
      <c r="BI15" s="30">
        <f t="shared" si="3"/>
        <v>1.2419354838709677</v>
      </c>
    </row>
    <row r="16" spans="1:62" ht="41.5" customHeight="1" x14ac:dyDescent="0.35">
      <c r="A16" s="5">
        <v>6</v>
      </c>
      <c r="B16" s="26" t="str">
        <f>'15'!B16</f>
        <v>أم خــــــــــــــنان</v>
      </c>
      <c r="C16" s="26">
        <f>'15'!C16</f>
        <v>4900</v>
      </c>
      <c r="D16" s="26"/>
      <c r="E16" s="12"/>
      <c r="F16" s="2">
        <f>E16+'15'!F16</f>
        <v>11</v>
      </c>
      <c r="G16" s="2"/>
      <c r="H16" s="2">
        <f>G16+'15'!H16</f>
        <v>280</v>
      </c>
      <c r="I16" s="2"/>
      <c r="J16" s="2">
        <f>I16+'15'!J16</f>
        <v>1942</v>
      </c>
      <c r="K16" s="2"/>
      <c r="L16" s="2">
        <f>K16+'15'!L16</f>
        <v>0</v>
      </c>
      <c r="M16" s="2"/>
      <c r="N16" s="2">
        <f>M16+'15'!N16</f>
        <v>0</v>
      </c>
      <c r="O16" s="2"/>
      <c r="P16" s="2">
        <f>O16+'15'!P16</f>
        <v>0</v>
      </c>
      <c r="Q16" s="4">
        <f t="shared" si="4"/>
        <v>0</v>
      </c>
      <c r="R16" s="4">
        <f>Q16+'15'!R16</f>
        <v>2233</v>
      </c>
      <c r="S16" s="27">
        <f t="shared" si="5"/>
        <v>0.45571428571428574</v>
      </c>
      <c r="T16" s="12"/>
      <c r="U16" s="12">
        <f>T16+'15'!U16</f>
        <v>375</v>
      </c>
      <c r="V16" s="12"/>
      <c r="W16" s="12">
        <f>V16+'15'!W16</f>
        <v>0</v>
      </c>
      <c r="X16" s="12"/>
      <c r="Y16" s="12">
        <f>X16+'15'!Y16</f>
        <v>0</v>
      </c>
      <c r="AB16" s="5">
        <v>6</v>
      </c>
      <c r="AC16" s="26" t="str">
        <f>'15'!AC16</f>
        <v>أم خــــــــــــــنان</v>
      </c>
      <c r="AD16" s="28">
        <f>'15'!AI16</f>
        <v>204</v>
      </c>
      <c r="AE16" s="3"/>
      <c r="AF16" s="28">
        <f>AE16+'15'!AF16</f>
        <v>430</v>
      </c>
      <c r="AG16" s="4"/>
      <c r="AH16" s="28">
        <f>AG16+'15'!AH16</f>
        <v>226</v>
      </c>
      <c r="AI16" s="4">
        <f t="shared" si="6"/>
        <v>204</v>
      </c>
      <c r="AJ16" s="11" t="e">
        <f t="shared" si="0"/>
        <v>#DIV/0!</v>
      </c>
      <c r="AK16" s="53">
        <f t="shared" si="1"/>
        <v>9.8805309734513269</v>
      </c>
      <c r="AW16" s="26" t="str">
        <f>'15'!AW16</f>
        <v>أم خــــــــــــــنان</v>
      </c>
      <c r="AX16" s="12">
        <f>'15'!AX16</f>
        <v>8</v>
      </c>
      <c r="AY16" s="12">
        <f>'15'!AY16</f>
        <v>2981</v>
      </c>
      <c r="AZ16" s="12"/>
      <c r="BA16" s="12"/>
      <c r="BB16" s="12">
        <f>BA16+'15'!BB16</f>
        <v>2132</v>
      </c>
      <c r="BC16" s="30">
        <f t="shared" si="2"/>
        <v>0.71519624287151962</v>
      </c>
      <c r="BD16" s="12">
        <f>'15'!BD16</f>
        <v>12</v>
      </c>
      <c r="BE16" s="12">
        <f>'15'!BE16</f>
        <v>1313</v>
      </c>
      <c r="BF16" s="12"/>
      <c r="BG16" s="12"/>
      <c r="BH16" s="12">
        <f>BG16+'15'!BH16</f>
        <v>0</v>
      </c>
      <c r="BI16" s="30">
        <f t="shared" si="3"/>
        <v>0</v>
      </c>
    </row>
    <row r="17" spans="1:61" ht="41.5" customHeight="1" x14ac:dyDescent="0.35">
      <c r="A17" s="5">
        <v>7</v>
      </c>
      <c r="B17" s="26" t="str">
        <f>'15'!B17</f>
        <v>أجهور الرمل</v>
      </c>
      <c r="C17" s="26">
        <f>'15'!C17</f>
        <v>3590</v>
      </c>
      <c r="D17" s="26"/>
      <c r="E17" s="12"/>
      <c r="F17" s="2">
        <f>E17+'15'!F17</f>
        <v>17</v>
      </c>
      <c r="G17" s="2"/>
      <c r="H17" s="2">
        <f>G17+'15'!H17</f>
        <v>591</v>
      </c>
      <c r="I17" s="2"/>
      <c r="J17" s="2">
        <f>I17+'15'!J17</f>
        <v>1489</v>
      </c>
      <c r="K17" s="2"/>
      <c r="L17" s="2">
        <f>K17+'15'!L17</f>
        <v>0</v>
      </c>
      <c r="M17" s="2"/>
      <c r="N17" s="2">
        <f>M17+'15'!N17</f>
        <v>0</v>
      </c>
      <c r="O17" s="2"/>
      <c r="P17" s="2">
        <f>O17+'15'!P17</f>
        <v>0</v>
      </c>
      <c r="Q17" s="4">
        <f t="shared" si="4"/>
        <v>0</v>
      </c>
      <c r="R17" s="4">
        <f>Q17+'15'!R17</f>
        <v>2097</v>
      </c>
      <c r="S17" s="27">
        <f t="shared" si="5"/>
        <v>0.58412256267409468</v>
      </c>
      <c r="T17" s="12"/>
      <c r="U17" s="12">
        <f>T17+'15'!U17</f>
        <v>360</v>
      </c>
      <c r="V17" s="12"/>
      <c r="W17" s="12">
        <f>V17+'15'!W17</f>
        <v>121</v>
      </c>
      <c r="X17" s="12"/>
      <c r="Y17" s="12">
        <f>X17+'15'!Y17</f>
        <v>0</v>
      </c>
      <c r="AB17" s="5">
        <v>7</v>
      </c>
      <c r="AC17" s="26" t="str">
        <f>'15'!AC17</f>
        <v>أجهور الرمل</v>
      </c>
      <c r="AD17" s="28">
        <f>'15'!AI17</f>
        <v>100</v>
      </c>
      <c r="AE17" s="3"/>
      <c r="AF17" s="28">
        <f>AE17+'15'!AF17</f>
        <v>316</v>
      </c>
      <c r="AG17" s="4"/>
      <c r="AH17" s="28">
        <f>AG17+'15'!AH17</f>
        <v>216</v>
      </c>
      <c r="AI17" s="4">
        <f t="shared" si="6"/>
        <v>100</v>
      </c>
      <c r="AJ17" s="11" t="e">
        <f t="shared" si="0"/>
        <v>#DIV/0!</v>
      </c>
      <c r="AK17" s="53">
        <f t="shared" si="1"/>
        <v>9.7083333333333339</v>
      </c>
      <c r="AW17" s="26" t="str">
        <f>'15'!AW17</f>
        <v>أجهور الرمل</v>
      </c>
      <c r="AX17" s="12">
        <f>'15'!AX17</f>
        <v>4</v>
      </c>
      <c r="AY17" s="12">
        <f>'15'!AY17</f>
        <v>1796</v>
      </c>
      <c r="AZ17" s="12"/>
      <c r="BA17" s="12"/>
      <c r="BB17" s="12">
        <f>BA17+'15'!BB17</f>
        <v>1422</v>
      </c>
      <c r="BC17" s="30">
        <f t="shared" si="2"/>
        <v>0.79175946547884191</v>
      </c>
      <c r="BD17" s="12">
        <f>'15'!BD17</f>
        <v>3</v>
      </c>
      <c r="BE17" s="12">
        <f>'15'!BE17</f>
        <v>100</v>
      </c>
      <c r="BF17" s="12"/>
      <c r="BG17" s="12"/>
      <c r="BH17" s="12">
        <f>BG17+'15'!BH17</f>
        <v>441</v>
      </c>
      <c r="BI17" s="30">
        <f t="shared" si="3"/>
        <v>4.41</v>
      </c>
    </row>
    <row r="18" spans="1:61" ht="41.5" customHeight="1" x14ac:dyDescent="0.35">
      <c r="A18" s="5">
        <v>8</v>
      </c>
      <c r="B18" s="26" t="str">
        <f>'15'!B18</f>
        <v>منشأة دمــــــــــلو</v>
      </c>
      <c r="C18" s="26">
        <f>'15'!C18</f>
        <v>1320</v>
      </c>
      <c r="D18" s="26"/>
      <c r="E18" s="12"/>
      <c r="F18" s="2">
        <f>E18+'15'!F18</f>
        <v>18</v>
      </c>
      <c r="G18" s="2"/>
      <c r="H18" s="2">
        <f>G18+'15'!H18</f>
        <v>528</v>
      </c>
      <c r="I18" s="2"/>
      <c r="J18" s="2">
        <f>I18+'15'!J18</f>
        <v>704</v>
      </c>
      <c r="K18" s="2"/>
      <c r="L18" s="2">
        <f>K18+'15'!L18</f>
        <v>0</v>
      </c>
      <c r="M18" s="2"/>
      <c r="N18" s="2">
        <f>M18+'15'!N18</f>
        <v>0</v>
      </c>
      <c r="O18" s="2"/>
      <c r="P18" s="2">
        <f>O18+'15'!P18</f>
        <v>0</v>
      </c>
      <c r="Q18" s="4">
        <f t="shared" si="4"/>
        <v>0</v>
      </c>
      <c r="R18" s="4">
        <f>Q18+'15'!R18</f>
        <v>1250</v>
      </c>
      <c r="S18" s="27">
        <f t="shared" si="5"/>
        <v>0.94696969696969702</v>
      </c>
      <c r="T18" s="12"/>
      <c r="U18" s="12">
        <f>T18+'15'!U18</f>
        <v>175</v>
      </c>
      <c r="V18" s="12"/>
      <c r="W18" s="12">
        <f>V18+'15'!W18</f>
        <v>38</v>
      </c>
      <c r="X18" s="12"/>
      <c r="Y18" s="12">
        <f>X18+'15'!Y18</f>
        <v>0</v>
      </c>
      <c r="AB18" s="5">
        <v>8</v>
      </c>
      <c r="AC18" s="26" t="str">
        <f>'15'!AC18</f>
        <v>منشأة دمــــــــــلو</v>
      </c>
      <c r="AD18" s="28">
        <f>'15'!AI18</f>
        <v>4</v>
      </c>
      <c r="AE18" s="3"/>
      <c r="AF18" s="28">
        <f>AE18+'15'!AF18</f>
        <v>135</v>
      </c>
      <c r="AG18" s="4"/>
      <c r="AH18" s="28">
        <f>AG18+'15'!AH18</f>
        <v>131</v>
      </c>
      <c r="AI18" s="4">
        <f t="shared" si="6"/>
        <v>4</v>
      </c>
      <c r="AJ18" s="11" t="e">
        <f t="shared" si="0"/>
        <v>#DIV/0!</v>
      </c>
      <c r="AK18" s="53">
        <f t="shared" si="1"/>
        <v>9.5419847328244281</v>
      </c>
      <c r="AW18" s="26" t="str">
        <f>'15'!AW18</f>
        <v>منشأة دمــــــــــلو</v>
      </c>
      <c r="AX18" s="12">
        <f>'15'!AX18</f>
        <v>2</v>
      </c>
      <c r="AY18" s="12">
        <f>'15'!AY18</f>
        <v>896</v>
      </c>
      <c r="AZ18" s="12"/>
      <c r="BA18" s="12"/>
      <c r="BB18" s="12">
        <f>BA18+'15'!BB18</f>
        <v>748</v>
      </c>
      <c r="BC18" s="30">
        <f t="shared" si="2"/>
        <v>0.8348214285714286</v>
      </c>
      <c r="BD18" s="12">
        <f>'15'!BD18</f>
        <v>8</v>
      </c>
      <c r="BE18" s="12">
        <f>'15'!BE18</f>
        <v>340</v>
      </c>
      <c r="BF18" s="12"/>
      <c r="BG18" s="12"/>
      <c r="BH18" s="12">
        <f>BG18+'15'!BH18</f>
        <v>328</v>
      </c>
      <c r="BI18" s="30">
        <f t="shared" si="3"/>
        <v>0.96470588235294119</v>
      </c>
    </row>
    <row r="19" spans="1:61" ht="41.5" customHeight="1" x14ac:dyDescent="0.35">
      <c r="A19" s="5">
        <v>9</v>
      </c>
      <c r="B19" s="26" t="str">
        <f>'15'!B19</f>
        <v>شـــــــــــــرانيس</v>
      </c>
      <c r="C19" s="26">
        <f>'15'!C19</f>
        <v>1414</v>
      </c>
      <c r="D19" s="26"/>
      <c r="E19" s="12"/>
      <c r="F19" s="2">
        <f>E19+'15'!F19</f>
        <v>11</v>
      </c>
      <c r="G19" s="2"/>
      <c r="H19" s="2">
        <f>G19+'15'!H19</f>
        <v>359</v>
      </c>
      <c r="I19" s="2"/>
      <c r="J19" s="2">
        <f>I19+'15'!J19</f>
        <v>618</v>
      </c>
      <c r="K19" s="2"/>
      <c r="L19" s="2">
        <f>K19+'15'!L19</f>
        <v>0</v>
      </c>
      <c r="M19" s="2"/>
      <c r="N19" s="2">
        <f>M19+'15'!N19</f>
        <v>0</v>
      </c>
      <c r="O19" s="2"/>
      <c r="P19" s="2">
        <f>O19+'15'!P19</f>
        <v>0</v>
      </c>
      <c r="Q19" s="4">
        <f t="shared" si="4"/>
        <v>0</v>
      </c>
      <c r="R19" s="4">
        <f>Q19+'15'!R19</f>
        <v>988</v>
      </c>
      <c r="S19" s="27">
        <f t="shared" si="5"/>
        <v>0.69872701555869876</v>
      </c>
      <c r="T19" s="12"/>
      <c r="U19" s="12">
        <f>T19+'15'!U19</f>
        <v>143</v>
      </c>
      <c r="V19" s="12"/>
      <c r="W19" s="12">
        <f>V19+'15'!W19</f>
        <v>0</v>
      </c>
      <c r="X19" s="12"/>
      <c r="Y19" s="12">
        <f>X19+'15'!Y19</f>
        <v>0</v>
      </c>
      <c r="AB19" s="5">
        <v>9</v>
      </c>
      <c r="AC19" s="26" t="str">
        <f>'15'!AC19</f>
        <v>شـــــــــــــرانيس</v>
      </c>
      <c r="AD19" s="28">
        <f>'15'!AI19</f>
        <v>22</v>
      </c>
      <c r="AE19" s="3"/>
      <c r="AF19" s="28">
        <f>AE19+'15'!AF19</f>
        <v>125</v>
      </c>
      <c r="AG19" s="4"/>
      <c r="AH19" s="28">
        <f>AG19+'15'!AH19</f>
        <v>103</v>
      </c>
      <c r="AI19" s="4">
        <f t="shared" si="6"/>
        <v>22</v>
      </c>
      <c r="AJ19" s="11" t="e">
        <f t="shared" si="0"/>
        <v>#DIV/0!</v>
      </c>
      <c r="AK19" s="53">
        <f t="shared" si="1"/>
        <v>9.5922330097087372</v>
      </c>
      <c r="AW19" s="26" t="str">
        <f>'15'!AW19</f>
        <v>شـــــــــــــرانيس</v>
      </c>
      <c r="AX19" s="12">
        <f>'15'!AX19</f>
        <v>2</v>
      </c>
      <c r="AY19" s="12">
        <f>'15'!AY19</f>
        <v>675</v>
      </c>
      <c r="AZ19" s="12"/>
      <c r="BA19" s="12"/>
      <c r="BB19" s="12">
        <f>BA19+'15'!BB19</f>
        <v>569</v>
      </c>
      <c r="BC19" s="30">
        <f t="shared" si="2"/>
        <v>0.84296296296296291</v>
      </c>
      <c r="BD19" s="12">
        <f>'15'!BD19</f>
        <v>2</v>
      </c>
      <c r="BE19" s="12">
        <f>'15'!BE19</f>
        <v>397</v>
      </c>
      <c r="BF19" s="12"/>
      <c r="BG19" s="12"/>
      <c r="BH19" s="12">
        <f>BG19+'15'!BH19</f>
        <v>349</v>
      </c>
      <c r="BI19" s="30">
        <f t="shared" si="3"/>
        <v>0.87909319899244331</v>
      </c>
    </row>
    <row r="20" spans="1:61" ht="41.5" customHeight="1" x14ac:dyDescent="0.35">
      <c r="A20" s="5">
        <v>10</v>
      </c>
      <c r="B20" s="26" t="str">
        <f>'15'!B20</f>
        <v>قويســـــــــنا البلد</v>
      </c>
      <c r="C20" s="26">
        <f>'15'!C20</f>
        <v>4115</v>
      </c>
      <c r="D20" s="26"/>
      <c r="E20" s="12"/>
      <c r="F20" s="2">
        <f>E20+'15'!F20</f>
        <v>27</v>
      </c>
      <c r="G20" s="2"/>
      <c r="H20" s="2">
        <f>G20+'15'!H20</f>
        <v>406</v>
      </c>
      <c r="I20" s="2"/>
      <c r="J20" s="2">
        <f>I20+'15'!J20</f>
        <v>1286</v>
      </c>
      <c r="K20" s="2"/>
      <c r="L20" s="2">
        <f>K20+'15'!L20</f>
        <v>0</v>
      </c>
      <c r="M20" s="2"/>
      <c r="N20" s="2">
        <f>M20+'15'!N20</f>
        <v>0</v>
      </c>
      <c r="O20" s="2"/>
      <c r="P20" s="2">
        <f>O20+'15'!P20</f>
        <v>0</v>
      </c>
      <c r="Q20" s="4">
        <f t="shared" si="4"/>
        <v>0</v>
      </c>
      <c r="R20" s="4">
        <f>Q20+'15'!R20</f>
        <v>1719</v>
      </c>
      <c r="S20" s="27">
        <f t="shared" si="5"/>
        <v>0.41773997569866345</v>
      </c>
      <c r="T20" s="12"/>
      <c r="U20" s="12">
        <f>T20+'15'!U20</f>
        <v>405</v>
      </c>
      <c r="V20" s="12"/>
      <c r="W20" s="12">
        <f>V20+'15'!W20</f>
        <v>144</v>
      </c>
      <c r="X20" s="12"/>
      <c r="Y20" s="12">
        <f>X20+'15'!Y20</f>
        <v>0</v>
      </c>
      <c r="AB20" s="5">
        <v>10</v>
      </c>
      <c r="AC20" s="26" t="str">
        <f>'15'!AC20</f>
        <v>قويســـــــــنا البلد</v>
      </c>
      <c r="AD20" s="28">
        <f>'15'!AI20</f>
        <v>185</v>
      </c>
      <c r="AE20" s="3"/>
      <c r="AF20" s="28">
        <f>AE20+'15'!AF20</f>
        <v>360</v>
      </c>
      <c r="AG20" s="4"/>
      <c r="AH20" s="28">
        <f>AG20+'15'!AH20</f>
        <v>175</v>
      </c>
      <c r="AI20" s="4">
        <f t="shared" si="6"/>
        <v>185</v>
      </c>
      <c r="AJ20" s="11" t="e">
        <f t="shared" si="0"/>
        <v>#DIV/0!</v>
      </c>
      <c r="AK20" s="53">
        <f t="shared" si="1"/>
        <v>9.8228571428571421</v>
      </c>
      <c r="AW20" s="26" t="str">
        <f>'15'!AW20</f>
        <v>قويســـــــــنا البلد</v>
      </c>
      <c r="AX20" s="12">
        <f>'15'!AX20</f>
        <v>2</v>
      </c>
      <c r="AY20" s="12">
        <f>'15'!AY20</f>
        <v>1539</v>
      </c>
      <c r="AZ20" s="12"/>
      <c r="BA20" s="12"/>
      <c r="BB20" s="12">
        <f>BA20+'15'!BB20</f>
        <v>1355</v>
      </c>
      <c r="BC20" s="30">
        <f t="shared" si="2"/>
        <v>0.88044184535412606</v>
      </c>
      <c r="BD20" s="12">
        <f>'15'!BD20</f>
        <v>7</v>
      </c>
      <c r="BE20" s="12">
        <f>'15'!BE20</f>
        <v>580</v>
      </c>
      <c r="BF20" s="12"/>
      <c r="BG20" s="12"/>
      <c r="BH20" s="12">
        <f>BG20+'15'!BH20</f>
        <v>204</v>
      </c>
      <c r="BI20" s="30">
        <f t="shared" si="3"/>
        <v>0.35172413793103446</v>
      </c>
    </row>
    <row r="21" spans="1:61" ht="41.5" customHeight="1" x14ac:dyDescent="0.35">
      <c r="A21" s="5">
        <v>11</v>
      </c>
      <c r="B21" s="26" t="str">
        <f>'15'!B21</f>
        <v>بجيرم</v>
      </c>
      <c r="C21" s="26">
        <f>'15'!C21</f>
        <v>1782</v>
      </c>
      <c r="D21" s="26"/>
      <c r="E21" s="12"/>
      <c r="F21" s="2">
        <f>E21+'15'!F21</f>
        <v>8</v>
      </c>
      <c r="G21" s="2"/>
      <c r="H21" s="2">
        <f>G21+'15'!H21</f>
        <v>406</v>
      </c>
      <c r="I21" s="2"/>
      <c r="J21" s="2">
        <f>I21+'15'!J21</f>
        <v>755</v>
      </c>
      <c r="K21" s="2"/>
      <c r="L21" s="2">
        <f>K21+'15'!L21</f>
        <v>0</v>
      </c>
      <c r="M21" s="2"/>
      <c r="N21" s="2">
        <f>M21+'15'!N21</f>
        <v>0</v>
      </c>
      <c r="O21" s="2"/>
      <c r="P21" s="2">
        <f>O21+'15'!P21</f>
        <v>0</v>
      </c>
      <c r="Q21" s="4">
        <f t="shared" si="4"/>
        <v>0</v>
      </c>
      <c r="R21" s="4">
        <f>Q21+'15'!R21</f>
        <v>1169</v>
      </c>
      <c r="S21" s="27">
        <f t="shared" si="5"/>
        <v>0.65600448933782263</v>
      </c>
      <c r="T21" s="12"/>
      <c r="U21" s="12">
        <f>T21+'15'!U21</f>
        <v>126</v>
      </c>
      <c r="V21" s="12"/>
      <c r="W21" s="12">
        <f>V21+'15'!W21</f>
        <v>44</v>
      </c>
      <c r="X21" s="12"/>
      <c r="Y21" s="12">
        <f>X21+'15'!Y21</f>
        <v>0</v>
      </c>
      <c r="AB21" s="5">
        <v>11</v>
      </c>
      <c r="AC21" s="26" t="str">
        <f>'15'!AC21</f>
        <v>بجيرم</v>
      </c>
      <c r="AD21" s="28">
        <f>'15'!AI21</f>
        <v>37</v>
      </c>
      <c r="AE21" s="3"/>
      <c r="AF21" s="28">
        <f>AE21+'15'!AF21</f>
        <v>157</v>
      </c>
      <c r="AG21" s="4"/>
      <c r="AH21" s="28">
        <f>AG21+'15'!AH21</f>
        <v>120</v>
      </c>
      <c r="AI21" s="4">
        <f t="shared" si="6"/>
        <v>37</v>
      </c>
      <c r="AJ21" s="11" t="e">
        <f t="shared" si="0"/>
        <v>#DIV/0!</v>
      </c>
      <c r="AK21" s="53">
        <f t="shared" si="1"/>
        <v>9.7416666666666671</v>
      </c>
      <c r="AW21" s="26" t="str">
        <f>'15'!AW21</f>
        <v>بجيرم</v>
      </c>
      <c r="AX21" s="12">
        <f>'15'!AX21</f>
        <v>4</v>
      </c>
      <c r="AY21" s="12">
        <f>'15'!AY21</f>
        <v>946</v>
      </c>
      <c r="AZ21" s="12"/>
      <c r="BA21" s="12"/>
      <c r="BB21" s="12">
        <f>BA21+'15'!BB21</f>
        <v>823</v>
      </c>
      <c r="BC21" s="30">
        <f t="shared" si="2"/>
        <v>0.86997885835095135</v>
      </c>
      <c r="BD21" s="12">
        <f>'15'!BD21</f>
        <v>4</v>
      </c>
      <c r="BE21" s="12">
        <f>'15'!BE21</f>
        <v>99</v>
      </c>
      <c r="BF21" s="12"/>
      <c r="BG21" s="12"/>
      <c r="BH21" s="12">
        <f>BG21+'15'!BH21</f>
        <v>99</v>
      </c>
      <c r="BI21" s="30">
        <f t="shared" si="3"/>
        <v>1</v>
      </c>
    </row>
    <row r="22" spans="1:61" ht="30" customHeight="1" x14ac:dyDescent="0.35">
      <c r="A22" s="5">
        <v>12</v>
      </c>
      <c r="B22" s="26" t="str">
        <f>'15'!B22</f>
        <v>كفر بنى غريـــان</v>
      </c>
      <c r="C22" s="26">
        <f>'15'!C22</f>
        <v>2184</v>
      </c>
      <c r="D22" s="26"/>
      <c r="E22" s="12"/>
      <c r="F22" s="2">
        <f>E22+'15'!F22</f>
        <v>12</v>
      </c>
      <c r="G22" s="2"/>
      <c r="H22" s="2">
        <f>G22+'15'!H22</f>
        <v>471</v>
      </c>
      <c r="I22" s="2"/>
      <c r="J22" s="2">
        <f>I22+'15'!J22</f>
        <v>971</v>
      </c>
      <c r="K22" s="2"/>
      <c r="L22" s="2">
        <f>K22+'15'!L22</f>
        <v>0</v>
      </c>
      <c r="M22" s="2"/>
      <c r="N22" s="2">
        <f>M22+'15'!N22</f>
        <v>0</v>
      </c>
      <c r="O22" s="2"/>
      <c r="P22" s="2">
        <f>O22+'15'!P22</f>
        <v>0</v>
      </c>
      <c r="Q22" s="4">
        <f t="shared" si="4"/>
        <v>0</v>
      </c>
      <c r="R22" s="4">
        <f>Q22+'15'!R22</f>
        <v>1454</v>
      </c>
      <c r="S22" s="27">
        <f t="shared" si="5"/>
        <v>0.66575091575091572</v>
      </c>
      <c r="T22" s="12"/>
      <c r="U22" s="12">
        <f>T22+'15'!U22</f>
        <v>174</v>
      </c>
      <c r="V22" s="12"/>
      <c r="W22" s="12">
        <f>V22+'15'!W22</f>
        <v>7</v>
      </c>
      <c r="X22" s="12"/>
      <c r="Y22" s="12">
        <f>X22+'15'!Y22</f>
        <v>0</v>
      </c>
      <c r="AB22" s="5">
        <v>12</v>
      </c>
      <c r="AC22" s="26" t="str">
        <f>'15'!AC22</f>
        <v>كفر بنى غريـــان</v>
      </c>
      <c r="AD22" s="28">
        <f>'15'!AI22</f>
        <v>42</v>
      </c>
      <c r="AE22" s="3"/>
      <c r="AF22" s="28">
        <f>AE22+'15'!AF22</f>
        <v>192</v>
      </c>
      <c r="AG22" s="4"/>
      <c r="AH22" s="28">
        <f>AG22+'15'!AH22</f>
        <v>150</v>
      </c>
      <c r="AI22" s="4">
        <f t="shared" si="6"/>
        <v>42</v>
      </c>
      <c r="AJ22" s="11" t="e">
        <f t="shared" si="0"/>
        <v>#DIV/0!</v>
      </c>
      <c r="AK22" s="53">
        <f t="shared" si="1"/>
        <v>9.6933333333333334</v>
      </c>
      <c r="AW22" s="26" t="str">
        <f>'15'!AW22</f>
        <v>كفر بنى غريـــان</v>
      </c>
      <c r="AX22" s="12">
        <f>'15'!AX22</f>
        <v>3</v>
      </c>
      <c r="AY22" s="12">
        <f>'15'!AY22</f>
        <v>1327</v>
      </c>
      <c r="AZ22" s="12"/>
      <c r="BA22" s="12"/>
      <c r="BB22" s="12">
        <f>BA22+'15'!BB22</f>
        <v>994</v>
      </c>
      <c r="BC22" s="30">
        <f t="shared" si="2"/>
        <v>0.74905802562170309</v>
      </c>
      <c r="BD22" s="12">
        <f>'15'!BD22</f>
        <v>9</v>
      </c>
      <c r="BE22" s="12">
        <f>'15'!BE22</f>
        <v>381</v>
      </c>
      <c r="BF22" s="12"/>
      <c r="BG22" s="12"/>
      <c r="BH22" s="12">
        <f>BG22+'15'!BH22</f>
        <v>387</v>
      </c>
      <c r="BI22" s="30">
        <f t="shared" si="3"/>
        <v>1.015748031496063</v>
      </c>
    </row>
    <row r="23" spans="1:61" ht="30" customHeight="1" x14ac:dyDescent="0.35">
      <c r="A23" s="5">
        <v>13</v>
      </c>
      <c r="B23" s="26" t="str">
        <f>'15'!B23</f>
        <v>بــقســـــــــــــــــا</v>
      </c>
      <c r="C23" s="26">
        <f>'15'!C23</f>
        <v>862</v>
      </c>
      <c r="D23" s="26"/>
      <c r="E23" s="12"/>
      <c r="F23" s="2">
        <f>E23+'15'!F23</f>
        <v>8</v>
      </c>
      <c r="G23" s="2"/>
      <c r="H23" s="2">
        <f>G23+'15'!H23</f>
        <v>160</v>
      </c>
      <c r="I23" s="2"/>
      <c r="J23" s="2">
        <f>I23+'15'!J23</f>
        <v>359</v>
      </c>
      <c r="K23" s="2"/>
      <c r="L23" s="2">
        <f>K23+'15'!L23</f>
        <v>0</v>
      </c>
      <c r="M23" s="2"/>
      <c r="N23" s="2">
        <f>M23+'15'!N23</f>
        <v>0</v>
      </c>
      <c r="O23" s="2"/>
      <c r="P23" s="2">
        <f>O23+'15'!P23</f>
        <v>0</v>
      </c>
      <c r="Q23" s="4">
        <f t="shared" si="4"/>
        <v>0</v>
      </c>
      <c r="R23" s="4">
        <f>Q23+'15'!R23</f>
        <v>527</v>
      </c>
      <c r="S23" s="27">
        <f t="shared" si="5"/>
        <v>0.61136890951276102</v>
      </c>
      <c r="T23" s="12"/>
      <c r="U23" s="12">
        <f>T23+'15'!U23</f>
        <v>36</v>
      </c>
      <c r="V23" s="12"/>
      <c r="W23" s="12">
        <f>V23+'15'!W23</f>
        <v>14</v>
      </c>
      <c r="X23" s="12"/>
      <c r="Y23" s="12">
        <f>X23+'15'!Y23</f>
        <v>0</v>
      </c>
      <c r="AB23" s="5">
        <v>13</v>
      </c>
      <c r="AC23" s="26" t="str">
        <f>'15'!AC23</f>
        <v>بــقســـــــــــــــــا</v>
      </c>
      <c r="AD23" s="28">
        <f>'15'!AI23</f>
        <v>22</v>
      </c>
      <c r="AE23" s="3"/>
      <c r="AF23" s="28">
        <f>AE23+'15'!AF23</f>
        <v>75</v>
      </c>
      <c r="AG23" s="4"/>
      <c r="AH23" s="28">
        <f>AG23+'15'!AH23</f>
        <v>53</v>
      </c>
      <c r="AI23" s="4">
        <f t="shared" si="6"/>
        <v>22</v>
      </c>
      <c r="AJ23" s="11" t="e">
        <f t="shared" si="0"/>
        <v>#DIV/0!</v>
      </c>
      <c r="AK23" s="53">
        <f t="shared" si="1"/>
        <v>9.9433962264150946</v>
      </c>
      <c r="AW23" s="26" t="str">
        <f>'15'!AW23</f>
        <v>بــقســـــــــــــــــا</v>
      </c>
      <c r="AX23" s="12">
        <f>'15'!AX23</f>
        <v>1</v>
      </c>
      <c r="AY23" s="12">
        <f>'15'!AY23</f>
        <v>311</v>
      </c>
      <c r="AZ23" s="12"/>
      <c r="BA23" s="12"/>
      <c r="BB23" s="12">
        <f>BA23+'15'!BB23</f>
        <v>297</v>
      </c>
      <c r="BC23" s="30">
        <f t="shared" si="2"/>
        <v>0.954983922829582</v>
      </c>
      <c r="BD23" s="12">
        <f>'15'!BD23</f>
        <v>1</v>
      </c>
      <c r="BE23" s="12">
        <f>'15'!BE23</f>
        <v>40</v>
      </c>
      <c r="BF23" s="12"/>
      <c r="BG23" s="12"/>
      <c r="BH23" s="12">
        <f>BG23+'15'!BH23</f>
        <v>30</v>
      </c>
      <c r="BI23" s="30">
        <f t="shared" si="3"/>
        <v>0.75</v>
      </c>
    </row>
    <row r="24" spans="1:61" ht="37.15" customHeight="1" x14ac:dyDescent="0.35">
      <c r="A24" s="5">
        <v>14</v>
      </c>
      <c r="B24" s="26" t="str">
        <f>'15'!B24</f>
        <v>كفــــــــر الأكرم</v>
      </c>
      <c r="C24" s="26">
        <f>'15'!C24</f>
        <v>918</v>
      </c>
      <c r="D24" s="26"/>
      <c r="E24" s="12"/>
      <c r="F24" s="2">
        <f>E24+'15'!F24</f>
        <v>3</v>
      </c>
      <c r="G24" s="2"/>
      <c r="H24" s="2">
        <f>G24+'15'!H24</f>
        <v>233</v>
      </c>
      <c r="I24" s="2"/>
      <c r="J24" s="2">
        <f>I24+'15'!J24</f>
        <v>392</v>
      </c>
      <c r="K24" s="2"/>
      <c r="L24" s="2">
        <f>K24+'15'!L24</f>
        <v>0</v>
      </c>
      <c r="M24" s="2"/>
      <c r="N24" s="2">
        <f>M24+'15'!N24</f>
        <v>0</v>
      </c>
      <c r="O24" s="2"/>
      <c r="P24" s="2">
        <f>O24+'15'!P24</f>
        <v>0</v>
      </c>
      <c r="Q24" s="4">
        <f t="shared" si="4"/>
        <v>0</v>
      </c>
      <c r="R24" s="4">
        <f>Q24+'15'!R24</f>
        <v>628</v>
      </c>
      <c r="S24" s="27">
        <f t="shared" si="5"/>
        <v>0.68409586056644878</v>
      </c>
      <c r="T24" s="12"/>
      <c r="U24" s="12">
        <f>T24+'15'!U24</f>
        <v>87</v>
      </c>
      <c r="V24" s="12"/>
      <c r="W24" s="12">
        <f>V24+'15'!W24</f>
        <v>9</v>
      </c>
      <c r="X24" s="12"/>
      <c r="Y24" s="12">
        <f>X24+'15'!Y24</f>
        <v>0</v>
      </c>
      <c r="AB24" s="5">
        <v>14</v>
      </c>
      <c r="AC24" s="26" t="str">
        <f>'15'!AC24</f>
        <v>كفــــــــر الأكرم</v>
      </c>
      <c r="AD24" s="28">
        <f>'15'!AI24</f>
        <v>15</v>
      </c>
      <c r="AE24" s="3"/>
      <c r="AF24" s="28">
        <f>AE24+'15'!AF24</f>
        <v>80</v>
      </c>
      <c r="AG24" s="4"/>
      <c r="AH24" s="28">
        <f>AG24+'15'!AH24</f>
        <v>65</v>
      </c>
      <c r="AI24" s="4">
        <f t="shared" si="6"/>
        <v>15</v>
      </c>
      <c r="AJ24" s="11" t="e">
        <f t="shared" si="0"/>
        <v>#DIV/0!</v>
      </c>
      <c r="AK24" s="53">
        <f t="shared" si="1"/>
        <v>9.661538461538461</v>
      </c>
      <c r="AW24" s="26" t="str">
        <f>'15'!AW24</f>
        <v>كفــــــــر الأكرم</v>
      </c>
      <c r="AX24" s="12">
        <f>'15'!AX24</f>
        <v>2</v>
      </c>
      <c r="AY24" s="12">
        <f>'15'!AY24</f>
        <v>540</v>
      </c>
      <c r="AZ24" s="12"/>
      <c r="BA24" s="12"/>
      <c r="BB24" s="12">
        <f>BA24+'15'!BB24</f>
        <v>380</v>
      </c>
      <c r="BC24" s="30">
        <f t="shared" si="2"/>
        <v>0.70370370370370372</v>
      </c>
      <c r="BD24" s="12">
        <f>'15'!BD24</f>
        <v>2</v>
      </c>
      <c r="BE24" s="12">
        <f>'15'!BE24</f>
        <v>115</v>
      </c>
      <c r="BF24" s="12"/>
      <c r="BG24" s="12"/>
      <c r="BH24" s="12">
        <f>BG24+'15'!BH24</f>
        <v>160</v>
      </c>
      <c r="BI24" s="30">
        <f t="shared" si="3"/>
        <v>1.3913043478260869</v>
      </c>
    </row>
    <row r="25" spans="1:61" ht="28.9" customHeight="1" x14ac:dyDescent="0.35">
      <c r="A25" s="5">
        <v>15</v>
      </c>
      <c r="B25" s="26" t="str">
        <f>'15'!B25</f>
        <v>كفـــــــــر إبنهس</v>
      </c>
      <c r="C25" s="26">
        <f>'15'!C25</f>
        <v>2072</v>
      </c>
      <c r="D25" s="26"/>
      <c r="E25" s="12"/>
      <c r="F25" s="2">
        <f>E25+'15'!F25</f>
        <v>6</v>
      </c>
      <c r="G25" s="2"/>
      <c r="H25" s="2">
        <f>G25+'15'!H25</f>
        <v>345</v>
      </c>
      <c r="I25" s="2"/>
      <c r="J25" s="2">
        <f>I25+'15'!J25</f>
        <v>974</v>
      </c>
      <c r="K25" s="2"/>
      <c r="L25" s="2">
        <f>K25+'15'!L25</f>
        <v>0</v>
      </c>
      <c r="M25" s="2"/>
      <c r="N25" s="2">
        <f>M25+'15'!N25</f>
        <v>0</v>
      </c>
      <c r="O25" s="2"/>
      <c r="P25" s="2">
        <f>O25+'15'!P25</f>
        <v>0</v>
      </c>
      <c r="Q25" s="4">
        <f t="shared" si="4"/>
        <v>0</v>
      </c>
      <c r="R25" s="4">
        <f>Q25+'15'!R25</f>
        <v>1325</v>
      </c>
      <c r="S25" s="27">
        <f t="shared" si="5"/>
        <v>0.63947876447876451</v>
      </c>
      <c r="T25" s="12"/>
      <c r="U25" s="12">
        <f>T25+'15'!U25</f>
        <v>173</v>
      </c>
      <c r="V25" s="12"/>
      <c r="W25" s="12">
        <f>V25+'15'!W25</f>
        <v>50</v>
      </c>
      <c r="X25" s="12"/>
      <c r="Y25" s="12">
        <f>X25+'15'!Y25</f>
        <v>0</v>
      </c>
      <c r="AB25" s="5">
        <v>15</v>
      </c>
      <c r="AC25" s="26" t="str">
        <f>'15'!AC25</f>
        <v>كفـــــــــر إبنهس</v>
      </c>
      <c r="AD25" s="28">
        <f>'15'!AI25</f>
        <v>31</v>
      </c>
      <c r="AE25" s="3"/>
      <c r="AF25" s="28">
        <f>AE25+'15'!AF25</f>
        <v>180</v>
      </c>
      <c r="AG25" s="4"/>
      <c r="AH25" s="28">
        <f>AG25+'15'!AH25</f>
        <v>149</v>
      </c>
      <c r="AI25" s="4">
        <f t="shared" si="6"/>
        <v>31</v>
      </c>
      <c r="AJ25" s="11" t="e">
        <f t="shared" si="0"/>
        <v>#DIV/0!</v>
      </c>
      <c r="AK25" s="53">
        <f t="shared" si="1"/>
        <v>8.8926174496644297</v>
      </c>
      <c r="AW25" s="26" t="str">
        <f>'15'!AW25</f>
        <v>كفـــــــــر إبنهس</v>
      </c>
      <c r="AX25" s="12">
        <f>'15'!AX25</f>
        <v>3</v>
      </c>
      <c r="AY25" s="12">
        <f>'15'!AY25</f>
        <v>1013</v>
      </c>
      <c r="AZ25" s="12"/>
      <c r="BA25" s="12"/>
      <c r="BB25" s="12">
        <f>BA25+'15'!BB25</f>
        <v>838</v>
      </c>
      <c r="BC25" s="30">
        <f t="shared" si="2"/>
        <v>0.82724580454096741</v>
      </c>
      <c r="BD25" s="12">
        <f>'15'!BD25</f>
        <v>4</v>
      </c>
      <c r="BE25" s="12">
        <f>'15'!BE25</f>
        <v>620</v>
      </c>
      <c r="BF25" s="12"/>
      <c r="BG25" s="12"/>
      <c r="BH25" s="12">
        <f>BG25+'15'!BH25</f>
        <v>507</v>
      </c>
      <c r="BI25" s="30">
        <f t="shared" si="3"/>
        <v>0.81774193548387097</v>
      </c>
    </row>
    <row r="26" spans="1:61" ht="28.9" customHeight="1" x14ac:dyDescent="0.35">
      <c r="A26" s="5">
        <v>16</v>
      </c>
      <c r="B26" s="26" t="str">
        <f>'15'!B26</f>
        <v>الرمــــــــــــــالى</v>
      </c>
      <c r="C26" s="26">
        <f>'15'!C26</f>
        <v>2699</v>
      </c>
      <c r="D26" s="26"/>
      <c r="E26" s="12"/>
      <c r="F26" s="2">
        <f>E26+'15'!F26</f>
        <v>27</v>
      </c>
      <c r="G26" s="2"/>
      <c r="H26" s="2">
        <f>G26+'15'!H26</f>
        <v>312</v>
      </c>
      <c r="I26" s="2"/>
      <c r="J26" s="2">
        <f>I26+'15'!J26</f>
        <v>993</v>
      </c>
      <c r="K26" s="2"/>
      <c r="L26" s="2">
        <f>K26+'15'!L26</f>
        <v>0</v>
      </c>
      <c r="M26" s="2"/>
      <c r="N26" s="2">
        <f>M26+'15'!N26</f>
        <v>0</v>
      </c>
      <c r="O26" s="2"/>
      <c r="P26" s="2">
        <f>O26+'15'!P26</f>
        <v>0</v>
      </c>
      <c r="Q26" s="4">
        <f t="shared" si="4"/>
        <v>0</v>
      </c>
      <c r="R26" s="4">
        <f>Q26+'15'!R26</f>
        <v>1332</v>
      </c>
      <c r="S26" s="27">
        <f t="shared" si="5"/>
        <v>0.49351611708040016</v>
      </c>
      <c r="T26" s="12"/>
      <c r="U26" s="12">
        <f>T26+'15'!U26</f>
        <v>114</v>
      </c>
      <c r="V26" s="12"/>
      <c r="W26" s="12">
        <f>V26+'15'!W26</f>
        <v>108</v>
      </c>
      <c r="X26" s="12"/>
      <c r="Y26" s="12">
        <f>X26+'15'!Y26</f>
        <v>1</v>
      </c>
      <c r="Z26" s="38"/>
      <c r="AB26" s="5">
        <v>16</v>
      </c>
      <c r="AC26" s="26" t="str">
        <f>'15'!AC26</f>
        <v>الرمــــــــــــــالى</v>
      </c>
      <c r="AD26" s="28">
        <f>'15'!AI26</f>
        <v>96</v>
      </c>
      <c r="AE26" s="3"/>
      <c r="AF26" s="28">
        <f>AE26+'15'!AF26</f>
        <v>235</v>
      </c>
      <c r="AG26" s="4"/>
      <c r="AH26" s="28">
        <f>AG26+'15'!AH26</f>
        <v>139</v>
      </c>
      <c r="AI26" s="4">
        <f t="shared" si="6"/>
        <v>96</v>
      </c>
      <c r="AJ26" s="11" t="e">
        <f t="shared" si="0"/>
        <v>#DIV/0!</v>
      </c>
      <c r="AK26" s="53">
        <f t="shared" si="1"/>
        <v>9.5827338129496411</v>
      </c>
      <c r="AV26" s="38"/>
      <c r="AW26" s="26" t="str">
        <f>'15'!AW26</f>
        <v>الرمــــــــــــــالى</v>
      </c>
      <c r="AX26" s="12">
        <f>'15'!AX26</f>
        <v>3</v>
      </c>
      <c r="AY26" s="12">
        <f>'15'!AY26</f>
        <v>1486</v>
      </c>
      <c r="AZ26" s="12"/>
      <c r="BA26" s="12"/>
      <c r="BB26" s="12">
        <f>BA26+'15'!BB26</f>
        <v>1149</v>
      </c>
      <c r="BC26" s="30">
        <f t="shared" si="2"/>
        <v>0.77321668909825036</v>
      </c>
      <c r="BD26" s="12">
        <f>'15'!BD26</f>
        <v>3</v>
      </c>
      <c r="BE26" s="12">
        <f>'15'!BE26</f>
        <v>98</v>
      </c>
      <c r="BF26" s="12"/>
      <c r="BG26" s="12"/>
      <c r="BH26" s="12">
        <f>BG26+'15'!BH26</f>
        <v>0</v>
      </c>
      <c r="BI26" s="30">
        <f t="shared" si="3"/>
        <v>0</v>
      </c>
    </row>
    <row r="27" spans="1:61" ht="28.9" customHeight="1" x14ac:dyDescent="0.35">
      <c r="A27" s="5">
        <v>17</v>
      </c>
      <c r="B27" s="26" t="str">
        <f>'15'!B27</f>
        <v>مصطــــــــــــاى</v>
      </c>
      <c r="C27" s="26">
        <f>'15'!C27</f>
        <v>2666</v>
      </c>
      <c r="D27" s="26"/>
      <c r="E27" s="12"/>
      <c r="F27" s="2">
        <f>E27+'15'!F27</f>
        <v>54</v>
      </c>
      <c r="G27" s="2"/>
      <c r="H27" s="2">
        <f>G27+'15'!H27</f>
        <v>364</v>
      </c>
      <c r="I27" s="2"/>
      <c r="J27" s="2">
        <f>I27+'15'!J27</f>
        <v>1154</v>
      </c>
      <c r="K27" s="2"/>
      <c r="L27" s="2">
        <f>K27+'15'!L27</f>
        <v>0</v>
      </c>
      <c r="M27" s="2"/>
      <c r="N27" s="2">
        <f>M27+'15'!N27</f>
        <v>0</v>
      </c>
      <c r="O27" s="2"/>
      <c r="P27" s="2">
        <f>O27+'15'!P27</f>
        <v>0</v>
      </c>
      <c r="Q27" s="4">
        <f t="shared" si="4"/>
        <v>0</v>
      </c>
      <c r="R27" s="4">
        <f>Q27+'15'!R27</f>
        <v>1572</v>
      </c>
      <c r="S27" s="27">
        <f t="shared" si="5"/>
        <v>0.58964741185296321</v>
      </c>
      <c r="T27" s="12"/>
      <c r="U27" s="12">
        <f>T27+'15'!U27</f>
        <v>45</v>
      </c>
      <c r="V27" s="12"/>
      <c r="W27" s="12">
        <f>V27+'15'!W27</f>
        <v>15</v>
      </c>
      <c r="X27" s="12"/>
      <c r="Y27" s="12">
        <f>X27+'15'!Y27</f>
        <v>0</v>
      </c>
      <c r="AB27" s="5">
        <v>17</v>
      </c>
      <c r="AC27" s="26" t="str">
        <f>'15'!AC27</f>
        <v>مصطــــــــــــاى</v>
      </c>
      <c r="AD27" s="28">
        <f>'15'!AI27</f>
        <v>74</v>
      </c>
      <c r="AE27" s="3"/>
      <c r="AF27" s="28">
        <f>AE27+'15'!AF27</f>
        <v>234</v>
      </c>
      <c r="AG27" s="4"/>
      <c r="AH27" s="28">
        <f>AG27+'15'!AH27</f>
        <v>160</v>
      </c>
      <c r="AI27" s="4">
        <f t="shared" si="6"/>
        <v>74</v>
      </c>
      <c r="AJ27" s="11" t="e">
        <f t="shared" si="0"/>
        <v>#DIV/0!</v>
      </c>
      <c r="AK27" s="53">
        <f t="shared" si="1"/>
        <v>9.8249999999999993</v>
      </c>
      <c r="AW27" s="26" t="str">
        <f>'15'!AW27</f>
        <v>مصطــــــــــــاى</v>
      </c>
      <c r="AX27" s="12">
        <f>'15'!AX27</f>
        <v>3</v>
      </c>
      <c r="AY27" s="12">
        <f>'15'!AY27</f>
        <v>1709</v>
      </c>
      <c r="AZ27" s="12"/>
      <c r="BA27" s="12"/>
      <c r="BB27" s="12">
        <f>BA27+'15'!BB27</f>
        <v>1252</v>
      </c>
      <c r="BC27" s="30">
        <f t="shared" si="2"/>
        <v>0.73259215915740195</v>
      </c>
      <c r="BD27" s="12">
        <f>'15'!BD27</f>
        <v>6</v>
      </c>
      <c r="BE27" s="12">
        <f>'15'!BE27</f>
        <v>696</v>
      </c>
      <c r="BF27" s="12"/>
      <c r="BG27" s="12"/>
      <c r="BH27" s="12">
        <f>BG27+'15'!BH27</f>
        <v>120</v>
      </c>
      <c r="BI27" s="30">
        <f t="shared" si="3"/>
        <v>0.17241379310344829</v>
      </c>
    </row>
    <row r="28" spans="1:61" ht="28.9" customHeight="1" x14ac:dyDescent="0.35">
      <c r="A28" s="5">
        <v>18</v>
      </c>
      <c r="B28" s="26" t="str">
        <f>'15'!B28</f>
        <v>كفر طـــــــه شبرا</v>
      </c>
      <c r="C28" s="26">
        <f>'15'!C28</f>
        <v>1795</v>
      </c>
      <c r="D28" s="26"/>
      <c r="E28" s="12"/>
      <c r="F28" s="2">
        <f>E28+'15'!F28</f>
        <v>8</v>
      </c>
      <c r="G28" s="2"/>
      <c r="H28" s="2">
        <f>G28+'15'!H28</f>
        <v>294</v>
      </c>
      <c r="I28" s="2"/>
      <c r="J28" s="2">
        <f>I28+'15'!J28</f>
        <v>940</v>
      </c>
      <c r="K28" s="2"/>
      <c r="L28" s="2">
        <f>K28+'15'!L28</f>
        <v>0</v>
      </c>
      <c r="M28" s="2"/>
      <c r="N28" s="2">
        <f>M28+'15'!N28</f>
        <v>0</v>
      </c>
      <c r="O28" s="2"/>
      <c r="P28" s="2">
        <f>O28+'15'!P28</f>
        <v>0</v>
      </c>
      <c r="Q28" s="4">
        <f t="shared" si="4"/>
        <v>0</v>
      </c>
      <c r="R28" s="4">
        <f>Q28+'15'!R28</f>
        <v>1242</v>
      </c>
      <c r="S28" s="27">
        <f t="shared" si="5"/>
        <v>0.69192200557103067</v>
      </c>
      <c r="T28" s="12"/>
      <c r="U28" s="12">
        <f>T28+'15'!U28</f>
        <v>136</v>
      </c>
      <c r="V28" s="12"/>
      <c r="W28" s="12">
        <f>V28+'15'!W28</f>
        <v>33</v>
      </c>
      <c r="X28" s="12"/>
      <c r="Y28" s="12">
        <f>X28+'15'!Y28</f>
        <v>0</v>
      </c>
      <c r="AB28" s="5">
        <v>18</v>
      </c>
      <c r="AC28" s="26" t="str">
        <f>'15'!AC28</f>
        <v>كفر طـــــــه شبرا</v>
      </c>
      <c r="AD28" s="28">
        <f>'15'!AI28</f>
        <v>28</v>
      </c>
      <c r="AE28" s="3"/>
      <c r="AF28" s="28">
        <f>AE28+'15'!AF28</f>
        <v>158</v>
      </c>
      <c r="AG28" s="4"/>
      <c r="AH28" s="28">
        <f>AG28+'15'!AH28</f>
        <v>130</v>
      </c>
      <c r="AI28" s="4">
        <f t="shared" si="6"/>
        <v>28</v>
      </c>
      <c r="AJ28" s="11" t="e">
        <f t="shared" si="0"/>
        <v>#DIV/0!</v>
      </c>
      <c r="AK28" s="53">
        <f t="shared" si="1"/>
        <v>9.5538461538461537</v>
      </c>
      <c r="AW28" s="26" t="str">
        <f>'15'!AW28</f>
        <v>كفر طـــــــه شبرا</v>
      </c>
      <c r="AX28" s="12">
        <f>'15'!AX28</f>
        <v>4</v>
      </c>
      <c r="AY28" s="12">
        <f>'15'!AY28</f>
        <v>948</v>
      </c>
      <c r="AZ28" s="12"/>
      <c r="BA28" s="12"/>
      <c r="BB28" s="12">
        <f>BA28+'15'!BB28</f>
        <v>827</v>
      </c>
      <c r="BC28" s="30">
        <f t="shared" si="2"/>
        <v>0.87236286919831219</v>
      </c>
      <c r="BD28" s="12">
        <f>'15'!BD28</f>
        <v>7</v>
      </c>
      <c r="BE28" s="12">
        <f>'15'!BE28</f>
        <v>300</v>
      </c>
      <c r="BF28" s="12"/>
      <c r="BG28" s="12"/>
      <c r="BH28" s="12">
        <f>BG28+'15'!BH28</f>
        <v>403</v>
      </c>
      <c r="BI28" s="30">
        <f t="shared" si="3"/>
        <v>1.3433333333333333</v>
      </c>
    </row>
    <row r="29" spans="1:61" ht="28.9" customHeight="1" x14ac:dyDescent="0.35">
      <c r="A29" s="5">
        <v>19</v>
      </c>
      <c r="B29" s="26" t="str">
        <f>'15'!B29</f>
        <v>كفر أبـــو الحسن</v>
      </c>
      <c r="C29" s="26">
        <f>'15'!C29</f>
        <v>1397</v>
      </c>
      <c r="D29" s="26"/>
      <c r="E29" s="12"/>
      <c r="F29" s="2">
        <f>E29+'15'!F29</f>
        <v>4</v>
      </c>
      <c r="G29" s="2"/>
      <c r="H29" s="2">
        <f>G29+'15'!H29</f>
        <v>238</v>
      </c>
      <c r="I29" s="2"/>
      <c r="J29" s="2">
        <f>I29+'15'!J29</f>
        <v>841</v>
      </c>
      <c r="K29" s="2"/>
      <c r="L29" s="2">
        <f>K29+'15'!L29</f>
        <v>0</v>
      </c>
      <c r="M29" s="2"/>
      <c r="N29" s="2">
        <f>M29+'15'!N29</f>
        <v>0</v>
      </c>
      <c r="O29" s="2"/>
      <c r="P29" s="2">
        <f>O29+'15'!P29</f>
        <v>0</v>
      </c>
      <c r="Q29" s="4">
        <f t="shared" si="4"/>
        <v>0</v>
      </c>
      <c r="R29" s="4">
        <f>Q29+'15'!R29</f>
        <v>1083</v>
      </c>
      <c r="S29" s="27">
        <f t="shared" si="5"/>
        <v>0.77523264137437364</v>
      </c>
      <c r="T29" s="12"/>
      <c r="U29" s="12">
        <f>T29+'15'!U29</f>
        <v>205</v>
      </c>
      <c r="V29" s="12"/>
      <c r="W29" s="12">
        <f>V29+'15'!W29</f>
        <v>18</v>
      </c>
      <c r="X29" s="12"/>
      <c r="Y29" s="12">
        <f>X29+'15'!Y29</f>
        <v>0</v>
      </c>
      <c r="AB29" s="5">
        <v>19</v>
      </c>
      <c r="AC29" s="26" t="str">
        <f>'15'!AC29</f>
        <v>كفر أبـــو الحسن</v>
      </c>
      <c r="AD29" s="28">
        <f>'15'!AI29</f>
        <v>22</v>
      </c>
      <c r="AE29" s="3"/>
      <c r="AF29" s="28">
        <f>AE29+'15'!AF29</f>
        <v>133</v>
      </c>
      <c r="AG29" s="4"/>
      <c r="AH29" s="28">
        <f>AG29+'15'!AH29</f>
        <v>111</v>
      </c>
      <c r="AI29" s="4">
        <f t="shared" si="6"/>
        <v>22</v>
      </c>
      <c r="AJ29" s="11" t="e">
        <f t="shared" si="0"/>
        <v>#DIV/0!</v>
      </c>
      <c r="AK29" s="53">
        <f t="shared" si="1"/>
        <v>9.7567567567567561</v>
      </c>
      <c r="AW29" s="26" t="str">
        <f>'15'!AW29</f>
        <v>كفر أبـــو الحسن</v>
      </c>
      <c r="AX29" s="12">
        <f>'15'!AX29</f>
        <v>3</v>
      </c>
      <c r="AY29" s="12">
        <f>'15'!AY29</f>
        <v>912</v>
      </c>
      <c r="AZ29" s="12"/>
      <c r="BA29" s="12"/>
      <c r="BB29" s="12">
        <f>BA29+'15'!BB29</f>
        <v>760</v>
      </c>
      <c r="BC29" s="30">
        <f t="shared" si="2"/>
        <v>0.83333333333333337</v>
      </c>
      <c r="BD29" s="12">
        <f>'15'!BD29</f>
        <v>9</v>
      </c>
      <c r="BE29" s="12">
        <f>'15'!BE29</f>
        <v>258</v>
      </c>
      <c r="BF29" s="12"/>
      <c r="BG29" s="12"/>
      <c r="BH29" s="12">
        <f>BG29+'15'!BH29</f>
        <v>351</v>
      </c>
      <c r="BI29" s="30">
        <f t="shared" si="3"/>
        <v>1.3604651162790697</v>
      </c>
    </row>
    <row r="30" spans="1:61" ht="28.9" customHeight="1" x14ac:dyDescent="0.35">
      <c r="A30" s="5">
        <v>20</v>
      </c>
      <c r="B30" s="26" t="str">
        <f>'15'!B30</f>
        <v>ميت أبـــــوشيخه</v>
      </c>
      <c r="C30" s="26">
        <f>'15'!C30</f>
        <v>1134</v>
      </c>
      <c r="D30" s="26"/>
      <c r="E30" s="12"/>
      <c r="F30" s="2">
        <f>E30+'15'!F30</f>
        <v>10</v>
      </c>
      <c r="G30" s="2"/>
      <c r="H30" s="2">
        <f>G30+'15'!H30</f>
        <v>144</v>
      </c>
      <c r="I30" s="2"/>
      <c r="J30" s="2">
        <f>I30+'15'!J30</f>
        <v>435</v>
      </c>
      <c r="K30" s="2"/>
      <c r="L30" s="2">
        <f>K30+'15'!L30</f>
        <v>0</v>
      </c>
      <c r="M30" s="2"/>
      <c r="N30" s="2">
        <f>M30+'15'!N30</f>
        <v>0</v>
      </c>
      <c r="O30" s="2"/>
      <c r="P30" s="2">
        <f>O30+'15'!P30</f>
        <v>0</v>
      </c>
      <c r="Q30" s="4">
        <f t="shared" si="4"/>
        <v>0</v>
      </c>
      <c r="R30" s="4">
        <f>Q30+'15'!R30</f>
        <v>589</v>
      </c>
      <c r="S30" s="27">
        <f t="shared" si="5"/>
        <v>0.51940035273368612</v>
      </c>
      <c r="T30" s="12"/>
      <c r="U30" s="12">
        <f>T30+'15'!U30</f>
        <v>68</v>
      </c>
      <c r="V30" s="12"/>
      <c r="W30" s="12">
        <f>V30+'15'!W30</f>
        <v>10</v>
      </c>
      <c r="X30" s="12"/>
      <c r="Y30" s="12">
        <f>X30+'15'!Y30</f>
        <v>0</v>
      </c>
      <c r="AB30" s="5">
        <v>20</v>
      </c>
      <c r="AC30" s="26" t="str">
        <f>'15'!AC30</f>
        <v>ميت أبـــــوشيخه</v>
      </c>
      <c r="AD30" s="28">
        <f>'15'!AI30</f>
        <v>40</v>
      </c>
      <c r="AE30" s="3"/>
      <c r="AF30" s="28">
        <f>AE30+'15'!AF30</f>
        <v>100</v>
      </c>
      <c r="AG30" s="4"/>
      <c r="AH30" s="28">
        <f>AG30+'15'!AH30</f>
        <v>60</v>
      </c>
      <c r="AI30" s="4">
        <f t="shared" si="6"/>
        <v>40</v>
      </c>
      <c r="AJ30" s="11" t="e">
        <f t="shared" si="0"/>
        <v>#DIV/0!</v>
      </c>
      <c r="AK30" s="53">
        <f t="shared" si="1"/>
        <v>9.8166666666666664</v>
      </c>
      <c r="AW30" s="26" t="str">
        <f>'15'!AW30</f>
        <v>ميت أبـــــوشيخه</v>
      </c>
      <c r="AX30" s="12">
        <f>'15'!AX30</f>
        <v>2</v>
      </c>
      <c r="AY30" s="12">
        <f>'15'!AY30</f>
        <v>560</v>
      </c>
      <c r="AZ30" s="12"/>
      <c r="BA30" s="12"/>
      <c r="BB30" s="12">
        <f>BA30+'15'!BB30</f>
        <v>459</v>
      </c>
      <c r="BC30" s="30">
        <f t="shared" si="2"/>
        <v>0.81964285714285712</v>
      </c>
      <c r="BD30" s="12">
        <f>'15'!BD30</f>
        <v>2</v>
      </c>
      <c r="BE30" s="12">
        <f>'15'!BE30</f>
        <v>107</v>
      </c>
      <c r="BF30" s="12"/>
      <c r="BG30" s="12"/>
      <c r="BH30" s="12">
        <f>BG30+'15'!BH30</f>
        <v>85</v>
      </c>
      <c r="BI30" s="30">
        <f t="shared" si="3"/>
        <v>0.79439252336448596</v>
      </c>
    </row>
    <row r="31" spans="1:61" ht="28.9" customHeight="1" x14ac:dyDescent="0.35">
      <c r="A31" s="5">
        <v>21</v>
      </c>
      <c r="B31" s="26" t="str">
        <f>'15'!B31</f>
        <v>طــــــــــــه شبرا</v>
      </c>
      <c r="C31" s="26">
        <f>'15'!C31</f>
        <v>5149</v>
      </c>
      <c r="D31" s="26"/>
      <c r="E31" s="12"/>
      <c r="F31" s="2">
        <f>E31+'15'!F31</f>
        <v>22</v>
      </c>
      <c r="G31" s="2"/>
      <c r="H31" s="2">
        <f>G31+'15'!H31</f>
        <v>967</v>
      </c>
      <c r="I31" s="2"/>
      <c r="J31" s="2">
        <f>I31+'15'!J31</f>
        <v>1288</v>
      </c>
      <c r="K31" s="2"/>
      <c r="L31" s="2">
        <f>K31+'15'!L31</f>
        <v>0</v>
      </c>
      <c r="M31" s="2"/>
      <c r="N31" s="2">
        <f>M31+'15'!N31</f>
        <v>0</v>
      </c>
      <c r="O31" s="2"/>
      <c r="P31" s="2">
        <f>O31+'15'!P31</f>
        <v>0</v>
      </c>
      <c r="Q31" s="4">
        <f t="shared" si="4"/>
        <v>0</v>
      </c>
      <c r="R31" s="4">
        <f>Q31+'15'!R31</f>
        <v>2277</v>
      </c>
      <c r="S31" s="27">
        <f t="shared" si="5"/>
        <v>0.442221790638959</v>
      </c>
      <c r="T31" s="12"/>
      <c r="U31" s="12">
        <f>T31+'15'!U31</f>
        <v>277</v>
      </c>
      <c r="V31" s="12"/>
      <c r="W31" s="12">
        <f>V31+'15'!W31</f>
        <v>3</v>
      </c>
      <c r="X31" s="12"/>
      <c r="Y31" s="12">
        <f>X31+'15'!Y31</f>
        <v>0</v>
      </c>
      <c r="AB31" s="5">
        <v>21</v>
      </c>
      <c r="AC31" s="26" t="str">
        <f>'15'!AC31</f>
        <v>طــــــــــــه شبرا</v>
      </c>
      <c r="AD31" s="28">
        <f>'15'!AI31</f>
        <v>216</v>
      </c>
      <c r="AE31" s="3"/>
      <c r="AF31" s="28">
        <f>AE31+'15'!AF31</f>
        <v>452</v>
      </c>
      <c r="AG31" s="4"/>
      <c r="AH31" s="28">
        <f>AG31+'15'!AH31</f>
        <v>236</v>
      </c>
      <c r="AI31" s="4">
        <f t="shared" si="6"/>
        <v>216</v>
      </c>
      <c r="AJ31" s="11" t="e">
        <f t="shared" si="0"/>
        <v>#DIV/0!</v>
      </c>
      <c r="AK31" s="53">
        <f t="shared" si="1"/>
        <v>9.648305084745763</v>
      </c>
      <c r="AW31" s="26" t="str">
        <f>'15'!AW31</f>
        <v>طــــــــــــه شبرا</v>
      </c>
      <c r="AX31" s="12">
        <f>'15'!AX31</f>
        <v>6</v>
      </c>
      <c r="AY31" s="12">
        <f>'15'!AY31</f>
        <v>2219</v>
      </c>
      <c r="AZ31" s="12"/>
      <c r="BA31" s="12"/>
      <c r="BB31" s="12">
        <f>BA31+'15'!BB31</f>
        <v>1367</v>
      </c>
      <c r="BC31" s="30">
        <f t="shared" si="2"/>
        <v>0.61604326273095988</v>
      </c>
      <c r="BD31" s="12">
        <f>'15'!BD31</f>
        <v>8</v>
      </c>
      <c r="BE31" s="12">
        <f>'15'!BE31</f>
        <v>748</v>
      </c>
      <c r="BF31" s="12"/>
      <c r="BG31" s="12"/>
      <c r="BH31" s="12">
        <f>BG31+'15'!BH31</f>
        <v>690</v>
      </c>
      <c r="BI31" s="30">
        <f t="shared" si="3"/>
        <v>0.92245989304812837</v>
      </c>
    </row>
    <row r="32" spans="1:61" ht="28.9" customHeight="1" x14ac:dyDescent="0.35">
      <c r="A32" s="5">
        <v>22</v>
      </c>
      <c r="B32" s="26" t="str">
        <f>'15'!B32</f>
        <v>أشـــــــــــــــــليم</v>
      </c>
      <c r="C32" s="26">
        <f>'15'!C32</f>
        <v>2638</v>
      </c>
      <c r="D32" s="26"/>
      <c r="E32" s="12"/>
      <c r="F32" s="2">
        <f>E32+'15'!F32</f>
        <v>19</v>
      </c>
      <c r="G32" s="2"/>
      <c r="H32" s="2">
        <f>G32+'15'!H32</f>
        <v>606</v>
      </c>
      <c r="I32" s="2"/>
      <c r="J32" s="2">
        <f>I32+'15'!J32</f>
        <v>1522</v>
      </c>
      <c r="K32" s="2"/>
      <c r="L32" s="2">
        <f>K32+'15'!L32</f>
        <v>0</v>
      </c>
      <c r="M32" s="2"/>
      <c r="N32" s="2">
        <f>M32+'15'!N32</f>
        <v>0</v>
      </c>
      <c r="O32" s="2"/>
      <c r="P32" s="2">
        <f>O32+'15'!P32</f>
        <v>0</v>
      </c>
      <c r="Q32" s="4">
        <f t="shared" si="4"/>
        <v>0</v>
      </c>
      <c r="R32" s="4">
        <f>Q32+'15'!R32</f>
        <v>2147</v>
      </c>
      <c r="S32" s="27">
        <f t="shared" si="5"/>
        <v>0.81387414708112205</v>
      </c>
      <c r="T32" s="12"/>
      <c r="U32" s="12">
        <f>T32+'15'!U32</f>
        <v>149</v>
      </c>
      <c r="V32" s="12"/>
      <c r="W32" s="12">
        <f>V32+'15'!W32</f>
        <v>119</v>
      </c>
      <c r="X32" s="12"/>
      <c r="Y32" s="12">
        <f>X32+'15'!Y32</f>
        <v>0</v>
      </c>
      <c r="AB32" s="5">
        <v>22</v>
      </c>
      <c r="AC32" s="26" t="str">
        <f>'15'!AC32</f>
        <v>أشـــــــــــــــــليم</v>
      </c>
      <c r="AD32" s="28">
        <f>'15'!AI32</f>
        <v>31</v>
      </c>
      <c r="AE32" s="3"/>
      <c r="AF32" s="28">
        <f>AE32+'15'!AF32</f>
        <v>252</v>
      </c>
      <c r="AG32" s="4"/>
      <c r="AH32" s="28">
        <f>AG32+'15'!AH32</f>
        <v>221</v>
      </c>
      <c r="AI32" s="4">
        <f t="shared" si="6"/>
        <v>31</v>
      </c>
      <c r="AJ32" s="11" t="e">
        <f t="shared" si="0"/>
        <v>#DIV/0!</v>
      </c>
      <c r="AK32" s="53">
        <f t="shared" si="1"/>
        <v>9.7149321266968318</v>
      </c>
      <c r="AW32" s="26" t="str">
        <f>'15'!AW32</f>
        <v>أشـــــــــــــــــليم</v>
      </c>
      <c r="AX32" s="12">
        <f>'15'!AX32</f>
        <v>8</v>
      </c>
      <c r="AY32" s="12">
        <f>'15'!AY32</f>
        <v>1819</v>
      </c>
      <c r="AZ32" s="12"/>
      <c r="BA32" s="12"/>
      <c r="BB32" s="12">
        <f>BA32+'15'!BB32</f>
        <v>1506</v>
      </c>
      <c r="BC32" s="30">
        <f t="shared" si="2"/>
        <v>0.82792743265530511</v>
      </c>
      <c r="BD32" s="12">
        <f>'15'!BD32</f>
        <v>7</v>
      </c>
      <c r="BE32" s="12">
        <f>'15'!BE32</f>
        <v>176</v>
      </c>
      <c r="BF32" s="12"/>
      <c r="BG32" s="12"/>
      <c r="BH32" s="12">
        <f>BG32+'15'!BH32</f>
        <v>531</v>
      </c>
      <c r="BI32" s="30">
        <f t="shared" si="3"/>
        <v>3.0170454545454546</v>
      </c>
    </row>
    <row r="33" spans="1:61" ht="28.9" customHeight="1" x14ac:dyDescent="0.35">
      <c r="A33" s="5">
        <v>23</v>
      </c>
      <c r="B33" s="26" t="str">
        <f>'15'!B33</f>
        <v>شبرا قبالــــــــــه</v>
      </c>
      <c r="C33" s="26">
        <f>'15'!C33</f>
        <v>2050</v>
      </c>
      <c r="D33" s="26"/>
      <c r="E33" s="12"/>
      <c r="F33" s="2">
        <f>E33+'15'!F33</f>
        <v>23</v>
      </c>
      <c r="G33" s="2"/>
      <c r="H33" s="2">
        <f>G33+'15'!H33</f>
        <v>644</v>
      </c>
      <c r="I33" s="2"/>
      <c r="J33" s="2">
        <f>I33+'15'!J33</f>
        <v>773</v>
      </c>
      <c r="K33" s="2"/>
      <c r="L33" s="2">
        <f>K33+'15'!L33</f>
        <v>0</v>
      </c>
      <c r="M33" s="2"/>
      <c r="N33" s="2">
        <f>M33+'15'!N33</f>
        <v>0</v>
      </c>
      <c r="O33" s="2"/>
      <c r="P33" s="2">
        <f>O33+'15'!P33</f>
        <v>0</v>
      </c>
      <c r="Q33" s="4">
        <f t="shared" si="4"/>
        <v>0</v>
      </c>
      <c r="R33" s="4">
        <f>Q33+'15'!R33</f>
        <v>1440</v>
      </c>
      <c r="S33" s="27">
        <f t="shared" si="5"/>
        <v>0.70243902439024386</v>
      </c>
      <c r="T33" s="12"/>
      <c r="U33" s="12">
        <f>T33+'15'!U33</f>
        <v>96</v>
      </c>
      <c r="V33" s="12"/>
      <c r="W33" s="12">
        <f>V33+'15'!W33</f>
        <v>64</v>
      </c>
      <c r="X33" s="12"/>
      <c r="Y33" s="12">
        <f>X33+'15'!Y33</f>
        <v>0</v>
      </c>
      <c r="AB33" s="5">
        <v>23</v>
      </c>
      <c r="AC33" s="26" t="str">
        <f>'15'!AC33</f>
        <v>شبرا قبالــــــــــه</v>
      </c>
      <c r="AD33" s="28">
        <f>'15'!AI33</f>
        <v>36</v>
      </c>
      <c r="AE33" s="3"/>
      <c r="AF33" s="28">
        <f>AE33+'15'!AF33</f>
        <v>180</v>
      </c>
      <c r="AG33" s="4"/>
      <c r="AH33" s="28">
        <f>AG33+'15'!AH33</f>
        <v>144</v>
      </c>
      <c r="AI33" s="4">
        <f t="shared" si="6"/>
        <v>36</v>
      </c>
      <c r="AJ33" s="11" t="e">
        <f t="shared" si="0"/>
        <v>#DIV/0!</v>
      </c>
      <c r="AK33" s="53">
        <f t="shared" si="1"/>
        <v>10</v>
      </c>
      <c r="AW33" s="26" t="str">
        <f>'15'!AW33</f>
        <v>شبرا قبالــــــــــه</v>
      </c>
      <c r="AX33" s="12">
        <f>'15'!AX33</f>
        <v>1</v>
      </c>
      <c r="AY33" s="12">
        <f>'15'!AY33</f>
        <v>918</v>
      </c>
      <c r="AZ33" s="12"/>
      <c r="BA33" s="12"/>
      <c r="BB33" s="12">
        <f>BA33+'15'!BB33</f>
        <v>780</v>
      </c>
      <c r="BC33" s="30">
        <f t="shared" si="2"/>
        <v>0.84967320261437906</v>
      </c>
      <c r="BD33" s="12">
        <f>'15'!BD33</f>
        <v>5</v>
      </c>
      <c r="BE33" s="12">
        <f>'15'!BE33</f>
        <v>375</v>
      </c>
      <c r="BF33" s="12"/>
      <c r="BG33" s="12"/>
      <c r="BH33" s="12">
        <f>BG33+'15'!BH33</f>
        <v>430</v>
      </c>
      <c r="BI33" s="30">
        <f t="shared" si="3"/>
        <v>1.1466666666666667</v>
      </c>
    </row>
    <row r="34" spans="1:61" ht="28.9" customHeight="1" x14ac:dyDescent="0.35">
      <c r="A34" s="5">
        <v>24</v>
      </c>
      <c r="B34" s="26" t="str">
        <f>'15'!B34</f>
        <v>عرب الرمـــــــل</v>
      </c>
      <c r="C34" s="26">
        <f>'15'!C34</f>
        <v>5755</v>
      </c>
      <c r="D34" s="26"/>
      <c r="E34" s="12"/>
      <c r="F34" s="2">
        <f>E34+'15'!F34</f>
        <v>22</v>
      </c>
      <c r="G34" s="2"/>
      <c r="H34" s="2">
        <f>G34+'15'!H34</f>
        <v>1011</v>
      </c>
      <c r="I34" s="2"/>
      <c r="J34" s="2">
        <f>I34+'15'!J34</f>
        <v>1364</v>
      </c>
      <c r="K34" s="2"/>
      <c r="L34" s="2">
        <f>K34+'15'!L34</f>
        <v>0</v>
      </c>
      <c r="M34" s="2"/>
      <c r="N34" s="2">
        <f>M34+'15'!N34</f>
        <v>0</v>
      </c>
      <c r="O34" s="2"/>
      <c r="P34" s="2">
        <f>O34+'15'!P34</f>
        <v>0</v>
      </c>
      <c r="Q34" s="4">
        <f t="shared" si="4"/>
        <v>0</v>
      </c>
      <c r="R34" s="4">
        <f>Q34+'15'!R34</f>
        <v>2397</v>
      </c>
      <c r="S34" s="27">
        <f t="shared" si="5"/>
        <v>0.41650738488271066</v>
      </c>
      <c r="T34" s="12"/>
      <c r="U34" s="12">
        <f>T34+'15'!U34</f>
        <v>562</v>
      </c>
      <c r="V34" s="12"/>
      <c r="W34" s="12">
        <f>V34+'15'!W34</f>
        <v>41</v>
      </c>
      <c r="X34" s="12"/>
      <c r="Y34" s="12">
        <f>X34+'15'!Y34</f>
        <v>0</v>
      </c>
      <c r="AB34" s="5">
        <v>24</v>
      </c>
      <c r="AC34" s="26" t="str">
        <f>'15'!AC34</f>
        <v>عرب الرمـــــــل</v>
      </c>
      <c r="AD34" s="28">
        <f>'15'!AI34</f>
        <v>263</v>
      </c>
      <c r="AE34" s="3"/>
      <c r="AF34" s="28">
        <f>AE34+'15'!AF34</f>
        <v>505</v>
      </c>
      <c r="AG34" s="4"/>
      <c r="AH34" s="28">
        <f>AG34+'15'!AH34</f>
        <v>242</v>
      </c>
      <c r="AI34" s="4">
        <f t="shared" si="6"/>
        <v>263</v>
      </c>
      <c r="AJ34" s="11" t="e">
        <f t="shared" si="0"/>
        <v>#DIV/0!</v>
      </c>
      <c r="AK34" s="53">
        <f t="shared" si="1"/>
        <v>9.9049586776859506</v>
      </c>
      <c r="AW34" s="26" t="str">
        <f>'15'!AW34</f>
        <v>عرب الرمـــــــل</v>
      </c>
      <c r="AX34" s="12">
        <f>'15'!AX34</f>
        <v>6</v>
      </c>
      <c r="AY34" s="12">
        <f>'15'!AY34</f>
        <v>2210</v>
      </c>
      <c r="AZ34" s="12"/>
      <c r="BA34" s="12"/>
      <c r="BB34" s="12">
        <f>BA34+'15'!BB34</f>
        <v>1456</v>
      </c>
      <c r="BC34" s="30">
        <f t="shared" si="2"/>
        <v>0.6588235294117647</v>
      </c>
      <c r="BD34" s="12">
        <f>'15'!BD34</f>
        <v>9</v>
      </c>
      <c r="BE34" s="12">
        <f>'15'!BE34</f>
        <v>932</v>
      </c>
      <c r="BF34" s="12"/>
      <c r="BG34" s="12"/>
      <c r="BH34" s="12">
        <f>BG34+'15'!BH34</f>
        <v>941</v>
      </c>
      <c r="BI34" s="30">
        <f t="shared" si="3"/>
        <v>1.0096566523605151</v>
      </c>
    </row>
    <row r="35" spans="1:61" ht="28.9" customHeight="1" x14ac:dyDescent="0.35">
      <c r="A35" s="5">
        <v>25</v>
      </c>
      <c r="B35" s="26" t="str">
        <f>'15'!B35</f>
        <v>كفر ميت سراج</v>
      </c>
      <c r="C35" s="26">
        <f>'15'!C35</f>
        <v>1840</v>
      </c>
      <c r="D35" s="26"/>
      <c r="E35" s="12"/>
      <c r="F35" s="2">
        <f>E35+'15'!F35</f>
        <v>8</v>
      </c>
      <c r="G35" s="2"/>
      <c r="H35" s="2">
        <f>G35+'15'!H35</f>
        <v>386</v>
      </c>
      <c r="I35" s="2"/>
      <c r="J35" s="2">
        <f>I35+'15'!J35</f>
        <v>773</v>
      </c>
      <c r="K35" s="2"/>
      <c r="L35" s="2">
        <f>K35+'15'!L35</f>
        <v>0</v>
      </c>
      <c r="M35" s="2"/>
      <c r="N35" s="2">
        <f>M35+'15'!N35</f>
        <v>0</v>
      </c>
      <c r="O35" s="2"/>
      <c r="P35" s="2">
        <f>O35+'15'!P35</f>
        <v>0</v>
      </c>
      <c r="Q35" s="4">
        <f t="shared" si="4"/>
        <v>0</v>
      </c>
      <c r="R35" s="4">
        <f>Q35+'15'!R35</f>
        <v>1167</v>
      </c>
      <c r="S35" s="27">
        <f t="shared" si="5"/>
        <v>0.63423913043478264</v>
      </c>
      <c r="T35" s="12"/>
      <c r="U35" s="12">
        <f>T35+'15'!U35</f>
        <v>174</v>
      </c>
      <c r="V35" s="12"/>
      <c r="W35" s="12">
        <f>V35+'15'!W35</f>
        <v>11</v>
      </c>
      <c r="X35" s="12"/>
      <c r="Y35" s="12">
        <f>X35+'15'!Y35</f>
        <v>0</v>
      </c>
      <c r="AB35" s="5">
        <v>25</v>
      </c>
      <c r="AC35" s="26" t="str">
        <f>'15'!AC35</f>
        <v>كفر ميت سراج</v>
      </c>
      <c r="AD35" s="28">
        <f>'15'!AI35</f>
        <v>41</v>
      </c>
      <c r="AE35" s="3"/>
      <c r="AF35" s="28">
        <f>AE35+'15'!AF35</f>
        <v>162</v>
      </c>
      <c r="AG35" s="4"/>
      <c r="AH35" s="28">
        <f>AG35+'15'!AH35</f>
        <v>121</v>
      </c>
      <c r="AI35" s="4">
        <f t="shared" si="6"/>
        <v>41</v>
      </c>
      <c r="AJ35" s="11" t="e">
        <f t="shared" si="0"/>
        <v>#DIV/0!</v>
      </c>
      <c r="AK35" s="53">
        <f t="shared" si="1"/>
        <v>9.6446280991735538</v>
      </c>
      <c r="AW35" s="26" t="str">
        <f>'15'!AW35</f>
        <v>كفر ميت سراج</v>
      </c>
      <c r="AX35" s="12">
        <f>'15'!AX35</f>
        <v>3</v>
      </c>
      <c r="AY35" s="12">
        <f>'15'!AY35</f>
        <v>1011</v>
      </c>
      <c r="AZ35" s="12"/>
      <c r="BA35" s="12"/>
      <c r="BB35" s="12">
        <f>BA35+'15'!BB35</f>
        <v>773</v>
      </c>
      <c r="BC35" s="30">
        <f t="shared" si="2"/>
        <v>0.76458951533135511</v>
      </c>
      <c r="BD35" s="12">
        <f>'15'!BD35</f>
        <v>4</v>
      </c>
      <c r="BE35" s="12">
        <f>'15'!BE35</f>
        <v>413</v>
      </c>
      <c r="BF35" s="12"/>
      <c r="BG35" s="12"/>
      <c r="BH35" s="12">
        <f>BG35+'15'!BH35</f>
        <v>232</v>
      </c>
      <c r="BI35" s="30">
        <f t="shared" si="3"/>
        <v>0.56174334140435833</v>
      </c>
    </row>
    <row r="36" spans="1:61" ht="28.9" customHeight="1" x14ac:dyDescent="0.35">
      <c r="A36" s="5">
        <v>26</v>
      </c>
      <c r="B36" s="26" t="str">
        <f>'15'!B36</f>
        <v>كفر أبشيش</v>
      </c>
      <c r="C36" s="26">
        <f>'15'!C36</f>
        <v>1345</v>
      </c>
      <c r="D36" s="26"/>
      <c r="E36" s="12"/>
      <c r="F36" s="2">
        <f>E36+'15'!F36</f>
        <v>14</v>
      </c>
      <c r="G36" s="2"/>
      <c r="H36" s="2">
        <f>G36+'15'!H36</f>
        <v>207</v>
      </c>
      <c r="I36" s="2"/>
      <c r="J36" s="2">
        <f>I36+'15'!J36</f>
        <v>725</v>
      </c>
      <c r="K36" s="2"/>
      <c r="L36" s="2">
        <f>K36+'15'!L36</f>
        <v>0</v>
      </c>
      <c r="M36" s="2"/>
      <c r="N36" s="2">
        <f>M36+'15'!N36</f>
        <v>0</v>
      </c>
      <c r="O36" s="2"/>
      <c r="P36" s="2">
        <f>O36+'15'!P36</f>
        <v>0</v>
      </c>
      <c r="Q36" s="4">
        <f t="shared" si="4"/>
        <v>0</v>
      </c>
      <c r="R36" s="4">
        <f>Q36+'15'!R36</f>
        <v>946</v>
      </c>
      <c r="S36" s="27">
        <f t="shared" si="5"/>
        <v>0.70334572490706315</v>
      </c>
      <c r="T36" s="12"/>
      <c r="U36" s="12">
        <f>T36+'15'!U36</f>
        <v>113</v>
      </c>
      <c r="V36" s="12"/>
      <c r="W36" s="12">
        <f>V36+'15'!W36</f>
        <v>4</v>
      </c>
      <c r="X36" s="12"/>
      <c r="Y36" s="12">
        <f>X36+'15'!Y36</f>
        <v>0</v>
      </c>
      <c r="AB36" s="5">
        <v>26</v>
      </c>
      <c r="AC36" s="26" t="str">
        <f>'15'!AC36</f>
        <v>كفر أبشيش</v>
      </c>
      <c r="AD36" s="28">
        <f>'15'!AI36</f>
        <v>24</v>
      </c>
      <c r="AE36" s="3"/>
      <c r="AF36" s="28">
        <f>AE36+'15'!AF36</f>
        <v>119</v>
      </c>
      <c r="AG36" s="4"/>
      <c r="AH36" s="28">
        <f>AG36+'15'!AH36</f>
        <v>95</v>
      </c>
      <c r="AI36" s="4">
        <f t="shared" si="6"/>
        <v>24</v>
      </c>
      <c r="AJ36" s="11" t="e">
        <f t="shared" si="0"/>
        <v>#DIV/0!</v>
      </c>
      <c r="AK36" s="53">
        <f t="shared" si="1"/>
        <v>9.9578947368421051</v>
      </c>
      <c r="AW36" s="26" t="str">
        <f>'15'!AW36</f>
        <v>كفر أبشيش</v>
      </c>
      <c r="AX36" s="12">
        <f>'15'!AX36</f>
        <v>1</v>
      </c>
      <c r="AY36" s="12">
        <f>'15'!AY36</f>
        <v>860</v>
      </c>
      <c r="AZ36" s="12"/>
      <c r="BA36" s="12"/>
      <c r="BB36" s="12">
        <f>BA36+'15'!BB36</f>
        <v>730</v>
      </c>
      <c r="BC36" s="30">
        <f t="shared" si="2"/>
        <v>0.84883720930232553</v>
      </c>
      <c r="BD36" s="12">
        <f>'15'!BD36</f>
        <v>4</v>
      </c>
      <c r="BE36" s="12">
        <f>'15'!BE36</f>
        <v>194</v>
      </c>
      <c r="BF36" s="12"/>
      <c r="BG36" s="12"/>
      <c r="BH36" s="12">
        <f>BG36+'15'!BH36</f>
        <v>0</v>
      </c>
      <c r="BI36" s="30">
        <f t="shared" si="3"/>
        <v>0</v>
      </c>
    </row>
    <row r="37" spans="1:61" ht="28.9" customHeight="1" x14ac:dyDescent="0.35">
      <c r="A37" s="5">
        <v>27</v>
      </c>
      <c r="B37" s="26" t="str">
        <f>'15'!B37</f>
        <v>كفر ميت العبسى</v>
      </c>
      <c r="C37" s="26">
        <f>'15'!C37</f>
        <v>1180</v>
      </c>
      <c r="D37" s="26"/>
      <c r="E37" s="12"/>
      <c r="F37" s="2">
        <f>E37+'15'!F37</f>
        <v>12</v>
      </c>
      <c r="G37" s="2"/>
      <c r="H37" s="2">
        <f>G37+'15'!H37</f>
        <v>248</v>
      </c>
      <c r="I37" s="2"/>
      <c r="J37" s="2">
        <f>I37+'15'!J37</f>
        <v>443</v>
      </c>
      <c r="K37" s="2"/>
      <c r="L37" s="2">
        <f>K37+'15'!L37</f>
        <v>0</v>
      </c>
      <c r="M37" s="2"/>
      <c r="N37" s="2">
        <f>M37+'15'!N37</f>
        <v>0</v>
      </c>
      <c r="O37" s="2"/>
      <c r="P37" s="2">
        <f>O37+'15'!P37</f>
        <v>0</v>
      </c>
      <c r="Q37" s="4">
        <f t="shared" si="4"/>
        <v>0</v>
      </c>
      <c r="R37" s="4">
        <f>Q37+'15'!R37</f>
        <v>703</v>
      </c>
      <c r="S37" s="27">
        <f t="shared" si="5"/>
        <v>0.59576271186440677</v>
      </c>
      <c r="T37" s="12"/>
      <c r="U37" s="12">
        <f>T37+'15'!U37</f>
        <v>53</v>
      </c>
      <c r="V37" s="12"/>
      <c r="W37" s="12">
        <f>V37+'15'!W37</f>
        <v>11</v>
      </c>
      <c r="X37" s="12"/>
      <c r="Y37" s="12">
        <f>X37+'15'!Y37</f>
        <v>0</v>
      </c>
      <c r="AB37" s="5">
        <v>27</v>
      </c>
      <c r="AC37" s="26" t="str">
        <f>'15'!AC37</f>
        <v>كفر ميت العبسى</v>
      </c>
      <c r="AD37" s="28">
        <f>'15'!AI37</f>
        <v>33</v>
      </c>
      <c r="AE37" s="3"/>
      <c r="AF37" s="28">
        <f>AE37+'15'!AF37</f>
        <v>104</v>
      </c>
      <c r="AG37" s="4"/>
      <c r="AH37" s="28">
        <f>AG37+'15'!AH37</f>
        <v>71</v>
      </c>
      <c r="AI37" s="4">
        <f t="shared" si="6"/>
        <v>33</v>
      </c>
      <c r="AJ37" s="11" t="e">
        <f t="shared" si="0"/>
        <v>#DIV/0!</v>
      </c>
      <c r="AK37" s="53">
        <f t="shared" si="1"/>
        <v>9.9014084507042259</v>
      </c>
      <c r="AW37" s="26" t="str">
        <f>'15'!AW37</f>
        <v>كفر ميت العبسى</v>
      </c>
      <c r="AX37" s="12">
        <f>'15'!AX37</f>
        <v>2</v>
      </c>
      <c r="AY37" s="12">
        <f>'15'!AY37</f>
        <v>494</v>
      </c>
      <c r="AZ37" s="12"/>
      <c r="BA37" s="12"/>
      <c r="BB37" s="12">
        <f>BA37+'15'!BB37</f>
        <v>418</v>
      </c>
      <c r="BC37" s="30">
        <f t="shared" si="2"/>
        <v>0.84615384615384615</v>
      </c>
      <c r="BD37" s="12">
        <f>'15'!BD37</f>
        <v>4</v>
      </c>
      <c r="BE37" s="12">
        <f>'15'!BE37</f>
        <v>114</v>
      </c>
      <c r="BF37" s="12"/>
      <c r="BG37" s="12"/>
      <c r="BH37" s="12">
        <f>BG37+'15'!BH37</f>
        <v>73</v>
      </c>
      <c r="BI37" s="30">
        <f t="shared" si="3"/>
        <v>0.64035087719298245</v>
      </c>
    </row>
    <row r="38" spans="1:61" ht="28.9" customHeight="1" x14ac:dyDescent="0.35">
      <c r="A38" s="5">
        <v>28</v>
      </c>
      <c r="B38" s="26" t="str">
        <f>'15'!B38</f>
        <v>كفر وهــــــــــب</v>
      </c>
      <c r="C38" s="26">
        <f>'15'!C38</f>
        <v>1854.9999999999998</v>
      </c>
      <c r="D38" s="26"/>
      <c r="E38" s="12"/>
      <c r="F38" s="2">
        <f>E38+'15'!F38</f>
        <v>7</v>
      </c>
      <c r="G38" s="2"/>
      <c r="H38" s="2">
        <f>G38+'15'!H38</f>
        <v>265</v>
      </c>
      <c r="I38" s="2"/>
      <c r="J38" s="2">
        <f>I38+'15'!J38</f>
        <v>618</v>
      </c>
      <c r="K38" s="2"/>
      <c r="L38" s="2">
        <f>K38+'15'!L38</f>
        <v>0</v>
      </c>
      <c r="M38" s="2"/>
      <c r="N38" s="2">
        <f>M38+'15'!N38</f>
        <v>0</v>
      </c>
      <c r="O38" s="2"/>
      <c r="P38" s="2">
        <f>O38+'15'!P38</f>
        <v>0</v>
      </c>
      <c r="Q38" s="4">
        <f t="shared" si="4"/>
        <v>0</v>
      </c>
      <c r="R38" s="4">
        <f>Q38+'15'!R38</f>
        <v>890</v>
      </c>
      <c r="S38" s="27">
        <f t="shared" si="5"/>
        <v>0.47978436657681944</v>
      </c>
      <c r="T38" s="12"/>
      <c r="U38" s="12">
        <f>T38+'15'!U38</f>
        <v>123</v>
      </c>
      <c r="V38" s="12"/>
      <c r="W38" s="12">
        <f>V38+'15'!W38</f>
        <v>7</v>
      </c>
      <c r="X38" s="12"/>
      <c r="Y38" s="12">
        <f>X38+'15'!Y38</f>
        <v>0</v>
      </c>
      <c r="AB38" s="5">
        <v>28</v>
      </c>
      <c r="AC38" s="26" t="str">
        <f>'15'!AC38</f>
        <v>كفر وهــــــــــب</v>
      </c>
      <c r="AD38" s="28">
        <f>'15'!AI38</f>
        <v>72</v>
      </c>
      <c r="AE38" s="3"/>
      <c r="AF38" s="28">
        <f>AE38+'15'!AF38</f>
        <v>163</v>
      </c>
      <c r="AG38" s="4"/>
      <c r="AH38" s="28">
        <f>AG38+'15'!AH38</f>
        <v>91</v>
      </c>
      <c r="AI38" s="4">
        <f t="shared" si="6"/>
        <v>72</v>
      </c>
      <c r="AJ38" s="11" t="e">
        <f t="shared" si="0"/>
        <v>#DIV/0!</v>
      </c>
      <c r="AK38" s="53">
        <f t="shared" si="1"/>
        <v>9.780219780219781</v>
      </c>
      <c r="AW38" s="26" t="str">
        <f>'15'!AW38</f>
        <v>كفر وهــــــــــب</v>
      </c>
      <c r="AX38" s="12">
        <f>'15'!AX38</f>
        <v>2</v>
      </c>
      <c r="AY38" s="12">
        <f>'15'!AY38</f>
        <v>793</v>
      </c>
      <c r="AZ38" s="12"/>
      <c r="BA38" s="12"/>
      <c r="BB38" s="12">
        <f>BA38+'15'!BB38</f>
        <v>623</v>
      </c>
      <c r="BC38" s="30">
        <f t="shared" si="2"/>
        <v>0.78562421185372</v>
      </c>
      <c r="BD38" s="12">
        <f>'15'!BD38</f>
        <v>3</v>
      </c>
      <c r="BE38" s="12">
        <f>'15'!BE38</f>
        <v>180</v>
      </c>
      <c r="BF38" s="12"/>
      <c r="BG38" s="12"/>
      <c r="BH38" s="12">
        <f>BG38+'15'!BH38</f>
        <v>160</v>
      </c>
      <c r="BI38" s="30">
        <f t="shared" si="3"/>
        <v>0.88888888888888884</v>
      </c>
    </row>
    <row r="39" spans="1:61" ht="28.9" customHeight="1" x14ac:dyDescent="0.35">
      <c r="A39" s="5">
        <v>29</v>
      </c>
      <c r="B39" s="26" t="str">
        <f>'15'!B39</f>
        <v>دمــــــــــــــهوج</v>
      </c>
      <c r="C39" s="26">
        <f>'15'!C39</f>
        <v>2738</v>
      </c>
      <c r="D39" s="26"/>
      <c r="E39" s="12"/>
      <c r="F39" s="2">
        <f>E39+'15'!F39</f>
        <v>11</v>
      </c>
      <c r="G39" s="2"/>
      <c r="H39" s="2">
        <f>G39+'15'!H39</f>
        <v>437</v>
      </c>
      <c r="I39" s="2"/>
      <c r="J39" s="2">
        <f>I39+'15'!J39</f>
        <v>832</v>
      </c>
      <c r="K39" s="2"/>
      <c r="L39" s="2">
        <f>K39+'15'!L39</f>
        <v>0</v>
      </c>
      <c r="M39" s="2"/>
      <c r="N39" s="2">
        <f>M39+'15'!N39</f>
        <v>0</v>
      </c>
      <c r="O39" s="2"/>
      <c r="P39" s="2">
        <f>O39+'15'!P39</f>
        <v>0</v>
      </c>
      <c r="Q39" s="4">
        <f t="shared" si="4"/>
        <v>0</v>
      </c>
      <c r="R39" s="4">
        <f>Q39+'15'!R39</f>
        <v>1280</v>
      </c>
      <c r="S39" s="27">
        <f t="shared" si="5"/>
        <v>0.46749452154857563</v>
      </c>
      <c r="T39" s="12"/>
      <c r="U39" s="12">
        <f>T39+'15'!U39</f>
        <v>158</v>
      </c>
      <c r="V39" s="12"/>
      <c r="W39" s="12">
        <f>V39+'15'!W39</f>
        <v>7</v>
      </c>
      <c r="X39" s="12"/>
      <c r="Y39" s="12">
        <f>X39+'15'!Y39</f>
        <v>0</v>
      </c>
      <c r="AB39" s="5">
        <v>29</v>
      </c>
      <c r="AC39" s="26" t="str">
        <f>'15'!AC39</f>
        <v>دمــــــــــــــهوج</v>
      </c>
      <c r="AD39" s="28">
        <f>'15'!AI39</f>
        <v>109</v>
      </c>
      <c r="AE39" s="3"/>
      <c r="AF39" s="28">
        <f>AE39+'15'!AF39</f>
        <v>240</v>
      </c>
      <c r="AG39" s="4"/>
      <c r="AH39" s="28">
        <f>AG39+'15'!AH39</f>
        <v>131</v>
      </c>
      <c r="AI39" s="4">
        <f t="shared" si="6"/>
        <v>109</v>
      </c>
      <c r="AJ39" s="11" t="e">
        <f t="shared" si="0"/>
        <v>#DIV/0!</v>
      </c>
      <c r="AK39" s="53">
        <f t="shared" si="1"/>
        <v>9.770992366412214</v>
      </c>
      <c r="AW39" s="26" t="str">
        <f>'15'!AW39</f>
        <v>دمــــــــــــــهوج</v>
      </c>
      <c r="AX39" s="12">
        <f>'15'!AX39</f>
        <v>2</v>
      </c>
      <c r="AY39" s="12">
        <f>'15'!AY39</f>
        <v>1086</v>
      </c>
      <c r="AZ39" s="12"/>
      <c r="BA39" s="12"/>
      <c r="BB39" s="12">
        <f>BA39+'15'!BB39</f>
        <v>834</v>
      </c>
      <c r="BC39" s="30">
        <f t="shared" si="2"/>
        <v>0.76795580110497241</v>
      </c>
      <c r="BD39" s="12">
        <f>'15'!BD39</f>
        <v>10</v>
      </c>
      <c r="BE39" s="12">
        <f>'15'!BE39</f>
        <v>455</v>
      </c>
      <c r="BF39" s="12"/>
      <c r="BG39" s="12"/>
      <c r="BH39" s="12">
        <f>BG39+'15'!BH39</f>
        <v>439</v>
      </c>
      <c r="BI39" s="30">
        <f t="shared" si="3"/>
        <v>0.96483516483516485</v>
      </c>
    </row>
    <row r="40" spans="1:61" ht="28.9" customHeight="1" x14ac:dyDescent="0.35">
      <c r="A40" s="5">
        <v>30</v>
      </c>
      <c r="B40" s="26" t="str">
        <f>'15'!B40</f>
        <v>كفر زين الدين</v>
      </c>
      <c r="C40" s="26">
        <f>'15'!C40</f>
        <v>819</v>
      </c>
      <c r="D40" s="26"/>
      <c r="E40" s="12"/>
      <c r="F40" s="2">
        <f>E40+'15'!F40</f>
        <v>9</v>
      </c>
      <c r="G40" s="2"/>
      <c r="H40" s="2">
        <f>G40+'15'!H40</f>
        <v>266</v>
      </c>
      <c r="I40" s="2"/>
      <c r="J40" s="2">
        <f>I40+'15'!J40</f>
        <v>430</v>
      </c>
      <c r="K40" s="2"/>
      <c r="L40" s="2">
        <f>K40+'15'!L40</f>
        <v>0</v>
      </c>
      <c r="M40" s="2"/>
      <c r="N40" s="2">
        <f>M40+'15'!N40</f>
        <v>0</v>
      </c>
      <c r="O40" s="2"/>
      <c r="P40" s="2">
        <f>O40+'15'!P40</f>
        <v>0</v>
      </c>
      <c r="Q40" s="4">
        <f t="shared" si="4"/>
        <v>0</v>
      </c>
      <c r="R40" s="4">
        <f>Q40+'15'!R40</f>
        <v>705</v>
      </c>
      <c r="S40" s="27">
        <f t="shared" si="5"/>
        <v>0.86080586080586086</v>
      </c>
      <c r="T40" s="12"/>
      <c r="U40" s="12">
        <f>T40+'15'!U40</f>
        <v>76</v>
      </c>
      <c r="V40" s="12"/>
      <c r="W40" s="12">
        <f>V40+'15'!W40</f>
        <v>26</v>
      </c>
      <c r="X40" s="12"/>
      <c r="Y40" s="12">
        <f>X40+'15'!Y40</f>
        <v>0</v>
      </c>
      <c r="AB40" s="5">
        <v>30</v>
      </c>
      <c r="AC40" s="26" t="str">
        <f>'15'!AC40</f>
        <v>كفر زين الدين</v>
      </c>
      <c r="AD40" s="28">
        <f>'15'!AI40</f>
        <v>9</v>
      </c>
      <c r="AE40" s="3"/>
      <c r="AF40" s="28">
        <f>AE40+'15'!AF40</f>
        <v>80</v>
      </c>
      <c r="AG40" s="4"/>
      <c r="AH40" s="28">
        <f>AG40+'15'!AH40</f>
        <v>71</v>
      </c>
      <c r="AI40" s="4">
        <f t="shared" si="6"/>
        <v>9</v>
      </c>
      <c r="AJ40" s="11" t="e">
        <f t="shared" si="0"/>
        <v>#DIV/0!</v>
      </c>
      <c r="AK40" s="53">
        <f t="shared" si="1"/>
        <v>9.929577464788732</v>
      </c>
      <c r="AW40" s="26" t="str">
        <f>'15'!AW40</f>
        <v>كفر زين الدين</v>
      </c>
      <c r="AX40" s="12">
        <f>'15'!AX40</f>
        <v>1</v>
      </c>
      <c r="AY40" s="12">
        <f>'15'!AY40</f>
        <v>563</v>
      </c>
      <c r="AZ40" s="12"/>
      <c r="BA40" s="12"/>
      <c r="BB40" s="12">
        <f>BA40+'15'!BB40</f>
        <v>364</v>
      </c>
      <c r="BC40" s="30">
        <f t="shared" si="2"/>
        <v>0.64653641207815271</v>
      </c>
      <c r="BD40" s="12">
        <f>'15'!BD40</f>
        <v>2</v>
      </c>
      <c r="BE40" s="12">
        <f>'15'!BE40</f>
        <v>87</v>
      </c>
      <c r="BF40" s="12"/>
      <c r="BG40" s="12"/>
      <c r="BH40" s="12">
        <f>BG40+'15'!BH40</f>
        <v>166</v>
      </c>
      <c r="BI40" s="30">
        <f t="shared" si="3"/>
        <v>1.9080459770114941</v>
      </c>
    </row>
    <row r="41" spans="1:61" ht="28.9" customHeight="1" x14ac:dyDescent="0.35">
      <c r="A41" s="5">
        <v>31</v>
      </c>
      <c r="B41" s="26" t="str">
        <f>'15'!B41</f>
        <v>عزبــة أبوالنصر</v>
      </c>
      <c r="C41" s="26">
        <f>'15'!C41</f>
        <v>410</v>
      </c>
      <c r="D41" s="26"/>
      <c r="E41" s="12"/>
      <c r="F41" s="2">
        <f>E41+'15'!F41</f>
        <v>10</v>
      </c>
      <c r="G41" s="2"/>
      <c r="H41" s="2">
        <f>G41+'15'!H41</f>
        <v>229</v>
      </c>
      <c r="I41" s="2"/>
      <c r="J41" s="2">
        <f>I41+'15'!J41</f>
        <v>120</v>
      </c>
      <c r="K41" s="2"/>
      <c r="L41" s="2">
        <f>K41+'15'!L41</f>
        <v>0</v>
      </c>
      <c r="M41" s="2"/>
      <c r="N41" s="2">
        <f>M41+'15'!N41</f>
        <v>0</v>
      </c>
      <c r="O41" s="2"/>
      <c r="P41" s="2">
        <f>O41+'15'!P41</f>
        <v>0</v>
      </c>
      <c r="Q41" s="4">
        <f t="shared" si="4"/>
        <v>0</v>
      </c>
      <c r="R41" s="4">
        <f>Q41+'15'!R41</f>
        <v>359</v>
      </c>
      <c r="S41" s="27">
        <f t="shared" si="5"/>
        <v>0.87560975609756098</v>
      </c>
      <c r="T41" s="12"/>
      <c r="U41" s="12">
        <f>T41+'15'!U41</f>
        <v>0</v>
      </c>
      <c r="V41" s="12"/>
      <c r="W41" s="12">
        <f>V41+'15'!W41</f>
        <v>0</v>
      </c>
      <c r="X41" s="12"/>
      <c r="Y41" s="12">
        <f>X41+'15'!Y41</f>
        <v>0</v>
      </c>
      <c r="AB41" s="5">
        <v>31</v>
      </c>
      <c r="AC41" s="26" t="str">
        <f>'15'!AC41</f>
        <v>عزبــة أبوالنصر</v>
      </c>
      <c r="AD41" s="28">
        <f>'15'!AI41</f>
        <v>4</v>
      </c>
      <c r="AE41" s="3"/>
      <c r="AF41" s="28">
        <f>AE41+'15'!AF41</f>
        <v>41</v>
      </c>
      <c r="AG41" s="4"/>
      <c r="AH41" s="28">
        <f>AG41+'15'!AH41</f>
        <v>37</v>
      </c>
      <c r="AI41" s="4">
        <f t="shared" si="6"/>
        <v>4</v>
      </c>
      <c r="AJ41" s="11" t="e">
        <f t="shared" si="0"/>
        <v>#DIV/0!</v>
      </c>
      <c r="AK41" s="53">
        <f t="shared" si="1"/>
        <v>9.7027027027027035</v>
      </c>
      <c r="AW41" s="26" t="str">
        <f>'15'!AW41</f>
        <v>عزبــة أبوالنصر</v>
      </c>
      <c r="AX41" s="12">
        <f>'15'!AX41</f>
        <v>2</v>
      </c>
      <c r="AY41" s="12">
        <f>'15'!AY41</f>
        <v>70</v>
      </c>
      <c r="AZ41" s="12"/>
      <c r="BA41" s="12"/>
      <c r="BB41" s="12">
        <f>BA41+'15'!BB41</f>
        <v>65</v>
      </c>
      <c r="BC41" s="30">
        <f t="shared" si="2"/>
        <v>0.9285714285714286</v>
      </c>
      <c r="BD41" s="12">
        <f>'15'!BD41</f>
        <v>3</v>
      </c>
      <c r="BE41" s="12">
        <f>'15'!BE41</f>
        <v>75</v>
      </c>
      <c r="BF41" s="12"/>
      <c r="BG41" s="12"/>
      <c r="BH41" s="12">
        <f>BG41+'15'!BH41</f>
        <v>36</v>
      </c>
      <c r="BI41" s="30">
        <f t="shared" si="3"/>
        <v>0.48</v>
      </c>
    </row>
    <row r="42" spans="1:61" ht="28.9" customHeight="1" x14ac:dyDescent="0.35">
      <c r="A42" s="5">
        <v>32</v>
      </c>
      <c r="B42" s="26" t="str">
        <f>'15'!B42</f>
        <v>شمنديــــــــــــــل</v>
      </c>
      <c r="C42" s="26">
        <f>'15'!C42</f>
        <v>880</v>
      </c>
      <c r="D42" s="26"/>
      <c r="E42" s="12"/>
      <c r="F42" s="2">
        <f>E42+'15'!F42</f>
        <v>7</v>
      </c>
      <c r="G42" s="2"/>
      <c r="H42" s="2">
        <f>G42+'15'!H42</f>
        <v>219</v>
      </c>
      <c r="I42" s="2"/>
      <c r="J42" s="2">
        <f>I42+'15'!J42</f>
        <v>421</v>
      </c>
      <c r="K42" s="2"/>
      <c r="L42" s="2">
        <f>K42+'15'!L42</f>
        <v>0</v>
      </c>
      <c r="M42" s="2"/>
      <c r="N42" s="2">
        <f>M42+'15'!N42</f>
        <v>0</v>
      </c>
      <c r="O42" s="2"/>
      <c r="P42" s="2">
        <f>O42+'15'!P42</f>
        <v>0</v>
      </c>
      <c r="Q42" s="4">
        <f t="shared" si="4"/>
        <v>0</v>
      </c>
      <c r="R42" s="4">
        <f>Q42+'15'!R42</f>
        <v>647</v>
      </c>
      <c r="S42" s="27">
        <f t="shared" si="5"/>
        <v>0.73522727272727273</v>
      </c>
      <c r="T42" s="12"/>
      <c r="U42" s="12">
        <f>T42+'15'!U42</f>
        <v>69</v>
      </c>
      <c r="V42" s="12"/>
      <c r="W42" s="12">
        <f>V42+'15'!W42</f>
        <v>11</v>
      </c>
      <c r="X42" s="12"/>
      <c r="Y42" s="12">
        <f>X42+'15'!Y42</f>
        <v>0</v>
      </c>
      <c r="AB42" s="5">
        <v>32</v>
      </c>
      <c r="AC42" s="26" t="str">
        <f>'15'!AC42</f>
        <v>شمنديــــــــــــــل</v>
      </c>
      <c r="AD42" s="28">
        <f>'15'!AI42</f>
        <v>9</v>
      </c>
      <c r="AE42" s="3"/>
      <c r="AF42" s="28">
        <f>AE42+'15'!AF42</f>
        <v>78</v>
      </c>
      <c r="AG42" s="4"/>
      <c r="AH42" s="28">
        <f>AG42+'15'!AH42</f>
        <v>69</v>
      </c>
      <c r="AI42" s="4">
        <f t="shared" si="6"/>
        <v>9</v>
      </c>
      <c r="AJ42" s="11" t="e">
        <f t="shared" si="0"/>
        <v>#DIV/0!</v>
      </c>
      <c r="AK42" s="53">
        <f t="shared" si="1"/>
        <v>9.3768115942028984</v>
      </c>
      <c r="AW42" s="26" t="str">
        <f>'15'!AW42</f>
        <v>شمنديــــــــــــــل</v>
      </c>
      <c r="AX42" s="12">
        <f>'15'!AX42</f>
        <v>2</v>
      </c>
      <c r="AY42" s="12">
        <f>'15'!AY42</f>
        <v>569</v>
      </c>
      <c r="AZ42" s="12"/>
      <c r="BA42" s="12"/>
      <c r="BB42" s="12">
        <f>BA42+'15'!BB42</f>
        <v>453</v>
      </c>
      <c r="BC42" s="30">
        <f t="shared" si="2"/>
        <v>0.79613356766256593</v>
      </c>
      <c r="BD42" s="12">
        <f>'15'!BD42</f>
        <v>1</v>
      </c>
      <c r="BE42" s="12">
        <f>'15'!BE42</f>
        <v>39</v>
      </c>
      <c r="BF42" s="12"/>
      <c r="BG42" s="12"/>
      <c r="BH42" s="12">
        <f>BG42+'15'!BH42</f>
        <v>82</v>
      </c>
      <c r="BI42" s="30">
        <f t="shared" si="3"/>
        <v>2.1025641025641026</v>
      </c>
    </row>
    <row r="43" spans="1:61" ht="28.9" customHeight="1" x14ac:dyDescent="0.35">
      <c r="A43" s="5">
        <v>33</v>
      </c>
      <c r="B43" s="26" t="str">
        <f>'15'!B43</f>
        <v>كفور الرمل</v>
      </c>
      <c r="C43" s="26">
        <f>'15'!C43</f>
        <v>1721</v>
      </c>
      <c r="D43" s="26"/>
      <c r="E43" s="12"/>
      <c r="F43" s="2">
        <f>E43+'15'!F43</f>
        <v>17</v>
      </c>
      <c r="G43" s="2"/>
      <c r="H43" s="2">
        <f>G43+'15'!H43</f>
        <v>505</v>
      </c>
      <c r="I43" s="2"/>
      <c r="J43" s="2">
        <f>I43+'15'!J43</f>
        <v>718</v>
      </c>
      <c r="K43" s="2"/>
      <c r="L43" s="2">
        <f>K43+'15'!L43</f>
        <v>0</v>
      </c>
      <c r="M43" s="2"/>
      <c r="N43" s="2">
        <f>M43+'15'!N43</f>
        <v>0</v>
      </c>
      <c r="O43" s="2"/>
      <c r="P43" s="2">
        <f>O43+'15'!P43</f>
        <v>0</v>
      </c>
      <c r="Q43" s="4">
        <f t="shared" si="4"/>
        <v>0</v>
      </c>
      <c r="R43" s="4">
        <f>Q43+'15'!R43</f>
        <v>1240</v>
      </c>
      <c r="S43" s="27">
        <f t="shared" si="5"/>
        <v>0.72051133062173156</v>
      </c>
      <c r="T43" s="12"/>
      <c r="U43" s="12">
        <f>T43+'15'!U43</f>
        <v>192</v>
      </c>
      <c r="V43" s="12"/>
      <c r="W43" s="12">
        <f>V43+'15'!W43</f>
        <v>100</v>
      </c>
      <c r="X43" s="12"/>
      <c r="Y43" s="12">
        <f>X43+'15'!Y43</f>
        <v>0</v>
      </c>
      <c r="AB43" s="5">
        <v>33</v>
      </c>
      <c r="AC43" s="26" t="str">
        <f>'15'!AC43</f>
        <v>كفور الرمل</v>
      </c>
      <c r="AD43" s="28">
        <f>'15'!AI43</f>
        <v>15</v>
      </c>
      <c r="AE43" s="3"/>
      <c r="AF43" s="28">
        <f>AE43+'15'!AF43</f>
        <v>150</v>
      </c>
      <c r="AG43" s="4"/>
      <c r="AH43" s="28">
        <f>AG43+'15'!AH43</f>
        <v>135</v>
      </c>
      <c r="AI43" s="4">
        <f t="shared" si="6"/>
        <v>15</v>
      </c>
      <c r="AJ43" s="11" t="e">
        <f t="shared" si="0"/>
        <v>#DIV/0!</v>
      </c>
      <c r="AK43" s="53">
        <f t="shared" si="1"/>
        <v>9.1851851851851851</v>
      </c>
      <c r="AW43" s="26" t="str">
        <f>'15'!AW43</f>
        <v>كفور الرمل</v>
      </c>
      <c r="AX43" s="12">
        <f>'15'!AX43</f>
        <v>4</v>
      </c>
      <c r="AY43" s="12">
        <f>'15'!AY43</f>
        <v>1335</v>
      </c>
      <c r="AZ43" s="12"/>
      <c r="BA43" s="12"/>
      <c r="BB43" s="12">
        <f>BA43+'15'!BB43</f>
        <v>918</v>
      </c>
      <c r="BC43" s="30">
        <f t="shared" si="2"/>
        <v>0.68764044943820224</v>
      </c>
      <c r="BD43" s="12">
        <f>'15'!BD43</f>
        <v>7</v>
      </c>
      <c r="BE43" s="12">
        <f>'15'!BE43</f>
        <v>753</v>
      </c>
      <c r="BF43" s="12"/>
      <c r="BG43" s="12"/>
      <c r="BH43" s="12">
        <f>BG43+'15'!BH43</f>
        <v>414</v>
      </c>
      <c r="BI43" s="30">
        <f t="shared" si="3"/>
        <v>0.54980079681274896</v>
      </c>
    </row>
    <row r="44" spans="1:61" ht="28.9" customHeight="1" x14ac:dyDescent="0.35">
      <c r="A44" s="5">
        <v>34</v>
      </c>
      <c r="B44" s="26" t="str">
        <f>'15'!B44</f>
        <v>منشأة أم خنان</v>
      </c>
      <c r="C44" s="26">
        <f>'15'!C44</f>
        <v>510</v>
      </c>
      <c r="D44" s="26"/>
      <c r="E44" s="12"/>
      <c r="F44" s="2">
        <f>E44+'15'!F44</f>
        <v>12</v>
      </c>
      <c r="G44" s="2"/>
      <c r="H44" s="2">
        <f>G44+'15'!H44</f>
        <v>194</v>
      </c>
      <c r="I44" s="2"/>
      <c r="J44" s="2">
        <f>I44+'15'!J44</f>
        <v>291</v>
      </c>
      <c r="K44" s="2"/>
      <c r="L44" s="2">
        <f>K44+'15'!L44</f>
        <v>0</v>
      </c>
      <c r="M44" s="2"/>
      <c r="N44" s="2">
        <f>M44+'15'!N44</f>
        <v>0</v>
      </c>
      <c r="O44" s="2"/>
      <c r="P44" s="2">
        <f>O44+'15'!P44</f>
        <v>0</v>
      </c>
      <c r="Q44" s="4">
        <f t="shared" si="4"/>
        <v>0</v>
      </c>
      <c r="R44" s="4">
        <f>Q44+'15'!R44</f>
        <v>497</v>
      </c>
      <c r="S44" s="27">
        <f t="shared" si="5"/>
        <v>0.97450980392156861</v>
      </c>
      <c r="T44" s="12"/>
      <c r="U44" s="12">
        <f>T44+'15'!U44</f>
        <v>11</v>
      </c>
      <c r="V44" s="12"/>
      <c r="W44" s="12">
        <f>V44+'15'!W44</f>
        <v>7</v>
      </c>
      <c r="X44" s="12"/>
      <c r="Y44" s="12">
        <f>X44+'15'!Y44</f>
        <v>0</v>
      </c>
      <c r="AB44" s="5">
        <v>34</v>
      </c>
      <c r="AC44" s="26" t="str">
        <f>'15'!AC44</f>
        <v>منشأة أم خنان</v>
      </c>
      <c r="AD44" s="28">
        <f>'15'!AI44</f>
        <v>4</v>
      </c>
      <c r="AE44" s="3"/>
      <c r="AF44" s="28">
        <f>AE44+'15'!AF44</f>
        <v>55</v>
      </c>
      <c r="AG44" s="4"/>
      <c r="AH44" s="28">
        <f>AG44+'15'!AH44</f>
        <v>51</v>
      </c>
      <c r="AI44" s="4">
        <f t="shared" si="6"/>
        <v>4</v>
      </c>
      <c r="AJ44" s="11" t="e">
        <f t="shared" si="0"/>
        <v>#DIV/0!</v>
      </c>
      <c r="AK44" s="53">
        <f t="shared" si="1"/>
        <v>9.7450980392156854</v>
      </c>
      <c r="AW44" s="26" t="str">
        <f>'15'!AW44</f>
        <v>منشأة أم خنان</v>
      </c>
      <c r="AX44" s="12">
        <f>'15'!AX44</f>
        <v>1</v>
      </c>
      <c r="AY44" s="12">
        <f>'15'!AY44</f>
        <v>277</v>
      </c>
      <c r="AZ44" s="12"/>
      <c r="BA44" s="12"/>
      <c r="BB44" s="12">
        <f>BA44+'15'!BB44</f>
        <v>269</v>
      </c>
      <c r="BC44" s="30">
        <f t="shared" si="2"/>
        <v>0.97111913357400725</v>
      </c>
      <c r="BD44" s="12">
        <f>'15'!BD44</f>
        <v>3</v>
      </c>
      <c r="BE44" s="12">
        <f>'15'!BE44</f>
        <v>170</v>
      </c>
      <c r="BF44" s="12"/>
      <c r="BG44" s="12"/>
      <c r="BH44" s="12">
        <f>BG44+'15'!BH44</f>
        <v>115</v>
      </c>
      <c r="BI44" s="30">
        <f t="shared" si="3"/>
        <v>0.67647058823529416</v>
      </c>
    </row>
    <row r="45" spans="1:61" ht="28.9" customHeight="1" x14ac:dyDescent="0.35">
      <c r="A45" s="5">
        <v>35</v>
      </c>
      <c r="B45" s="26">
        <f>'15'!B45</f>
        <v>0</v>
      </c>
      <c r="C45" s="26">
        <f>'15'!C45</f>
        <v>0</v>
      </c>
      <c r="D45" s="26"/>
      <c r="E45" s="12"/>
      <c r="F45" s="2">
        <f>E45+'15'!F45</f>
        <v>0</v>
      </c>
      <c r="G45" s="2"/>
      <c r="H45" s="2">
        <f>G45+'15'!H45</f>
        <v>0</v>
      </c>
      <c r="I45" s="2"/>
      <c r="J45" s="2">
        <f>I45+'15'!J45</f>
        <v>0</v>
      </c>
      <c r="K45" s="2"/>
      <c r="L45" s="2">
        <f>K45+'15'!L45</f>
        <v>0</v>
      </c>
      <c r="M45" s="2"/>
      <c r="N45" s="2">
        <f>M45+'15'!N45</f>
        <v>0</v>
      </c>
      <c r="O45" s="2"/>
      <c r="P45" s="2">
        <f>O45+'15'!P45</f>
        <v>0</v>
      </c>
      <c r="Q45" s="4">
        <f t="shared" si="4"/>
        <v>0</v>
      </c>
      <c r="R45" s="4">
        <f>Q45+'15'!R45</f>
        <v>0</v>
      </c>
      <c r="S45" s="27" t="e">
        <f t="shared" si="5"/>
        <v>#DIV/0!</v>
      </c>
      <c r="T45" s="12"/>
      <c r="U45" s="12">
        <f>T45+'15'!U45</f>
        <v>0</v>
      </c>
      <c r="V45" s="12"/>
      <c r="W45" s="12">
        <f>V45+'15'!W45</f>
        <v>0</v>
      </c>
      <c r="X45" s="12"/>
      <c r="Y45" s="12">
        <f>X45+'15'!Y45</f>
        <v>0</v>
      </c>
      <c r="AB45" s="5">
        <v>35</v>
      </c>
      <c r="AC45" s="26">
        <f>'15'!AC45</f>
        <v>0</v>
      </c>
      <c r="AD45" s="28">
        <f>'15'!AI45</f>
        <v>0</v>
      </c>
      <c r="AE45" s="3"/>
      <c r="AF45" s="28">
        <f>AE45+'15'!AF45</f>
        <v>0</v>
      </c>
      <c r="AG45" s="4"/>
      <c r="AH45" s="28">
        <f>AG45+'15'!AH45</f>
        <v>0</v>
      </c>
      <c r="AI45" s="4">
        <f t="shared" si="6"/>
        <v>0</v>
      </c>
      <c r="AJ45" s="11" t="e">
        <f t="shared" si="0"/>
        <v>#DIV/0!</v>
      </c>
      <c r="AK45" s="53" t="e">
        <f t="shared" si="1"/>
        <v>#DIV/0!</v>
      </c>
      <c r="AW45" s="26">
        <f>'15'!AW45</f>
        <v>0</v>
      </c>
      <c r="AX45" s="12">
        <f>'15'!AX45</f>
        <v>0</v>
      </c>
      <c r="AY45" s="12">
        <f>'15'!AY45</f>
        <v>0</v>
      </c>
      <c r="AZ45" s="12"/>
      <c r="BA45" s="12"/>
      <c r="BB45" s="12">
        <f>BA45+'15'!BB45</f>
        <v>0</v>
      </c>
      <c r="BC45" s="30" t="e">
        <f t="shared" si="2"/>
        <v>#DIV/0!</v>
      </c>
      <c r="BD45" s="12">
        <f>'15'!BD45</f>
        <v>0</v>
      </c>
      <c r="BE45" s="12">
        <f>'15'!BE45</f>
        <v>0</v>
      </c>
      <c r="BF45" s="12"/>
      <c r="BG45" s="12"/>
      <c r="BH45" s="12">
        <f>BG45+'15'!BH45</f>
        <v>0</v>
      </c>
      <c r="BI45" s="30" t="e">
        <f t="shared" si="3"/>
        <v>#DIV/0!</v>
      </c>
    </row>
    <row r="46" spans="1:61" ht="28.9" customHeight="1" x14ac:dyDescent="0.35">
      <c r="A46" s="5">
        <v>36</v>
      </c>
      <c r="B46" s="26">
        <f>'15'!B46</f>
        <v>0</v>
      </c>
      <c r="C46" s="26">
        <f>'15'!C46</f>
        <v>0</v>
      </c>
      <c r="D46" s="26"/>
      <c r="E46" s="12"/>
      <c r="F46" s="2">
        <f>E46+'15'!F46</f>
        <v>0</v>
      </c>
      <c r="G46" s="2"/>
      <c r="H46" s="2">
        <f>G46+'15'!H46</f>
        <v>0</v>
      </c>
      <c r="I46" s="2"/>
      <c r="J46" s="2">
        <f>I46+'15'!J46</f>
        <v>0</v>
      </c>
      <c r="K46" s="2"/>
      <c r="L46" s="2">
        <f>K46+'15'!L46</f>
        <v>0</v>
      </c>
      <c r="M46" s="2"/>
      <c r="N46" s="2">
        <f>M46+'15'!N46</f>
        <v>0</v>
      </c>
      <c r="O46" s="2"/>
      <c r="P46" s="2">
        <f>O46+'15'!P46</f>
        <v>0</v>
      </c>
      <c r="Q46" s="4">
        <f t="shared" si="4"/>
        <v>0</v>
      </c>
      <c r="R46" s="4">
        <f>Q46+'15'!R46</f>
        <v>0</v>
      </c>
      <c r="S46" s="27" t="e">
        <f t="shared" si="5"/>
        <v>#DIV/0!</v>
      </c>
      <c r="T46" s="12"/>
      <c r="U46" s="12">
        <f>T46+'15'!U46</f>
        <v>0</v>
      </c>
      <c r="V46" s="12"/>
      <c r="W46" s="12">
        <f>V46+'15'!W46</f>
        <v>0</v>
      </c>
      <c r="X46" s="12"/>
      <c r="Y46" s="12">
        <f>X46+'15'!Y46</f>
        <v>0</v>
      </c>
      <c r="AB46" s="5">
        <v>36</v>
      </c>
      <c r="AC46" s="26">
        <f>'15'!AC46</f>
        <v>0</v>
      </c>
      <c r="AD46" s="28">
        <f>'15'!AI46</f>
        <v>0</v>
      </c>
      <c r="AE46" s="3"/>
      <c r="AF46" s="28">
        <f>AE46+'15'!AF46</f>
        <v>0</v>
      </c>
      <c r="AG46" s="4"/>
      <c r="AH46" s="28">
        <f>AG46+'15'!AH46</f>
        <v>0</v>
      </c>
      <c r="AI46" s="4">
        <f t="shared" si="6"/>
        <v>0</v>
      </c>
      <c r="AJ46" s="11" t="e">
        <f t="shared" si="0"/>
        <v>#DIV/0!</v>
      </c>
      <c r="AK46" s="53" t="e">
        <f t="shared" si="1"/>
        <v>#DIV/0!</v>
      </c>
      <c r="AW46" s="26">
        <f>'15'!AW46</f>
        <v>0</v>
      </c>
      <c r="AX46" s="12">
        <f>'15'!AX46</f>
        <v>0</v>
      </c>
      <c r="AY46" s="12">
        <f>'15'!AY46</f>
        <v>0</v>
      </c>
      <c r="AZ46" s="12"/>
      <c r="BA46" s="12"/>
      <c r="BB46" s="12">
        <f>BA46+'15'!BB46</f>
        <v>0</v>
      </c>
      <c r="BC46" s="30" t="e">
        <f t="shared" si="2"/>
        <v>#DIV/0!</v>
      </c>
      <c r="BD46" s="12">
        <f>'15'!BD46</f>
        <v>0</v>
      </c>
      <c r="BE46" s="12">
        <f>'15'!BE46</f>
        <v>0</v>
      </c>
      <c r="BF46" s="12"/>
      <c r="BG46" s="12"/>
      <c r="BH46" s="12">
        <f>BG46+'15'!BH46</f>
        <v>0</v>
      </c>
      <c r="BI46" s="30" t="e">
        <f t="shared" si="3"/>
        <v>#DIV/0!</v>
      </c>
    </row>
    <row r="47" spans="1:61" ht="28.9" customHeight="1" x14ac:dyDescent="0.35">
      <c r="A47" s="5">
        <v>37</v>
      </c>
      <c r="B47" s="26">
        <f>'15'!B47</f>
        <v>0</v>
      </c>
      <c r="C47" s="26">
        <f>'15'!C47</f>
        <v>0</v>
      </c>
      <c r="D47" s="26"/>
      <c r="E47" s="12"/>
      <c r="F47" s="2">
        <f>E47+'15'!F47</f>
        <v>0</v>
      </c>
      <c r="G47" s="2"/>
      <c r="H47" s="2">
        <f>G47+'15'!H47</f>
        <v>0</v>
      </c>
      <c r="I47" s="2"/>
      <c r="J47" s="2">
        <f>I47+'15'!J47</f>
        <v>0</v>
      </c>
      <c r="K47" s="2"/>
      <c r="L47" s="2">
        <f>K47+'15'!L47</f>
        <v>0</v>
      </c>
      <c r="M47" s="2"/>
      <c r="N47" s="2">
        <f>M47+'15'!N47</f>
        <v>0</v>
      </c>
      <c r="O47" s="2"/>
      <c r="P47" s="2">
        <f>O47+'15'!P47</f>
        <v>0</v>
      </c>
      <c r="Q47" s="4">
        <f t="shared" si="4"/>
        <v>0</v>
      </c>
      <c r="R47" s="4">
        <f>Q47+'15'!R47</f>
        <v>0</v>
      </c>
      <c r="S47" s="27" t="e">
        <f t="shared" si="5"/>
        <v>#DIV/0!</v>
      </c>
      <c r="T47" s="12"/>
      <c r="U47" s="12">
        <f>T47+'15'!U47</f>
        <v>0</v>
      </c>
      <c r="V47" s="12"/>
      <c r="W47" s="12">
        <f>V47+'15'!W47</f>
        <v>0</v>
      </c>
      <c r="X47" s="12"/>
      <c r="Y47" s="12">
        <f>X47+'15'!Y47</f>
        <v>0</v>
      </c>
      <c r="AB47" s="5">
        <v>37</v>
      </c>
      <c r="AC47" s="26">
        <f>'15'!AC47</f>
        <v>0</v>
      </c>
      <c r="AD47" s="28">
        <f>'15'!AI47</f>
        <v>0</v>
      </c>
      <c r="AE47" s="3"/>
      <c r="AF47" s="28">
        <f>AE47+'15'!AF47</f>
        <v>0</v>
      </c>
      <c r="AG47" s="4"/>
      <c r="AH47" s="28">
        <f>AG47+'15'!AH47</f>
        <v>0</v>
      </c>
      <c r="AI47" s="4">
        <f t="shared" si="6"/>
        <v>0</v>
      </c>
      <c r="AJ47" s="11" t="e">
        <f t="shared" si="0"/>
        <v>#DIV/0!</v>
      </c>
      <c r="AK47" s="53" t="e">
        <f t="shared" si="1"/>
        <v>#DIV/0!</v>
      </c>
      <c r="AW47" s="26">
        <f>'15'!AW47</f>
        <v>0</v>
      </c>
      <c r="AX47" s="12">
        <f>'15'!AX47</f>
        <v>0</v>
      </c>
      <c r="AY47" s="12">
        <f>'15'!AY47</f>
        <v>0</v>
      </c>
      <c r="AZ47" s="12"/>
      <c r="BA47" s="12"/>
      <c r="BB47" s="12">
        <f>BA47+'15'!BB47</f>
        <v>0</v>
      </c>
      <c r="BC47" s="30" t="e">
        <f t="shared" si="2"/>
        <v>#DIV/0!</v>
      </c>
      <c r="BD47" s="12">
        <f>'15'!BD47</f>
        <v>0</v>
      </c>
      <c r="BE47" s="12">
        <f>'15'!BE47</f>
        <v>0</v>
      </c>
      <c r="BF47" s="12"/>
      <c r="BG47" s="12"/>
      <c r="BH47" s="12">
        <f>BG47+'15'!BH47</f>
        <v>0</v>
      </c>
      <c r="BI47" s="30" t="e">
        <f t="shared" si="3"/>
        <v>#DIV/0!</v>
      </c>
    </row>
    <row r="48" spans="1:61" ht="28.9" customHeight="1" x14ac:dyDescent="0.35">
      <c r="A48" s="5">
        <v>38</v>
      </c>
      <c r="B48" s="26">
        <f>'15'!B48</f>
        <v>0</v>
      </c>
      <c r="C48" s="26">
        <f>'15'!C48</f>
        <v>0</v>
      </c>
      <c r="D48" s="26"/>
      <c r="E48" s="12"/>
      <c r="F48" s="2">
        <f>E48+'15'!F48</f>
        <v>0</v>
      </c>
      <c r="G48" s="2"/>
      <c r="H48" s="2">
        <f>G48+'15'!H48</f>
        <v>0</v>
      </c>
      <c r="I48" s="2"/>
      <c r="J48" s="2">
        <f>I48+'15'!J48</f>
        <v>0</v>
      </c>
      <c r="K48" s="2"/>
      <c r="L48" s="2">
        <f>K48+'15'!L48</f>
        <v>0</v>
      </c>
      <c r="M48" s="2"/>
      <c r="N48" s="2">
        <f>M48+'15'!N48</f>
        <v>0</v>
      </c>
      <c r="O48" s="2"/>
      <c r="P48" s="2">
        <f>O48+'15'!P48</f>
        <v>0</v>
      </c>
      <c r="Q48" s="4">
        <f t="shared" si="4"/>
        <v>0</v>
      </c>
      <c r="R48" s="4">
        <f>Q48+'15'!R48</f>
        <v>0</v>
      </c>
      <c r="S48" s="27" t="e">
        <f t="shared" si="5"/>
        <v>#DIV/0!</v>
      </c>
      <c r="T48" s="12"/>
      <c r="U48" s="12">
        <f>T48+'15'!U48</f>
        <v>0</v>
      </c>
      <c r="V48" s="12"/>
      <c r="W48" s="12">
        <f>V48+'15'!W48</f>
        <v>0</v>
      </c>
      <c r="X48" s="12"/>
      <c r="Y48" s="12">
        <f>X48+'15'!Y48</f>
        <v>0</v>
      </c>
      <c r="AB48" s="5">
        <v>38</v>
      </c>
      <c r="AC48" s="26">
        <f>'15'!AC48</f>
        <v>0</v>
      </c>
      <c r="AD48" s="28">
        <f>'15'!AI48</f>
        <v>0</v>
      </c>
      <c r="AE48" s="3"/>
      <c r="AF48" s="28">
        <f>AE48+'15'!AF48</f>
        <v>0</v>
      </c>
      <c r="AG48" s="4"/>
      <c r="AH48" s="28">
        <f>AG48+'15'!AH48</f>
        <v>0</v>
      </c>
      <c r="AI48" s="4">
        <f t="shared" si="6"/>
        <v>0</v>
      </c>
      <c r="AJ48" s="11" t="e">
        <f t="shared" si="0"/>
        <v>#DIV/0!</v>
      </c>
      <c r="AK48" s="53" t="e">
        <f t="shared" si="1"/>
        <v>#DIV/0!</v>
      </c>
      <c r="AW48" s="26">
        <f>'15'!AW48</f>
        <v>0</v>
      </c>
      <c r="AX48" s="12">
        <f>'15'!AX48</f>
        <v>0</v>
      </c>
      <c r="AY48" s="12">
        <f>'15'!AY48</f>
        <v>0</v>
      </c>
      <c r="AZ48" s="12"/>
      <c r="BA48" s="12"/>
      <c r="BB48" s="12">
        <f>BA48+'15'!BB48</f>
        <v>0</v>
      </c>
      <c r="BC48" s="30" t="e">
        <f t="shared" si="2"/>
        <v>#DIV/0!</v>
      </c>
      <c r="BD48" s="12">
        <f>'15'!BD48</f>
        <v>0</v>
      </c>
      <c r="BE48" s="12">
        <f>'15'!BE48</f>
        <v>0</v>
      </c>
      <c r="BF48" s="12"/>
      <c r="BG48" s="12"/>
      <c r="BH48" s="12">
        <f>BG48+'15'!BH48</f>
        <v>0</v>
      </c>
      <c r="BI48" s="30" t="e">
        <f t="shared" si="3"/>
        <v>#DIV/0!</v>
      </c>
    </row>
    <row r="49" spans="1:61" ht="28.9" customHeight="1" x14ac:dyDescent="0.35">
      <c r="A49" s="5">
        <v>39</v>
      </c>
      <c r="B49" s="26">
        <f>'15'!B49</f>
        <v>0</v>
      </c>
      <c r="C49" s="26">
        <f>'15'!C49</f>
        <v>0</v>
      </c>
      <c r="D49" s="26"/>
      <c r="E49" s="12"/>
      <c r="F49" s="2">
        <f>E49+'15'!F49</f>
        <v>0</v>
      </c>
      <c r="G49" s="2"/>
      <c r="H49" s="2">
        <f>G49+'15'!H49</f>
        <v>0</v>
      </c>
      <c r="I49" s="2"/>
      <c r="J49" s="2">
        <f>I49+'15'!J49</f>
        <v>0</v>
      </c>
      <c r="K49" s="2"/>
      <c r="L49" s="2">
        <f>K49+'15'!L49</f>
        <v>0</v>
      </c>
      <c r="M49" s="2"/>
      <c r="N49" s="2">
        <f>M49+'15'!N49</f>
        <v>0</v>
      </c>
      <c r="O49" s="2"/>
      <c r="P49" s="2">
        <f>O49+'15'!P49</f>
        <v>0</v>
      </c>
      <c r="Q49" s="4">
        <f t="shared" si="4"/>
        <v>0</v>
      </c>
      <c r="R49" s="4">
        <f>Q49+'15'!R49</f>
        <v>0</v>
      </c>
      <c r="S49" s="27" t="e">
        <f t="shared" si="5"/>
        <v>#DIV/0!</v>
      </c>
      <c r="T49" s="12"/>
      <c r="U49" s="12">
        <f>T49+'15'!U49</f>
        <v>0</v>
      </c>
      <c r="V49" s="12"/>
      <c r="W49" s="12">
        <f>V49+'15'!W49</f>
        <v>0</v>
      </c>
      <c r="X49" s="12"/>
      <c r="Y49" s="12">
        <f>X49+'15'!Y49</f>
        <v>0</v>
      </c>
      <c r="AB49" s="5">
        <v>39</v>
      </c>
      <c r="AC49" s="26">
        <f>'15'!AC49</f>
        <v>0</v>
      </c>
      <c r="AD49" s="28">
        <f>'15'!AI49</f>
        <v>0</v>
      </c>
      <c r="AE49" s="3"/>
      <c r="AF49" s="28">
        <f>AE49+'15'!AF49</f>
        <v>0</v>
      </c>
      <c r="AG49" s="4"/>
      <c r="AH49" s="28">
        <f>AG49+'15'!AH49</f>
        <v>0</v>
      </c>
      <c r="AI49" s="4">
        <f t="shared" si="6"/>
        <v>0</v>
      </c>
      <c r="AJ49" s="11" t="e">
        <f t="shared" si="0"/>
        <v>#DIV/0!</v>
      </c>
      <c r="AK49" s="53" t="e">
        <f t="shared" si="1"/>
        <v>#DIV/0!</v>
      </c>
      <c r="AW49" s="26">
        <f>'15'!AW49</f>
        <v>0</v>
      </c>
      <c r="AX49" s="12">
        <f>'15'!AX49</f>
        <v>0</v>
      </c>
      <c r="AY49" s="12">
        <f>'15'!AY49</f>
        <v>0</v>
      </c>
      <c r="AZ49" s="12"/>
      <c r="BA49" s="12"/>
      <c r="BB49" s="12">
        <f>BA49+'15'!BB49</f>
        <v>0</v>
      </c>
      <c r="BC49" s="30" t="e">
        <f t="shared" si="2"/>
        <v>#DIV/0!</v>
      </c>
      <c r="BD49" s="12">
        <f>'15'!BD49</f>
        <v>0</v>
      </c>
      <c r="BE49" s="12">
        <f>'15'!BE49</f>
        <v>0</v>
      </c>
      <c r="BF49" s="12"/>
      <c r="BG49" s="12"/>
      <c r="BH49" s="12">
        <f>BG49+'15'!BH49</f>
        <v>0</v>
      </c>
      <c r="BI49" s="30" t="e">
        <f t="shared" si="3"/>
        <v>#DIV/0!</v>
      </c>
    </row>
    <row r="50" spans="1:61" ht="28.9" customHeight="1" x14ac:dyDescent="0.35">
      <c r="A50" s="5">
        <v>40</v>
      </c>
      <c r="B50" s="26">
        <f>'15'!B50</f>
        <v>0</v>
      </c>
      <c r="C50" s="26">
        <f>'15'!C50</f>
        <v>0</v>
      </c>
      <c r="D50" s="26"/>
      <c r="E50" s="12"/>
      <c r="F50" s="2">
        <f>E50+'15'!F50</f>
        <v>0</v>
      </c>
      <c r="G50" s="2"/>
      <c r="H50" s="2">
        <f>G50+'15'!H50</f>
        <v>0</v>
      </c>
      <c r="I50" s="2"/>
      <c r="J50" s="2">
        <f>I50+'15'!J50</f>
        <v>0</v>
      </c>
      <c r="K50" s="2"/>
      <c r="L50" s="2">
        <f>K50+'15'!L50</f>
        <v>0</v>
      </c>
      <c r="M50" s="2"/>
      <c r="N50" s="2">
        <f>M50+'15'!N50</f>
        <v>0</v>
      </c>
      <c r="O50" s="2"/>
      <c r="P50" s="2">
        <f>O50+'15'!P50</f>
        <v>0</v>
      </c>
      <c r="Q50" s="4">
        <f t="shared" si="4"/>
        <v>0</v>
      </c>
      <c r="R50" s="4">
        <f>Q50+'15'!R50</f>
        <v>0</v>
      </c>
      <c r="S50" s="27" t="e">
        <f t="shared" si="5"/>
        <v>#DIV/0!</v>
      </c>
      <c r="T50" s="12"/>
      <c r="U50" s="12">
        <f>T50+'15'!U50</f>
        <v>0</v>
      </c>
      <c r="V50" s="12"/>
      <c r="W50" s="12">
        <f>V50+'15'!W50</f>
        <v>0</v>
      </c>
      <c r="X50" s="12"/>
      <c r="Y50" s="12">
        <f>X50+'15'!Y50</f>
        <v>0</v>
      </c>
      <c r="AB50" s="5">
        <v>40</v>
      </c>
      <c r="AC50" s="26">
        <f>'15'!AC50</f>
        <v>0</v>
      </c>
      <c r="AD50" s="28">
        <f>'15'!AI50</f>
        <v>0</v>
      </c>
      <c r="AE50" s="3"/>
      <c r="AF50" s="28">
        <f>AE50+'15'!AF50</f>
        <v>0</v>
      </c>
      <c r="AG50" s="4"/>
      <c r="AH50" s="28">
        <f>AG50+'15'!AH50</f>
        <v>0</v>
      </c>
      <c r="AI50" s="4">
        <f t="shared" si="6"/>
        <v>0</v>
      </c>
      <c r="AJ50" s="11" t="e">
        <f t="shared" si="0"/>
        <v>#DIV/0!</v>
      </c>
      <c r="AK50" s="53" t="e">
        <f t="shared" si="1"/>
        <v>#DIV/0!</v>
      </c>
      <c r="AW50" s="26">
        <f>'15'!AW50</f>
        <v>0</v>
      </c>
      <c r="AX50" s="12">
        <f>'15'!AX50</f>
        <v>0</v>
      </c>
      <c r="AY50" s="12">
        <f>'15'!AY50</f>
        <v>0</v>
      </c>
      <c r="AZ50" s="12"/>
      <c r="BA50" s="12"/>
      <c r="BB50" s="12">
        <f>BA50+'15'!BB50</f>
        <v>0</v>
      </c>
      <c r="BC50" s="30" t="e">
        <f t="shared" si="2"/>
        <v>#DIV/0!</v>
      </c>
      <c r="BD50" s="12">
        <f>'15'!BD50</f>
        <v>0</v>
      </c>
      <c r="BE50" s="12">
        <f>'15'!BE50</f>
        <v>0</v>
      </c>
      <c r="BF50" s="12"/>
      <c r="BG50" s="12"/>
      <c r="BH50" s="12">
        <f>BG50+'15'!BH50</f>
        <v>0</v>
      </c>
      <c r="BI50" s="30" t="e">
        <f t="shared" si="3"/>
        <v>#DIV/0!</v>
      </c>
    </row>
    <row r="51" spans="1:61" ht="25.5" thickBot="1" x14ac:dyDescent="0.4">
      <c r="A51" s="321" t="s">
        <v>26</v>
      </c>
      <c r="B51" s="321"/>
      <c r="C51" s="35">
        <f>SUM(C11:C50)</f>
        <v>97446</v>
      </c>
      <c r="D51" s="35">
        <f>SUM(D11:D50)</f>
        <v>0</v>
      </c>
      <c r="E51" s="6">
        <f>SUM(E11:E50)</f>
        <v>0</v>
      </c>
      <c r="F51" s="6">
        <f>SUM(F11:F50)</f>
        <v>533</v>
      </c>
      <c r="G51" s="6">
        <f t="shared" ref="G51:R51" si="8">SUM(G11:G50)</f>
        <v>0</v>
      </c>
      <c r="H51" s="6">
        <f t="shared" si="8"/>
        <v>14954</v>
      </c>
      <c r="I51" s="6">
        <f t="shared" si="8"/>
        <v>0</v>
      </c>
      <c r="J51" s="6">
        <f t="shared" si="8"/>
        <v>37926</v>
      </c>
      <c r="K51" s="6">
        <f t="shared" si="8"/>
        <v>0</v>
      </c>
      <c r="L51" s="6">
        <f t="shared" si="8"/>
        <v>0</v>
      </c>
      <c r="M51" s="6">
        <f t="shared" si="8"/>
        <v>0</v>
      </c>
      <c r="N51" s="6">
        <f t="shared" si="8"/>
        <v>0</v>
      </c>
      <c r="O51" s="6">
        <f t="shared" si="8"/>
        <v>0</v>
      </c>
      <c r="P51" s="6">
        <f t="shared" si="8"/>
        <v>0</v>
      </c>
      <c r="Q51" s="6">
        <f t="shared" si="8"/>
        <v>0</v>
      </c>
      <c r="R51" s="6">
        <f t="shared" si="8"/>
        <v>53413</v>
      </c>
      <c r="S51" s="10">
        <f>R51/C51</f>
        <v>0.54812922028610722</v>
      </c>
      <c r="T51" s="23">
        <f t="shared" ref="T51:Y51" si="9">SUM(T11:T50)</f>
        <v>0</v>
      </c>
      <c r="U51" s="23">
        <f t="shared" si="9"/>
        <v>7532</v>
      </c>
      <c r="V51" s="23">
        <f t="shared" si="9"/>
        <v>0</v>
      </c>
      <c r="W51" s="23">
        <f t="shared" si="9"/>
        <v>1107</v>
      </c>
      <c r="X51" s="23">
        <f t="shared" si="9"/>
        <v>0</v>
      </c>
      <c r="Y51" s="23">
        <f t="shared" si="9"/>
        <v>2</v>
      </c>
      <c r="AB51" s="37" t="s">
        <v>29</v>
      </c>
      <c r="AC51" s="37"/>
      <c r="AD51" s="34">
        <f t="shared" ref="AD51:AI51" si="10">SUM(AD11:AD50)</f>
        <v>3133</v>
      </c>
      <c r="AE51" s="23">
        <f t="shared" si="10"/>
        <v>0</v>
      </c>
      <c r="AF51" s="14">
        <f t="shared" si="10"/>
        <v>8632</v>
      </c>
      <c r="AG51" s="14">
        <f t="shared" si="10"/>
        <v>0</v>
      </c>
      <c r="AH51" s="14">
        <f t="shared" si="10"/>
        <v>5499</v>
      </c>
      <c r="AI51" s="14">
        <f t="shared" si="10"/>
        <v>3133</v>
      </c>
      <c r="AJ51" s="11" t="e">
        <f t="shared" si="0"/>
        <v>#DIV/0!</v>
      </c>
      <c r="AK51" s="53">
        <f t="shared" si="1"/>
        <v>9.713220585561011</v>
      </c>
      <c r="AW51" s="33" t="s">
        <v>26</v>
      </c>
      <c r="AX51" s="13">
        <f>SUM(AX11:AX50)</f>
        <v>121</v>
      </c>
      <c r="AY51" s="13">
        <f>SUM(AY11:AY50)</f>
        <v>50910</v>
      </c>
      <c r="AZ51" s="13">
        <f>SUM(AZ11:AZ50)</f>
        <v>0</v>
      </c>
      <c r="BA51" s="13">
        <f>SUM(BA11:BA50)</f>
        <v>0</v>
      </c>
      <c r="BB51" s="13">
        <f>SUM(BB11:BB50)</f>
        <v>39924</v>
      </c>
      <c r="BC51" s="31">
        <f t="shared" si="2"/>
        <v>0.78420742486741313</v>
      </c>
      <c r="BD51" s="32">
        <f>SUM(BD11:BD50)</f>
        <v>241</v>
      </c>
      <c r="BE51" s="32">
        <f>SUM(BE11:BE50)</f>
        <v>14990</v>
      </c>
      <c r="BF51" s="32">
        <f>SUM(BF11:BF50)</f>
        <v>0</v>
      </c>
      <c r="BG51" s="32">
        <f>SUM(BG11:BG50)</f>
        <v>0</v>
      </c>
      <c r="BH51" s="32">
        <f>SUM(BH11:BH50)</f>
        <v>9274</v>
      </c>
      <c r="BI51" s="31">
        <f t="shared" si="3"/>
        <v>0.61867911941294196</v>
      </c>
    </row>
    <row r="52" spans="1:61" ht="17.5" x14ac:dyDescent="0.35">
      <c r="AB52" s="36"/>
      <c r="AC52" s="36"/>
      <c r="AD52" s="36"/>
      <c r="AE52" s="36"/>
      <c r="AF52" s="40"/>
      <c r="AG52" s="40"/>
      <c r="AH52" s="40"/>
      <c r="AI52" s="41"/>
      <c r="AJ52" s="15"/>
      <c r="AK52" s="15"/>
    </row>
    <row r="54" spans="1:61" ht="18.5" x14ac:dyDescent="0.45">
      <c r="G54" s="322" t="s">
        <v>36</v>
      </c>
      <c r="H54" s="322"/>
      <c r="I54" s="322"/>
      <c r="J54" s="322"/>
      <c r="K54" s="322"/>
      <c r="L54" s="322"/>
      <c r="M54" s="322"/>
      <c r="N54" s="322"/>
      <c r="O54" s="322"/>
      <c r="P54" s="322"/>
      <c r="Q54" s="322"/>
      <c r="R54" s="322"/>
      <c r="S54" s="322"/>
      <c r="AB54" s="313" t="s">
        <v>44</v>
      </c>
      <c r="AC54" s="313"/>
      <c r="AD54" s="313"/>
      <c r="AE54" s="313"/>
      <c r="AF54" s="313"/>
      <c r="AG54" s="313"/>
      <c r="AH54" s="313"/>
      <c r="AI54" s="313"/>
      <c r="AJ54" s="313"/>
      <c r="AK54" s="313"/>
      <c r="AL54" s="313"/>
      <c r="AM54" s="313"/>
      <c r="AN54" s="313"/>
    </row>
    <row r="55" spans="1:61" ht="18.5" x14ac:dyDescent="0.45">
      <c r="AX55" s="313" t="s">
        <v>44</v>
      </c>
      <c r="AY55" s="313"/>
      <c r="AZ55" s="313"/>
      <c r="BA55" s="313"/>
      <c r="BB55" s="313"/>
      <c r="BC55" s="313"/>
      <c r="BD55" s="313"/>
      <c r="BE55" s="313"/>
      <c r="BF55" s="313"/>
      <c r="BG55" s="313"/>
      <c r="BH55" s="313"/>
      <c r="BI55" s="313"/>
    </row>
    <row r="56" spans="1:61" ht="15.5" x14ac:dyDescent="0.35">
      <c r="AG56" s="38"/>
      <c r="AH56" s="38"/>
      <c r="AI56" s="38"/>
    </row>
  </sheetData>
  <mergeCells count="56">
    <mergeCell ref="A6:Y6"/>
    <mergeCell ref="AF6:AN6"/>
    <mergeCell ref="AY6:BI6"/>
    <mergeCell ref="A7:Y7"/>
    <mergeCell ref="A8:A10"/>
    <mergeCell ref="B8:B10"/>
    <mergeCell ref="C8:C10"/>
    <mergeCell ref="D8:D10"/>
    <mergeCell ref="E8:J8"/>
    <mergeCell ref="K8:P8"/>
    <mergeCell ref="Q8:R9"/>
    <mergeCell ref="S8:S10"/>
    <mergeCell ref="T8:U9"/>
    <mergeCell ref="V8:W9"/>
    <mergeCell ref="X8:Y9"/>
    <mergeCell ref="AB8:AB10"/>
    <mergeCell ref="AN8:AN9"/>
    <mergeCell ref="AO8:AO9"/>
    <mergeCell ref="AP8:AQ8"/>
    <mergeCell ref="AR8:AS8"/>
    <mergeCell ref="AC8:AC10"/>
    <mergeCell ref="AD8:AD10"/>
    <mergeCell ref="AE8:AF9"/>
    <mergeCell ref="AG8:AH9"/>
    <mergeCell ref="AI8:AI10"/>
    <mergeCell ref="AJ8:AJ10"/>
    <mergeCell ref="AW8:AW10"/>
    <mergeCell ref="AX8:BC8"/>
    <mergeCell ref="BD8:BI8"/>
    <mergeCell ref="E9:F9"/>
    <mergeCell ref="G9:H9"/>
    <mergeCell ref="I9:J9"/>
    <mergeCell ref="K9:L9"/>
    <mergeCell ref="M9:N9"/>
    <mergeCell ref="AK8:AK10"/>
    <mergeCell ref="AM8:AM13"/>
    <mergeCell ref="BF9:BF10"/>
    <mergeCell ref="BG9:BG10"/>
    <mergeCell ref="BH9:BH10"/>
    <mergeCell ref="O9:P9"/>
    <mergeCell ref="AX9:AX10"/>
    <mergeCell ref="AY9:AY10"/>
    <mergeCell ref="AZ9:AZ10"/>
    <mergeCell ref="BA9:BA10"/>
    <mergeCell ref="BB9:BB10"/>
    <mergeCell ref="AT8:AT9"/>
    <mergeCell ref="AX55:BI55"/>
    <mergeCell ref="BI9:BI10"/>
    <mergeCell ref="AM14:AN14"/>
    <mergeCell ref="AO14:AS14"/>
    <mergeCell ref="A51:B51"/>
    <mergeCell ref="G54:S54"/>
    <mergeCell ref="AB54:AN54"/>
    <mergeCell ref="BC9:BC10"/>
    <mergeCell ref="BD9:BD10"/>
    <mergeCell ref="BE9:BE10"/>
  </mergeCells>
  <pageMargins left="0.7" right="0.7" top="0.75" bottom="0.75" header="0.3" footer="0.3"/>
  <pageSetup paperSize="9" scale="17" orientation="landscape" r:id="rId1"/>
  <colBreaks count="2" manualBreakCount="2">
    <brk id="26" max="55" man="1"/>
    <brk id="47" max="55" man="1"/>
  </col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19B5C-CDB5-49F5-A132-C5BA4CA1AA85}">
  <dimension ref="A1:BJ56"/>
  <sheetViews>
    <sheetView rightToLeft="1" view="pageBreakPreview" topLeftCell="AN1" zoomScale="55" zoomScaleNormal="29" zoomScalePageLayoutView="40" workbookViewId="0">
      <selection activeCell="AU1" sqref="AU1:AU65536"/>
    </sheetView>
  </sheetViews>
  <sheetFormatPr defaultRowHeight="14.5" x14ac:dyDescent="0.35"/>
  <cols>
    <col min="1" max="1" width="11.26953125" style="1" customWidth="1"/>
    <col min="2" max="4" width="18.7265625" style="1" customWidth="1"/>
    <col min="5" max="6" width="15.26953125" customWidth="1"/>
    <col min="7" max="7" width="18.453125" customWidth="1"/>
    <col min="8" max="8" width="16.81640625" customWidth="1"/>
    <col min="9" max="9" width="15.26953125" customWidth="1"/>
    <col min="10" max="10" width="15.54296875" customWidth="1"/>
    <col min="11" max="23" width="15.26953125" customWidth="1"/>
    <col min="24" max="25" width="12.54296875" customWidth="1"/>
    <col min="27" max="27" width="19.1796875" customWidth="1"/>
    <col min="28" max="30" width="15.26953125" customWidth="1"/>
    <col min="31" max="32" width="13.7265625" customWidth="1"/>
    <col min="33" max="33" width="14.1796875" customWidth="1"/>
    <col min="34" max="34" width="13" customWidth="1"/>
    <col min="35" max="35" width="18.26953125" customWidth="1"/>
    <col min="36" max="40" width="15" customWidth="1"/>
    <col min="41" max="41" width="16.7265625" customWidth="1"/>
    <col min="42" max="42" width="18" customWidth="1"/>
    <col min="43" max="46" width="15" customWidth="1"/>
    <col min="47" max="47" width="14" style="1" customWidth="1"/>
    <col min="49" max="49" width="15.1796875" customWidth="1"/>
    <col min="50" max="50" width="22.26953125" customWidth="1"/>
    <col min="51" max="51" width="16.26953125" customWidth="1"/>
    <col min="52" max="52" width="13.453125" customWidth="1"/>
    <col min="53" max="53" width="14" customWidth="1"/>
    <col min="54" max="54" width="11.7265625" customWidth="1"/>
    <col min="55" max="55" width="14.26953125" customWidth="1"/>
    <col min="56" max="56" width="17.7265625" customWidth="1"/>
    <col min="57" max="57" width="22.453125" customWidth="1"/>
    <col min="58" max="58" width="17.7265625" customWidth="1"/>
    <col min="59" max="59" width="11.7265625" customWidth="1"/>
    <col min="60" max="60" width="16.81640625" customWidth="1"/>
    <col min="61" max="61" width="12.81640625" customWidth="1"/>
    <col min="62" max="62" width="15.26953125" customWidth="1"/>
  </cols>
  <sheetData>
    <row r="1" spans="1:62" s="21" customFormat="1" ht="23.5" x14ac:dyDescent="0.55000000000000004">
      <c r="A1" s="22" t="s">
        <v>0</v>
      </c>
      <c r="B1" s="22"/>
      <c r="C1" s="22"/>
      <c r="D1" s="18"/>
      <c r="E1" s="18"/>
      <c r="F1" s="18"/>
      <c r="G1" s="18"/>
      <c r="H1" s="18"/>
      <c r="I1" s="18"/>
      <c r="J1" s="18"/>
      <c r="K1" s="18"/>
      <c r="L1" s="18"/>
      <c r="M1" s="18"/>
      <c r="N1" s="19"/>
      <c r="O1" s="19"/>
      <c r="P1" s="18"/>
      <c r="Q1" s="18"/>
      <c r="R1" s="18"/>
      <c r="S1" s="18"/>
      <c r="T1" s="18"/>
      <c r="U1" s="18"/>
      <c r="V1" s="18"/>
      <c r="W1" s="18"/>
      <c r="X1" s="18"/>
      <c r="Y1" s="18"/>
      <c r="AA1" s="29"/>
      <c r="AB1" s="22" t="s">
        <v>0</v>
      </c>
      <c r="AC1" s="22"/>
      <c r="AD1" s="29"/>
      <c r="AE1" s="29"/>
      <c r="AF1" s="29"/>
      <c r="AU1" s="54"/>
      <c r="AW1" s="22" t="s">
        <v>0</v>
      </c>
      <c r="AX1" s="22"/>
      <c r="AY1" s="22"/>
      <c r="AZ1" s="18"/>
      <c r="BA1" s="18"/>
      <c r="BB1" s="18"/>
      <c r="BC1" s="18"/>
      <c r="BD1" s="18"/>
      <c r="BE1" s="20"/>
      <c r="BF1" s="19"/>
      <c r="BI1" s="29"/>
      <c r="BJ1" s="29"/>
    </row>
    <row r="2" spans="1:62" s="21" customFormat="1" ht="23.5" x14ac:dyDescent="0.55000000000000004">
      <c r="A2" s="22" t="s">
        <v>21</v>
      </c>
      <c r="B2" s="22"/>
      <c r="C2" s="22"/>
      <c r="D2" s="18"/>
      <c r="E2" s="18"/>
      <c r="F2" s="18"/>
      <c r="G2" s="18"/>
      <c r="H2" s="18"/>
      <c r="I2" s="18"/>
      <c r="J2" s="18"/>
      <c r="K2" s="18"/>
      <c r="L2" s="18"/>
      <c r="M2" s="18"/>
      <c r="N2" s="19"/>
      <c r="O2" s="19"/>
      <c r="P2" s="18"/>
      <c r="Q2" s="18"/>
      <c r="R2" s="18"/>
      <c r="S2" s="18"/>
      <c r="T2" s="18"/>
      <c r="U2" s="18"/>
      <c r="V2" s="18"/>
      <c r="W2" s="18"/>
      <c r="X2" s="18"/>
      <c r="Y2" s="18"/>
      <c r="AA2" s="29"/>
      <c r="AB2" s="22" t="s">
        <v>21</v>
      </c>
      <c r="AC2" s="22"/>
      <c r="AD2" s="29"/>
      <c r="AE2" s="29"/>
      <c r="AF2" s="29"/>
      <c r="AU2" s="54"/>
      <c r="AW2" s="22" t="s">
        <v>21</v>
      </c>
      <c r="AX2" s="22"/>
      <c r="AY2" s="22"/>
      <c r="AZ2" s="18"/>
      <c r="BA2" s="18"/>
      <c r="BB2" s="18"/>
      <c r="BC2" s="18"/>
      <c r="BD2" s="18"/>
      <c r="BE2" s="20"/>
      <c r="BF2" s="19"/>
      <c r="BI2" s="29"/>
      <c r="BJ2" s="29"/>
    </row>
    <row r="3" spans="1:62" s="21" customFormat="1" ht="23.5" x14ac:dyDescent="0.55000000000000004">
      <c r="A3" s="22" t="s">
        <v>22</v>
      </c>
      <c r="B3" s="22"/>
      <c r="C3" s="22"/>
      <c r="D3" s="18"/>
      <c r="E3" s="18"/>
      <c r="F3" s="18"/>
      <c r="G3" s="18"/>
      <c r="H3" s="18"/>
      <c r="I3" s="18"/>
      <c r="J3" s="18"/>
      <c r="K3" s="18"/>
      <c r="L3" s="18"/>
      <c r="M3" s="18"/>
      <c r="N3" s="19"/>
      <c r="O3" s="19"/>
      <c r="P3" s="18"/>
      <c r="Q3" s="18"/>
      <c r="R3" s="18"/>
      <c r="S3" s="18"/>
      <c r="T3" s="18"/>
      <c r="U3" s="18"/>
      <c r="V3" s="18"/>
      <c r="W3" s="18"/>
      <c r="X3" s="18"/>
      <c r="Y3" s="18"/>
      <c r="AA3" s="29"/>
      <c r="AB3" s="22" t="s">
        <v>22</v>
      </c>
      <c r="AC3" s="22"/>
      <c r="AD3" s="29"/>
      <c r="AE3" s="29"/>
      <c r="AF3" s="29"/>
      <c r="AU3" s="54"/>
      <c r="AW3" s="22" t="s">
        <v>22</v>
      </c>
      <c r="AX3" s="22"/>
      <c r="AY3" s="22"/>
      <c r="AZ3" s="18"/>
      <c r="BA3" s="18"/>
      <c r="BB3" s="18"/>
      <c r="BC3" s="18"/>
      <c r="BD3" s="18"/>
      <c r="BE3" s="20"/>
      <c r="BF3" s="19"/>
      <c r="BI3" s="29"/>
      <c r="BJ3" s="29"/>
    </row>
    <row r="4" spans="1:62" s="21" customFormat="1" ht="23.5" x14ac:dyDescent="0.55000000000000004">
      <c r="A4" s="22" t="s">
        <v>23</v>
      </c>
      <c r="B4" s="22"/>
      <c r="C4" s="22"/>
      <c r="D4" s="19"/>
      <c r="E4" s="20"/>
      <c r="F4" s="20"/>
      <c r="G4" s="20"/>
      <c r="H4" s="20"/>
      <c r="I4" s="18"/>
      <c r="J4" s="18"/>
      <c r="K4" s="18"/>
      <c r="L4" s="18"/>
      <c r="M4" s="18"/>
      <c r="N4" s="19"/>
      <c r="O4" s="19"/>
      <c r="P4" s="18"/>
      <c r="Q4" s="18"/>
      <c r="R4" s="18"/>
      <c r="S4" s="18"/>
      <c r="T4" s="18"/>
      <c r="U4" s="18"/>
      <c r="V4" s="18"/>
      <c r="W4" s="18"/>
      <c r="X4" s="18"/>
      <c r="Y4" s="18"/>
      <c r="AB4" s="22" t="s">
        <v>23</v>
      </c>
      <c r="AC4" s="22"/>
      <c r="AU4" s="54"/>
      <c r="AW4" s="22" t="s">
        <v>23</v>
      </c>
      <c r="AX4" s="22"/>
      <c r="AY4" s="22"/>
      <c r="AZ4" s="19"/>
      <c r="BA4" s="18"/>
      <c r="BB4" s="18"/>
      <c r="BC4" s="18"/>
      <c r="BD4" s="18"/>
      <c r="BE4" s="20"/>
      <c r="BF4" s="19"/>
    </row>
    <row r="5" spans="1:62" s="21" customFormat="1" ht="23.5" x14ac:dyDescent="0.55000000000000004">
      <c r="A5" s="22" t="s">
        <v>1</v>
      </c>
      <c r="B5" s="22"/>
      <c r="C5" s="22"/>
      <c r="D5" s="19"/>
      <c r="E5" s="18"/>
      <c r="F5" s="18"/>
      <c r="G5" s="18"/>
      <c r="H5" s="18"/>
      <c r="I5" s="18"/>
      <c r="J5" s="18"/>
      <c r="K5" s="18"/>
      <c r="L5" s="18"/>
      <c r="M5" s="18"/>
      <c r="N5" s="19"/>
      <c r="O5" s="19"/>
      <c r="P5" s="18"/>
      <c r="Q5" s="18"/>
      <c r="R5" s="18"/>
      <c r="S5" s="18"/>
      <c r="T5" s="18"/>
      <c r="U5" s="18"/>
      <c r="V5" s="18"/>
      <c r="W5" s="18"/>
      <c r="X5" s="18"/>
      <c r="Y5" s="18"/>
      <c r="AB5" s="22" t="s">
        <v>1</v>
      </c>
      <c r="AC5" s="22"/>
      <c r="AU5" s="54"/>
      <c r="AW5" s="22" t="s">
        <v>1</v>
      </c>
      <c r="AX5" s="22"/>
      <c r="AY5" s="22"/>
      <c r="AZ5" s="19"/>
      <c r="BA5" s="18"/>
      <c r="BB5" s="18"/>
      <c r="BC5" s="18"/>
      <c r="BD5" s="18"/>
      <c r="BE5" s="20"/>
      <c r="BF5" s="19"/>
    </row>
    <row r="6" spans="1:62" ht="20" x14ac:dyDescent="0.4">
      <c r="A6" s="362" t="s">
        <v>18</v>
      </c>
      <c r="B6" s="362"/>
      <c r="C6" s="362"/>
      <c r="D6" s="362"/>
      <c r="E6" s="362"/>
      <c r="F6" s="362"/>
      <c r="G6" s="362"/>
      <c r="H6" s="362"/>
      <c r="I6" s="362"/>
      <c r="J6" s="362"/>
      <c r="K6" s="362"/>
      <c r="L6" s="362"/>
      <c r="M6" s="362"/>
      <c r="N6" s="362"/>
      <c r="O6" s="362"/>
      <c r="P6" s="362"/>
      <c r="Q6" s="362"/>
      <c r="R6" s="362"/>
      <c r="S6" s="362"/>
      <c r="T6" s="362"/>
      <c r="U6" s="362"/>
      <c r="V6" s="362"/>
      <c r="W6" s="362"/>
      <c r="X6" s="362"/>
      <c r="Y6" s="362"/>
      <c r="AF6" s="362" t="s">
        <v>16</v>
      </c>
      <c r="AG6" s="362"/>
      <c r="AH6" s="362"/>
      <c r="AI6" s="362"/>
      <c r="AJ6" s="362"/>
      <c r="AK6" s="362"/>
      <c r="AL6" s="362"/>
      <c r="AM6" s="362"/>
      <c r="AN6" s="362"/>
      <c r="AO6" s="24"/>
      <c r="AP6" s="24"/>
      <c r="AQ6" s="24"/>
      <c r="AR6" s="24"/>
      <c r="AS6" s="24"/>
      <c r="AT6" s="24"/>
      <c r="AY6" s="362" t="s">
        <v>30</v>
      </c>
      <c r="AZ6" s="362"/>
      <c r="BA6" s="362"/>
      <c r="BB6" s="362"/>
      <c r="BC6" s="362"/>
      <c r="BD6" s="362"/>
      <c r="BE6" s="362"/>
      <c r="BF6" s="362"/>
      <c r="BG6" s="362"/>
      <c r="BH6" s="362"/>
      <c r="BI6" s="362"/>
    </row>
    <row r="7" spans="1:62" ht="20.5" thickBot="1" x14ac:dyDescent="0.45">
      <c r="A7" s="363" t="s">
        <v>27</v>
      </c>
      <c r="B7" s="364"/>
      <c r="C7" s="364"/>
      <c r="D7" s="364"/>
      <c r="E7" s="363"/>
      <c r="F7" s="363"/>
      <c r="G7" s="363"/>
      <c r="H7" s="363"/>
      <c r="I7" s="363"/>
      <c r="J7" s="363"/>
      <c r="K7" s="363"/>
      <c r="L7" s="363"/>
      <c r="M7" s="363"/>
      <c r="N7" s="363"/>
      <c r="O7" s="363"/>
      <c r="P7" s="363"/>
      <c r="Q7" s="363"/>
      <c r="R7" s="363"/>
      <c r="S7" s="363"/>
      <c r="T7" s="364"/>
      <c r="U7" s="364"/>
      <c r="V7" s="364"/>
      <c r="W7" s="364"/>
      <c r="X7" s="364"/>
      <c r="Y7" s="364"/>
      <c r="AJ7" s="25" t="s">
        <v>31</v>
      </c>
      <c r="AK7" s="25"/>
      <c r="AL7" s="25"/>
      <c r="AN7" s="25"/>
      <c r="AO7" s="25"/>
      <c r="AP7" s="25"/>
      <c r="AQ7" s="25"/>
      <c r="AS7" s="25"/>
      <c r="AT7" s="25"/>
      <c r="BC7" s="25" t="s">
        <v>31</v>
      </c>
      <c r="BD7" s="25"/>
      <c r="BF7" s="25"/>
      <c r="BG7" s="25"/>
      <c r="BH7" s="25"/>
      <c r="BI7" s="25"/>
      <c r="BJ7" s="25"/>
    </row>
    <row r="8" spans="1:62" ht="41.5" customHeight="1" x14ac:dyDescent="0.35">
      <c r="A8" s="326" t="s">
        <v>24</v>
      </c>
      <c r="B8" s="365" t="s">
        <v>25</v>
      </c>
      <c r="C8" s="366" t="s">
        <v>11</v>
      </c>
      <c r="D8" s="366" t="s">
        <v>15</v>
      </c>
      <c r="E8" s="330" t="s">
        <v>5</v>
      </c>
      <c r="F8" s="330"/>
      <c r="G8" s="330"/>
      <c r="H8" s="330"/>
      <c r="I8" s="330"/>
      <c r="J8" s="330"/>
      <c r="K8" s="330" t="s">
        <v>7</v>
      </c>
      <c r="L8" s="330"/>
      <c r="M8" s="330"/>
      <c r="N8" s="330"/>
      <c r="O8" s="330"/>
      <c r="P8" s="330"/>
      <c r="Q8" s="356" t="s">
        <v>2</v>
      </c>
      <c r="R8" s="350"/>
      <c r="S8" s="358" t="s">
        <v>12</v>
      </c>
      <c r="T8" s="323" t="s">
        <v>8</v>
      </c>
      <c r="U8" s="323"/>
      <c r="V8" s="323" t="s">
        <v>9</v>
      </c>
      <c r="W8" s="323"/>
      <c r="X8" s="323" t="s">
        <v>20</v>
      </c>
      <c r="Y8" s="323"/>
      <c r="AB8" s="326" t="s">
        <v>24</v>
      </c>
      <c r="AC8" s="342" t="s">
        <v>28</v>
      </c>
      <c r="AD8" s="342" t="s">
        <v>14</v>
      </c>
      <c r="AE8" s="345" t="s">
        <v>45</v>
      </c>
      <c r="AF8" s="346"/>
      <c r="AG8" s="349" t="s">
        <v>10</v>
      </c>
      <c r="AH8" s="350"/>
      <c r="AI8" s="353" t="s">
        <v>46</v>
      </c>
      <c r="AJ8" s="336" t="s">
        <v>51</v>
      </c>
      <c r="AK8" s="336" t="s">
        <v>47</v>
      </c>
      <c r="AM8" s="339" t="s">
        <v>41</v>
      </c>
      <c r="AN8" s="341" t="s">
        <v>38</v>
      </c>
      <c r="AO8" s="341" t="s">
        <v>14</v>
      </c>
      <c r="AP8" s="341" t="s">
        <v>39</v>
      </c>
      <c r="AQ8" s="341"/>
      <c r="AR8" s="341" t="s">
        <v>50</v>
      </c>
      <c r="AS8" s="341"/>
      <c r="AT8" s="324" t="s">
        <v>40</v>
      </c>
      <c r="AU8" s="55"/>
      <c r="AW8" s="326" t="s">
        <v>28</v>
      </c>
      <c r="AX8" s="329" t="s">
        <v>48</v>
      </c>
      <c r="AY8" s="330"/>
      <c r="AZ8" s="330"/>
      <c r="BA8" s="330"/>
      <c r="BB8" s="330"/>
      <c r="BC8" s="331"/>
      <c r="BD8" s="332" t="s">
        <v>49</v>
      </c>
      <c r="BE8" s="330"/>
      <c r="BF8" s="330"/>
      <c r="BG8" s="330"/>
      <c r="BH8" s="330"/>
      <c r="BI8" s="331"/>
    </row>
    <row r="9" spans="1:62" ht="19.149999999999999" customHeight="1" x14ac:dyDescent="0.35">
      <c r="A9" s="327"/>
      <c r="B9" s="365"/>
      <c r="C9" s="366"/>
      <c r="D9" s="366"/>
      <c r="E9" s="333" t="s">
        <v>6</v>
      </c>
      <c r="F9" s="334"/>
      <c r="G9" s="335" t="s">
        <v>13</v>
      </c>
      <c r="H9" s="334"/>
      <c r="I9" s="323" t="s">
        <v>19</v>
      </c>
      <c r="J9" s="323"/>
      <c r="K9" s="333" t="s">
        <v>6</v>
      </c>
      <c r="L9" s="334"/>
      <c r="M9" s="335" t="s">
        <v>13</v>
      </c>
      <c r="N9" s="334"/>
      <c r="O9" s="323" t="s">
        <v>19</v>
      </c>
      <c r="P9" s="323"/>
      <c r="Q9" s="357"/>
      <c r="R9" s="352"/>
      <c r="S9" s="359"/>
      <c r="T9" s="323"/>
      <c r="U9" s="323"/>
      <c r="V9" s="323"/>
      <c r="W9" s="323"/>
      <c r="X9" s="323"/>
      <c r="Y9" s="323"/>
      <c r="AB9" s="327"/>
      <c r="AC9" s="343"/>
      <c r="AD9" s="343"/>
      <c r="AE9" s="347"/>
      <c r="AF9" s="348"/>
      <c r="AG9" s="351"/>
      <c r="AH9" s="352"/>
      <c r="AI9" s="354"/>
      <c r="AJ9" s="337"/>
      <c r="AK9" s="337"/>
      <c r="AM9" s="340"/>
      <c r="AN9" s="323"/>
      <c r="AO9" s="323"/>
      <c r="AP9" s="8" t="s">
        <v>3</v>
      </c>
      <c r="AQ9" s="8" t="s">
        <v>4</v>
      </c>
      <c r="AR9" s="43" t="s">
        <v>3</v>
      </c>
      <c r="AS9" s="43" t="s">
        <v>4</v>
      </c>
      <c r="AT9" s="325"/>
      <c r="AU9" s="55"/>
      <c r="AW9" s="327"/>
      <c r="AX9" s="314" t="s">
        <v>17</v>
      </c>
      <c r="AY9" s="314" t="s">
        <v>11</v>
      </c>
      <c r="AZ9" s="314" t="s">
        <v>32</v>
      </c>
      <c r="BA9" s="314" t="s">
        <v>37</v>
      </c>
      <c r="BB9" s="314" t="s">
        <v>34</v>
      </c>
      <c r="BC9" s="314" t="s">
        <v>12</v>
      </c>
      <c r="BD9" s="314" t="s">
        <v>33</v>
      </c>
      <c r="BE9" s="314" t="s">
        <v>11</v>
      </c>
      <c r="BF9" s="314" t="s">
        <v>35</v>
      </c>
      <c r="BG9" s="314" t="s">
        <v>37</v>
      </c>
      <c r="BH9" s="314" t="s">
        <v>34</v>
      </c>
      <c r="BI9" s="314" t="s">
        <v>12</v>
      </c>
    </row>
    <row r="10" spans="1:62" ht="53.5" customHeight="1" thickBot="1" x14ac:dyDescent="0.4">
      <c r="A10" s="328"/>
      <c r="B10" s="365"/>
      <c r="C10" s="366"/>
      <c r="D10" s="366"/>
      <c r="E10" s="7" t="s">
        <v>3</v>
      </c>
      <c r="F10" s="8" t="s">
        <v>4</v>
      </c>
      <c r="G10" s="7" t="s">
        <v>3</v>
      </c>
      <c r="H10" s="8" t="s">
        <v>4</v>
      </c>
      <c r="I10" s="8" t="s">
        <v>3</v>
      </c>
      <c r="J10" s="8" t="s">
        <v>4</v>
      </c>
      <c r="K10" s="7" t="s">
        <v>3</v>
      </c>
      <c r="L10" s="8" t="s">
        <v>4</v>
      </c>
      <c r="M10" s="7" t="s">
        <v>3</v>
      </c>
      <c r="N10" s="8" t="s">
        <v>4</v>
      </c>
      <c r="O10" s="8" t="s">
        <v>3</v>
      </c>
      <c r="P10" s="8" t="s">
        <v>4</v>
      </c>
      <c r="Q10" s="9" t="s">
        <v>3</v>
      </c>
      <c r="R10" s="9" t="s">
        <v>4</v>
      </c>
      <c r="S10" s="360"/>
      <c r="T10" s="8" t="s">
        <v>3</v>
      </c>
      <c r="U10" s="8" t="s">
        <v>4</v>
      </c>
      <c r="V10" s="8" t="s">
        <v>3</v>
      </c>
      <c r="W10" s="8" t="s">
        <v>4</v>
      </c>
      <c r="X10" s="8" t="s">
        <v>3</v>
      </c>
      <c r="Y10" s="8" t="s">
        <v>4</v>
      </c>
      <c r="AB10" s="361"/>
      <c r="AC10" s="344"/>
      <c r="AD10" s="344"/>
      <c r="AE10" s="49" t="s">
        <v>3</v>
      </c>
      <c r="AF10" s="50" t="s">
        <v>4</v>
      </c>
      <c r="AG10" s="51" t="s">
        <v>3</v>
      </c>
      <c r="AH10" s="52" t="s">
        <v>4</v>
      </c>
      <c r="AI10" s="355"/>
      <c r="AJ10" s="338"/>
      <c r="AK10" s="338"/>
      <c r="AM10" s="340"/>
      <c r="AN10" s="42" t="str">
        <f>'16'!AN10</f>
        <v>0124W120</v>
      </c>
      <c r="AO10" s="42">
        <f>'16'!AT10</f>
        <v>48</v>
      </c>
      <c r="AP10" s="42"/>
      <c r="AQ10" s="17">
        <f>AP10+'16'!AQ10</f>
        <v>73</v>
      </c>
      <c r="AR10" s="17"/>
      <c r="AS10" s="17">
        <f>AR10+'16'!AS10</f>
        <v>25</v>
      </c>
      <c r="AT10" s="44">
        <f>AO10+AP10-AR10</f>
        <v>48</v>
      </c>
      <c r="AU10" s="56"/>
      <c r="AW10" s="328"/>
      <c r="AX10" s="315"/>
      <c r="AY10" s="315"/>
      <c r="AZ10" s="315"/>
      <c r="BA10" s="315"/>
      <c r="BB10" s="315"/>
      <c r="BC10" s="315"/>
      <c r="BD10" s="315"/>
      <c r="BE10" s="315"/>
      <c r="BF10" s="315"/>
      <c r="BG10" s="315"/>
      <c r="BH10" s="315"/>
      <c r="BI10" s="315"/>
    </row>
    <row r="11" spans="1:62" ht="41.5" customHeight="1" x14ac:dyDescent="0.35">
      <c r="A11" s="5">
        <v>1</v>
      </c>
      <c r="B11" s="26" t="str">
        <f>'16'!B11</f>
        <v>مكتب الصحة</v>
      </c>
      <c r="C11" s="26">
        <f>'16'!C11</f>
        <v>12251</v>
      </c>
      <c r="D11" s="26"/>
      <c r="E11" s="12"/>
      <c r="F11" s="2">
        <f>E11+'16'!F11</f>
        <v>39</v>
      </c>
      <c r="G11" s="2"/>
      <c r="H11" s="2">
        <f>G11+'16'!H11</f>
        <v>1961</v>
      </c>
      <c r="I11" s="2"/>
      <c r="J11" s="2">
        <f>I11+'16'!J11</f>
        <v>5340</v>
      </c>
      <c r="K11" s="2"/>
      <c r="L11" s="2">
        <f>K11+'16'!L11</f>
        <v>0</v>
      </c>
      <c r="M11" s="2"/>
      <c r="N11" s="2">
        <f>M11+'16'!N11</f>
        <v>0</v>
      </c>
      <c r="O11" s="2"/>
      <c r="P11" s="2">
        <f>O11+'16'!P11</f>
        <v>0</v>
      </c>
      <c r="Q11" s="4">
        <f>O11+M11+K11+I11+G11+E11</f>
        <v>0</v>
      </c>
      <c r="R11" s="4">
        <f>Q11+'16'!R11</f>
        <v>7340</v>
      </c>
      <c r="S11" s="27">
        <f>R11/C11</f>
        <v>0.5991347645090197</v>
      </c>
      <c r="T11" s="12"/>
      <c r="U11" s="12">
        <f>T11+'16'!U11</f>
        <v>1397</v>
      </c>
      <c r="V11" s="12"/>
      <c r="W11" s="12">
        <f>V11+'16'!W11</f>
        <v>4</v>
      </c>
      <c r="X11" s="12"/>
      <c r="Y11" s="12">
        <f>X11+'16'!Y11</f>
        <v>1</v>
      </c>
      <c r="AB11" s="48">
        <v>1</v>
      </c>
      <c r="AC11" s="26" t="str">
        <f>'16'!AC11</f>
        <v>مكتب الصحة</v>
      </c>
      <c r="AD11" s="28">
        <f>'16'!AI11</f>
        <v>333</v>
      </c>
      <c r="AE11" s="3"/>
      <c r="AF11" s="28">
        <f>AE11+'16'!AF11</f>
        <v>1082</v>
      </c>
      <c r="AG11" s="4"/>
      <c r="AH11" s="28">
        <f>AG11+'16'!AH11</f>
        <v>749</v>
      </c>
      <c r="AI11" s="4">
        <f>AD11+AE11-AG11</f>
        <v>333</v>
      </c>
      <c r="AJ11" s="11" t="e">
        <f t="shared" ref="AJ11:AJ51" si="0">Q11/AG11</f>
        <v>#DIV/0!</v>
      </c>
      <c r="AK11" s="53">
        <f t="shared" ref="AK11:AK51" si="1">R11/AH11</f>
        <v>9.799732977303071</v>
      </c>
      <c r="AM11" s="340"/>
      <c r="AN11" s="42" t="str">
        <f>'16'!AN11</f>
        <v>420604325A</v>
      </c>
      <c r="AO11" s="42">
        <f>'16'!AT11</f>
        <v>3076</v>
      </c>
      <c r="AP11" s="16"/>
      <c r="AQ11" s="17">
        <f>AP11+'16'!AQ11</f>
        <v>8550</v>
      </c>
      <c r="AR11" s="16"/>
      <c r="AS11" s="17">
        <f>AR11+'16'!AS11</f>
        <v>5474</v>
      </c>
      <c r="AT11" s="44">
        <f>AO11+AP11-AR11</f>
        <v>3076</v>
      </c>
      <c r="AU11" s="56"/>
      <c r="AW11" s="26" t="str">
        <f>'16'!AW11</f>
        <v>مكتب الصحة</v>
      </c>
      <c r="AX11" s="12">
        <f>'16'!AX11</f>
        <v>11</v>
      </c>
      <c r="AY11" s="12">
        <f>'16'!AY11</f>
        <v>8411</v>
      </c>
      <c r="AZ11" s="12"/>
      <c r="BA11" s="12"/>
      <c r="BB11" s="12">
        <f>BA11+'16'!BB11</f>
        <v>5998</v>
      </c>
      <c r="BC11" s="30">
        <f t="shared" ref="BC11:BC51" si="2">BB11/AY11</f>
        <v>0.71311377957436695</v>
      </c>
      <c r="BD11" s="12">
        <f>'16'!BD11</f>
        <v>27</v>
      </c>
      <c r="BE11" s="12">
        <f>'16'!BE11</f>
        <v>1746</v>
      </c>
      <c r="BF11" s="12"/>
      <c r="BG11" s="12"/>
      <c r="BH11" s="12">
        <f>BG11+'16'!BH11</f>
        <v>477</v>
      </c>
      <c r="BI11" s="30">
        <f t="shared" ref="BI11:BI51" si="3">BH11/BE11</f>
        <v>0.27319587628865977</v>
      </c>
    </row>
    <row r="12" spans="1:62" ht="41.5" customHeight="1" x14ac:dyDescent="0.35">
      <c r="A12" s="5">
        <v>2</v>
      </c>
      <c r="B12" s="26" t="str">
        <f>'16'!B12</f>
        <v>شبرابخـــــــــــوم</v>
      </c>
      <c r="C12" s="26">
        <f>'16'!C12</f>
        <v>4445</v>
      </c>
      <c r="D12" s="26"/>
      <c r="E12" s="12"/>
      <c r="F12" s="2">
        <f>E12+'16'!F12</f>
        <v>14</v>
      </c>
      <c r="G12" s="2"/>
      <c r="H12" s="2">
        <f>G12+'16'!H12</f>
        <v>392</v>
      </c>
      <c r="I12" s="2"/>
      <c r="J12" s="2">
        <f>I12+'16'!J12</f>
        <v>1857</v>
      </c>
      <c r="K12" s="2"/>
      <c r="L12" s="2">
        <f>K12+'16'!L12</f>
        <v>0</v>
      </c>
      <c r="M12" s="2"/>
      <c r="N12" s="2">
        <f>M12+'16'!N12</f>
        <v>0</v>
      </c>
      <c r="O12" s="2"/>
      <c r="P12" s="2">
        <f>O12+'16'!P12</f>
        <v>0</v>
      </c>
      <c r="Q12" s="4">
        <f t="shared" ref="Q12:Q50" si="4">O12+M12+K12+I12+G12+E12</f>
        <v>0</v>
      </c>
      <c r="R12" s="4">
        <f>Q12+'16'!R12</f>
        <v>2263</v>
      </c>
      <c r="S12" s="27">
        <f t="shared" ref="S12:S50" si="5">R12/C12</f>
        <v>0.50911136107986499</v>
      </c>
      <c r="T12" s="12"/>
      <c r="U12" s="12">
        <f>T12+'16'!U12</f>
        <v>373</v>
      </c>
      <c r="V12" s="12"/>
      <c r="W12" s="12">
        <f>V12+'16'!W12</f>
        <v>15</v>
      </c>
      <c r="X12" s="12"/>
      <c r="Y12" s="12">
        <f>X12+'16'!Y12</f>
        <v>0</v>
      </c>
      <c r="AB12" s="5">
        <v>2</v>
      </c>
      <c r="AC12" s="26" t="str">
        <f>'16'!AC12</f>
        <v>شبرابخـــــــــــوم</v>
      </c>
      <c r="AD12" s="28">
        <f>'16'!AI12</f>
        <v>158</v>
      </c>
      <c r="AE12" s="3"/>
      <c r="AF12" s="28">
        <f>AE12+'16'!AF12</f>
        <v>390</v>
      </c>
      <c r="AG12" s="4"/>
      <c r="AH12" s="28">
        <f>AG12+'16'!AH12</f>
        <v>232</v>
      </c>
      <c r="AI12" s="4">
        <f>AD12+AE12-AG12</f>
        <v>158</v>
      </c>
      <c r="AJ12" s="11" t="e">
        <f t="shared" si="0"/>
        <v>#DIV/0!</v>
      </c>
      <c r="AK12" s="53">
        <f t="shared" si="1"/>
        <v>9.7543103448275854</v>
      </c>
      <c r="AM12" s="340"/>
      <c r="AN12" s="42" t="str">
        <f>'16'!AN12</f>
        <v>420604225A</v>
      </c>
      <c r="AO12" s="42">
        <f>'16'!AT12</f>
        <v>100</v>
      </c>
      <c r="AP12" s="16"/>
      <c r="AQ12" s="17">
        <f>AP12+'16'!AQ12</f>
        <v>100</v>
      </c>
      <c r="AR12" s="16"/>
      <c r="AS12" s="17">
        <f>AR12+'16'!AS12</f>
        <v>0</v>
      </c>
      <c r="AT12" s="44">
        <f>AO12+AP12-AR12</f>
        <v>100</v>
      </c>
      <c r="AU12" s="56"/>
      <c r="AW12" s="26" t="str">
        <f>'16'!AW12</f>
        <v>شبرابخـــــــــــوم</v>
      </c>
      <c r="AX12" s="12">
        <f>'16'!AX12</f>
        <v>6</v>
      </c>
      <c r="AY12" s="12">
        <f>'16'!AY12</f>
        <v>2215</v>
      </c>
      <c r="AZ12" s="12"/>
      <c r="BA12" s="12"/>
      <c r="BB12" s="12">
        <f>BA12+'16'!BB12</f>
        <v>2306</v>
      </c>
      <c r="BC12" s="30">
        <f t="shared" si="2"/>
        <v>1.0410835214446952</v>
      </c>
      <c r="BD12" s="12">
        <f>'16'!BD12</f>
        <v>16</v>
      </c>
      <c r="BE12" s="12">
        <f>'16'!BE12</f>
        <v>729</v>
      </c>
      <c r="BF12" s="12"/>
      <c r="BG12" s="12"/>
      <c r="BH12" s="12">
        <f>BG12+'16'!BH12</f>
        <v>224</v>
      </c>
      <c r="BI12" s="30">
        <f t="shared" si="3"/>
        <v>0.30727023319615915</v>
      </c>
    </row>
    <row r="13" spans="1:62" ht="41.5" customHeight="1" x14ac:dyDescent="0.35">
      <c r="A13" s="5">
        <v>3</v>
      </c>
      <c r="B13" s="26" t="str">
        <f>'16'!B13</f>
        <v>ميت بره</v>
      </c>
      <c r="C13" s="26">
        <f>'16'!C13</f>
        <v>11614</v>
      </c>
      <c r="D13" s="26"/>
      <c r="E13" s="12"/>
      <c r="F13" s="2">
        <f>E13+'16'!F13</f>
        <v>45</v>
      </c>
      <c r="G13" s="2"/>
      <c r="H13" s="2">
        <f>G13+'16'!H13</f>
        <v>465</v>
      </c>
      <c r="I13" s="2"/>
      <c r="J13" s="2">
        <f>I13+'16'!J13</f>
        <v>3703</v>
      </c>
      <c r="K13" s="2"/>
      <c r="L13" s="2">
        <f>K13+'16'!L13</f>
        <v>0</v>
      </c>
      <c r="M13" s="2"/>
      <c r="N13" s="2">
        <f>M13+'16'!N13</f>
        <v>0</v>
      </c>
      <c r="O13" s="2"/>
      <c r="P13" s="2">
        <f>O13+'16'!P13</f>
        <v>0</v>
      </c>
      <c r="Q13" s="4">
        <f t="shared" si="4"/>
        <v>0</v>
      </c>
      <c r="R13" s="4">
        <f>Q13+'16'!R13</f>
        <v>4213</v>
      </c>
      <c r="S13" s="27">
        <f t="shared" si="5"/>
        <v>0.36275185121405201</v>
      </c>
      <c r="T13" s="12"/>
      <c r="U13" s="12">
        <f>T13+'16'!U13</f>
        <v>641</v>
      </c>
      <c r="V13" s="12"/>
      <c r="W13" s="12">
        <f>V13+'16'!W13</f>
        <v>0</v>
      </c>
      <c r="X13" s="12"/>
      <c r="Y13" s="12">
        <f>X13+'16'!Y13</f>
        <v>0</v>
      </c>
      <c r="AB13" s="5">
        <v>3</v>
      </c>
      <c r="AC13" s="26" t="str">
        <f>'16'!AC13</f>
        <v>ميت بره</v>
      </c>
      <c r="AD13" s="28">
        <f>'16'!AI13</f>
        <v>584</v>
      </c>
      <c r="AE13" s="3"/>
      <c r="AF13" s="28">
        <f>AE13+'16'!AF13</f>
        <v>1020</v>
      </c>
      <c r="AG13" s="4"/>
      <c r="AH13" s="28">
        <f>AG13+'16'!AH13</f>
        <v>436</v>
      </c>
      <c r="AI13" s="4">
        <f t="shared" ref="AI13:AI50" si="6">AD13+AE13-AG13</f>
        <v>584</v>
      </c>
      <c r="AJ13" s="11" t="e">
        <f t="shared" si="0"/>
        <v>#DIV/0!</v>
      </c>
      <c r="AK13" s="53">
        <f t="shared" si="1"/>
        <v>9.6628440366972477</v>
      </c>
      <c r="AM13" s="340"/>
      <c r="AN13" s="46" t="s">
        <v>43</v>
      </c>
      <c r="AO13" s="45">
        <f t="shared" ref="AO13:AT13" si="7">SUM(AO10:AO12)</f>
        <v>3224</v>
      </c>
      <c r="AP13" s="45">
        <f t="shared" si="7"/>
        <v>0</v>
      </c>
      <c r="AQ13" s="45">
        <f t="shared" si="7"/>
        <v>8723</v>
      </c>
      <c r="AR13" s="45">
        <f t="shared" si="7"/>
        <v>0</v>
      </c>
      <c r="AS13" s="45">
        <f t="shared" si="7"/>
        <v>5499</v>
      </c>
      <c r="AT13" s="47">
        <f t="shared" si="7"/>
        <v>3224</v>
      </c>
      <c r="AU13" s="56"/>
      <c r="AW13" s="26" t="str">
        <f>'16'!AW13</f>
        <v>ميت بره</v>
      </c>
      <c r="AX13" s="12">
        <f>'16'!AX13</f>
        <v>8</v>
      </c>
      <c r="AY13" s="12">
        <f>'16'!AY13</f>
        <v>4849</v>
      </c>
      <c r="AZ13" s="12"/>
      <c r="BA13" s="12"/>
      <c r="BB13" s="12">
        <f>BA13+'16'!BB13</f>
        <v>4093</v>
      </c>
      <c r="BC13" s="30">
        <f t="shared" si="2"/>
        <v>0.84409156527118989</v>
      </c>
      <c r="BD13" s="12">
        <f>'16'!BD13</f>
        <v>21</v>
      </c>
      <c r="BE13" s="12">
        <f>'16'!BE13</f>
        <v>1129</v>
      </c>
      <c r="BF13" s="12"/>
      <c r="BG13" s="12"/>
      <c r="BH13" s="12">
        <f>BG13+'16'!BH13</f>
        <v>128</v>
      </c>
      <c r="BI13" s="30">
        <f t="shared" si="3"/>
        <v>0.11337466784765279</v>
      </c>
    </row>
    <row r="14" spans="1:62" ht="41.5" customHeight="1" thickBot="1" x14ac:dyDescent="0.4">
      <c r="A14" s="5">
        <v>4</v>
      </c>
      <c r="B14" s="26" t="str">
        <f>'16'!B14</f>
        <v>أبنــــــــــــــــهس</v>
      </c>
      <c r="C14" s="26">
        <f>'16'!C14</f>
        <v>5029</v>
      </c>
      <c r="D14" s="26"/>
      <c r="E14" s="12"/>
      <c r="F14" s="2">
        <f>E14+'16'!F14</f>
        <v>14</v>
      </c>
      <c r="G14" s="2"/>
      <c r="H14" s="2">
        <f>G14+'16'!H14</f>
        <v>349</v>
      </c>
      <c r="I14" s="2"/>
      <c r="J14" s="2">
        <f>I14+'16'!J14</f>
        <v>2016</v>
      </c>
      <c r="K14" s="2"/>
      <c r="L14" s="2">
        <f>K14+'16'!L14</f>
        <v>0</v>
      </c>
      <c r="M14" s="2"/>
      <c r="N14" s="2">
        <f>M14+'16'!N14</f>
        <v>0</v>
      </c>
      <c r="O14" s="2"/>
      <c r="P14" s="2">
        <f>O14+'16'!P14</f>
        <v>0</v>
      </c>
      <c r="Q14" s="4">
        <f t="shared" si="4"/>
        <v>0</v>
      </c>
      <c r="R14" s="4">
        <f>Q14+'16'!R14</f>
        <v>2379</v>
      </c>
      <c r="S14" s="27">
        <f t="shared" si="5"/>
        <v>0.47305627361304436</v>
      </c>
      <c r="T14" s="12"/>
      <c r="U14" s="12">
        <f>T14+'16'!U14</f>
        <v>341</v>
      </c>
      <c r="V14" s="12"/>
      <c r="W14" s="12">
        <f>V14+'16'!W14</f>
        <v>29</v>
      </c>
      <c r="X14" s="12"/>
      <c r="Y14" s="12">
        <f>X14+'16'!Y14</f>
        <v>0</v>
      </c>
      <c r="AB14" s="5">
        <v>4</v>
      </c>
      <c r="AC14" s="26" t="str">
        <f>'16'!AC14</f>
        <v>أبنــــــــــــــــهس</v>
      </c>
      <c r="AD14" s="28">
        <f>'16'!AI14</f>
        <v>196</v>
      </c>
      <c r="AE14" s="3"/>
      <c r="AF14" s="28">
        <f>AE14+'16'!AF14</f>
        <v>440</v>
      </c>
      <c r="AG14" s="4"/>
      <c r="AH14" s="28">
        <f>AG14+'16'!AH14</f>
        <v>244</v>
      </c>
      <c r="AI14" s="4">
        <f t="shared" si="6"/>
        <v>196</v>
      </c>
      <c r="AJ14" s="11" t="e">
        <f t="shared" si="0"/>
        <v>#DIV/0!</v>
      </c>
      <c r="AK14" s="53">
        <f t="shared" si="1"/>
        <v>9.75</v>
      </c>
      <c r="AM14" s="316" t="s">
        <v>42</v>
      </c>
      <c r="AN14" s="317"/>
      <c r="AO14" s="318"/>
      <c r="AP14" s="319"/>
      <c r="AQ14" s="319"/>
      <c r="AR14" s="319"/>
      <c r="AS14" s="320"/>
      <c r="AT14" s="39">
        <f>AT13+AI51</f>
        <v>6357</v>
      </c>
      <c r="AU14" s="57"/>
      <c r="AW14" s="26" t="str">
        <f>'16'!AW14</f>
        <v>أبنــــــــــــــــهس</v>
      </c>
      <c r="AX14" s="12">
        <f>'16'!AX14</f>
        <v>7</v>
      </c>
      <c r="AY14" s="12">
        <f>'16'!AY14</f>
        <v>2531</v>
      </c>
      <c r="AZ14" s="12"/>
      <c r="BA14" s="12"/>
      <c r="BB14" s="12">
        <f>BA14+'16'!BB14</f>
        <v>2092</v>
      </c>
      <c r="BC14" s="30">
        <f t="shared" si="2"/>
        <v>0.82655077044646386</v>
      </c>
      <c r="BD14" s="12">
        <f>'16'!BD14</f>
        <v>23</v>
      </c>
      <c r="BE14" s="12">
        <f>'16'!BE14</f>
        <v>921</v>
      </c>
      <c r="BF14" s="12"/>
      <c r="BG14" s="12"/>
      <c r="BH14" s="12">
        <f>BG14+'16'!BH14</f>
        <v>287</v>
      </c>
      <c r="BI14" s="30">
        <f t="shared" si="3"/>
        <v>0.31161780673181327</v>
      </c>
    </row>
    <row r="15" spans="1:62" ht="41.5" customHeight="1" x14ac:dyDescent="0.35">
      <c r="A15" s="5">
        <v>5</v>
      </c>
      <c r="B15" s="26" t="str">
        <f>'16'!B15</f>
        <v>ميت ســـــــــراج</v>
      </c>
      <c r="C15" s="26">
        <f>'16'!C15</f>
        <v>2369</v>
      </c>
      <c r="D15" s="26"/>
      <c r="E15" s="12"/>
      <c r="F15" s="2">
        <f>E15+'16'!F15</f>
        <v>4</v>
      </c>
      <c r="G15" s="2"/>
      <c r="H15" s="2">
        <f>G15+'16'!H15</f>
        <v>472</v>
      </c>
      <c r="I15" s="2"/>
      <c r="J15" s="2">
        <f>I15+'16'!J15</f>
        <v>839</v>
      </c>
      <c r="K15" s="2"/>
      <c r="L15" s="2">
        <f>K15+'16'!L15</f>
        <v>0</v>
      </c>
      <c r="M15" s="2"/>
      <c r="N15" s="2">
        <f>M15+'16'!N15</f>
        <v>0</v>
      </c>
      <c r="O15" s="2"/>
      <c r="P15" s="2">
        <f>O15+'16'!P15</f>
        <v>0</v>
      </c>
      <c r="Q15" s="4">
        <f t="shared" si="4"/>
        <v>0</v>
      </c>
      <c r="R15" s="4">
        <f>Q15+'16'!R15</f>
        <v>1315</v>
      </c>
      <c r="S15" s="27">
        <f t="shared" si="5"/>
        <v>0.55508653440270161</v>
      </c>
      <c r="T15" s="12"/>
      <c r="U15" s="12">
        <f>T15+'16'!U15</f>
        <v>105</v>
      </c>
      <c r="V15" s="12"/>
      <c r="W15" s="12">
        <f>V15+'16'!W15</f>
        <v>37</v>
      </c>
      <c r="X15" s="12"/>
      <c r="Y15" s="12">
        <f>X15+'16'!Y15</f>
        <v>0</v>
      </c>
      <c r="AB15" s="5">
        <v>5</v>
      </c>
      <c r="AC15" s="26" t="str">
        <f>'16'!AC15</f>
        <v>ميت ســـــــــراج</v>
      </c>
      <c r="AD15" s="28">
        <f>'16'!AI15</f>
        <v>74</v>
      </c>
      <c r="AE15" s="3"/>
      <c r="AF15" s="28">
        <f>AE15+'16'!AF15</f>
        <v>209</v>
      </c>
      <c r="AG15" s="4"/>
      <c r="AH15" s="28">
        <f>AG15+'16'!AH15</f>
        <v>135</v>
      </c>
      <c r="AI15" s="4">
        <f t="shared" si="6"/>
        <v>74</v>
      </c>
      <c r="AJ15" s="11" t="e">
        <f t="shared" si="0"/>
        <v>#DIV/0!</v>
      </c>
      <c r="AK15" s="53">
        <f t="shared" si="1"/>
        <v>9.7407407407407405</v>
      </c>
      <c r="AW15" s="26" t="str">
        <f>'16'!AW15</f>
        <v>ميت ســـــــــراج</v>
      </c>
      <c r="AX15" s="12">
        <f>'16'!AX15</f>
        <v>2</v>
      </c>
      <c r="AY15" s="12">
        <f>'16'!AY15</f>
        <v>1041</v>
      </c>
      <c r="AZ15" s="12"/>
      <c r="BA15" s="12"/>
      <c r="BB15" s="12">
        <f>BA15+'16'!BB15</f>
        <v>874</v>
      </c>
      <c r="BC15" s="30">
        <f t="shared" si="2"/>
        <v>0.83957732949087416</v>
      </c>
      <c r="BD15" s="12">
        <f>'16'!BD15</f>
        <v>5</v>
      </c>
      <c r="BE15" s="12">
        <f>'16'!BE15</f>
        <v>310</v>
      </c>
      <c r="BF15" s="12"/>
      <c r="BG15" s="12"/>
      <c r="BH15" s="12">
        <f>BG15+'16'!BH15</f>
        <v>385</v>
      </c>
      <c r="BI15" s="30">
        <f t="shared" si="3"/>
        <v>1.2419354838709677</v>
      </c>
    </row>
    <row r="16" spans="1:62" ht="41.5" customHeight="1" x14ac:dyDescent="0.35">
      <c r="A16" s="5">
        <v>6</v>
      </c>
      <c r="B16" s="26" t="str">
        <f>'16'!B16</f>
        <v>أم خــــــــــــــنان</v>
      </c>
      <c r="C16" s="26">
        <f>'16'!C16</f>
        <v>4900</v>
      </c>
      <c r="D16" s="26"/>
      <c r="E16" s="12"/>
      <c r="F16" s="2">
        <f>E16+'16'!F16</f>
        <v>11</v>
      </c>
      <c r="G16" s="2"/>
      <c r="H16" s="2">
        <f>G16+'16'!H16</f>
        <v>280</v>
      </c>
      <c r="I16" s="2"/>
      <c r="J16" s="2">
        <f>I16+'16'!J16</f>
        <v>1942</v>
      </c>
      <c r="K16" s="2"/>
      <c r="L16" s="2">
        <f>K16+'16'!L16</f>
        <v>0</v>
      </c>
      <c r="M16" s="2"/>
      <c r="N16" s="2">
        <f>M16+'16'!N16</f>
        <v>0</v>
      </c>
      <c r="O16" s="2"/>
      <c r="P16" s="2">
        <f>O16+'16'!P16</f>
        <v>0</v>
      </c>
      <c r="Q16" s="4">
        <f t="shared" si="4"/>
        <v>0</v>
      </c>
      <c r="R16" s="4">
        <f>Q16+'16'!R16</f>
        <v>2233</v>
      </c>
      <c r="S16" s="27">
        <f t="shared" si="5"/>
        <v>0.45571428571428574</v>
      </c>
      <c r="T16" s="12"/>
      <c r="U16" s="12">
        <f>T16+'16'!U16</f>
        <v>375</v>
      </c>
      <c r="V16" s="12"/>
      <c r="W16" s="12">
        <f>V16+'16'!W16</f>
        <v>0</v>
      </c>
      <c r="X16" s="12"/>
      <c r="Y16" s="12">
        <f>X16+'16'!Y16</f>
        <v>0</v>
      </c>
      <c r="AB16" s="5">
        <v>6</v>
      </c>
      <c r="AC16" s="26" t="str">
        <f>'16'!AC16</f>
        <v>أم خــــــــــــــنان</v>
      </c>
      <c r="AD16" s="28">
        <f>'16'!AI16</f>
        <v>204</v>
      </c>
      <c r="AE16" s="3"/>
      <c r="AF16" s="28">
        <f>AE16+'16'!AF16</f>
        <v>430</v>
      </c>
      <c r="AG16" s="4"/>
      <c r="AH16" s="28">
        <f>AG16+'16'!AH16</f>
        <v>226</v>
      </c>
      <c r="AI16" s="4">
        <f t="shared" si="6"/>
        <v>204</v>
      </c>
      <c r="AJ16" s="11" t="e">
        <f t="shared" si="0"/>
        <v>#DIV/0!</v>
      </c>
      <c r="AK16" s="53">
        <f t="shared" si="1"/>
        <v>9.8805309734513269</v>
      </c>
      <c r="AW16" s="26" t="str">
        <f>'16'!AW16</f>
        <v>أم خــــــــــــــنان</v>
      </c>
      <c r="AX16" s="12">
        <f>'16'!AX16</f>
        <v>8</v>
      </c>
      <c r="AY16" s="12">
        <f>'16'!AY16</f>
        <v>2981</v>
      </c>
      <c r="AZ16" s="12"/>
      <c r="BA16" s="12"/>
      <c r="BB16" s="12">
        <f>BA16+'16'!BB16</f>
        <v>2132</v>
      </c>
      <c r="BC16" s="30">
        <f t="shared" si="2"/>
        <v>0.71519624287151962</v>
      </c>
      <c r="BD16" s="12">
        <f>'16'!BD16</f>
        <v>12</v>
      </c>
      <c r="BE16" s="12">
        <f>'16'!BE16</f>
        <v>1313</v>
      </c>
      <c r="BF16" s="12"/>
      <c r="BG16" s="12"/>
      <c r="BH16" s="12">
        <f>BG16+'16'!BH16</f>
        <v>0</v>
      </c>
      <c r="BI16" s="30">
        <f t="shared" si="3"/>
        <v>0</v>
      </c>
    </row>
    <row r="17" spans="1:61" ht="41.5" customHeight="1" x14ac:dyDescent="0.35">
      <c r="A17" s="5">
        <v>7</v>
      </c>
      <c r="B17" s="26" t="str">
        <f>'16'!B17</f>
        <v>أجهور الرمل</v>
      </c>
      <c r="C17" s="26">
        <f>'16'!C17</f>
        <v>3590</v>
      </c>
      <c r="D17" s="26"/>
      <c r="E17" s="12"/>
      <c r="F17" s="2">
        <f>E17+'16'!F17</f>
        <v>17</v>
      </c>
      <c r="G17" s="2"/>
      <c r="H17" s="2">
        <f>G17+'16'!H17</f>
        <v>591</v>
      </c>
      <c r="I17" s="2"/>
      <c r="J17" s="2">
        <f>I17+'16'!J17</f>
        <v>1489</v>
      </c>
      <c r="K17" s="2"/>
      <c r="L17" s="2">
        <f>K17+'16'!L17</f>
        <v>0</v>
      </c>
      <c r="M17" s="2"/>
      <c r="N17" s="2">
        <f>M17+'16'!N17</f>
        <v>0</v>
      </c>
      <c r="O17" s="2"/>
      <c r="P17" s="2">
        <f>O17+'16'!P17</f>
        <v>0</v>
      </c>
      <c r="Q17" s="4">
        <f t="shared" si="4"/>
        <v>0</v>
      </c>
      <c r="R17" s="4">
        <f>Q17+'16'!R17</f>
        <v>2097</v>
      </c>
      <c r="S17" s="27">
        <f t="shared" si="5"/>
        <v>0.58412256267409468</v>
      </c>
      <c r="T17" s="12"/>
      <c r="U17" s="12">
        <f>T17+'16'!U17</f>
        <v>360</v>
      </c>
      <c r="V17" s="12"/>
      <c r="W17" s="12">
        <f>V17+'16'!W17</f>
        <v>121</v>
      </c>
      <c r="X17" s="12"/>
      <c r="Y17" s="12">
        <f>X17+'16'!Y17</f>
        <v>0</v>
      </c>
      <c r="AB17" s="5">
        <v>7</v>
      </c>
      <c r="AC17" s="26" t="str">
        <f>'16'!AC17</f>
        <v>أجهور الرمل</v>
      </c>
      <c r="AD17" s="28">
        <f>'16'!AI17</f>
        <v>100</v>
      </c>
      <c r="AE17" s="3"/>
      <c r="AF17" s="28">
        <f>AE17+'16'!AF17</f>
        <v>316</v>
      </c>
      <c r="AG17" s="4"/>
      <c r="AH17" s="28">
        <f>AG17+'16'!AH17</f>
        <v>216</v>
      </c>
      <c r="AI17" s="4">
        <f t="shared" si="6"/>
        <v>100</v>
      </c>
      <c r="AJ17" s="11" t="e">
        <f t="shared" si="0"/>
        <v>#DIV/0!</v>
      </c>
      <c r="AK17" s="53">
        <f t="shared" si="1"/>
        <v>9.7083333333333339</v>
      </c>
      <c r="AW17" s="26" t="str">
        <f>'16'!AW17</f>
        <v>أجهور الرمل</v>
      </c>
      <c r="AX17" s="12">
        <f>'16'!AX17</f>
        <v>4</v>
      </c>
      <c r="AY17" s="12">
        <f>'16'!AY17</f>
        <v>1796</v>
      </c>
      <c r="AZ17" s="12"/>
      <c r="BA17" s="12"/>
      <c r="BB17" s="12">
        <f>BA17+'16'!BB17</f>
        <v>1422</v>
      </c>
      <c r="BC17" s="30">
        <f t="shared" si="2"/>
        <v>0.79175946547884191</v>
      </c>
      <c r="BD17" s="12">
        <f>'16'!BD17</f>
        <v>3</v>
      </c>
      <c r="BE17" s="12">
        <f>'16'!BE17</f>
        <v>100</v>
      </c>
      <c r="BF17" s="12"/>
      <c r="BG17" s="12"/>
      <c r="BH17" s="12">
        <f>BG17+'16'!BH17</f>
        <v>441</v>
      </c>
      <c r="BI17" s="30">
        <f t="shared" si="3"/>
        <v>4.41</v>
      </c>
    </row>
    <row r="18" spans="1:61" ht="41.5" customHeight="1" x14ac:dyDescent="0.35">
      <c r="A18" s="5">
        <v>8</v>
      </c>
      <c r="B18" s="26" t="str">
        <f>'16'!B18</f>
        <v>منشأة دمــــــــــلو</v>
      </c>
      <c r="C18" s="26">
        <f>'16'!C18</f>
        <v>1320</v>
      </c>
      <c r="D18" s="26"/>
      <c r="E18" s="12"/>
      <c r="F18" s="2">
        <f>E18+'16'!F18</f>
        <v>18</v>
      </c>
      <c r="G18" s="2"/>
      <c r="H18" s="2">
        <f>G18+'16'!H18</f>
        <v>528</v>
      </c>
      <c r="I18" s="2"/>
      <c r="J18" s="2">
        <f>I18+'16'!J18</f>
        <v>704</v>
      </c>
      <c r="K18" s="2"/>
      <c r="L18" s="2">
        <f>K18+'16'!L18</f>
        <v>0</v>
      </c>
      <c r="M18" s="2"/>
      <c r="N18" s="2">
        <f>M18+'16'!N18</f>
        <v>0</v>
      </c>
      <c r="O18" s="2"/>
      <c r="P18" s="2">
        <f>O18+'16'!P18</f>
        <v>0</v>
      </c>
      <c r="Q18" s="4">
        <f t="shared" si="4"/>
        <v>0</v>
      </c>
      <c r="R18" s="4">
        <f>Q18+'16'!R18</f>
        <v>1250</v>
      </c>
      <c r="S18" s="27">
        <f t="shared" si="5"/>
        <v>0.94696969696969702</v>
      </c>
      <c r="T18" s="12"/>
      <c r="U18" s="12">
        <f>T18+'16'!U18</f>
        <v>175</v>
      </c>
      <c r="V18" s="12"/>
      <c r="W18" s="12">
        <f>V18+'16'!W18</f>
        <v>38</v>
      </c>
      <c r="X18" s="12"/>
      <c r="Y18" s="12">
        <f>X18+'16'!Y18</f>
        <v>0</v>
      </c>
      <c r="AB18" s="5">
        <v>8</v>
      </c>
      <c r="AC18" s="26" t="str">
        <f>'16'!AC18</f>
        <v>منشأة دمــــــــــلو</v>
      </c>
      <c r="AD18" s="28">
        <f>'16'!AI18</f>
        <v>4</v>
      </c>
      <c r="AE18" s="3"/>
      <c r="AF18" s="28">
        <f>AE18+'16'!AF18</f>
        <v>135</v>
      </c>
      <c r="AG18" s="4"/>
      <c r="AH18" s="28">
        <f>AG18+'16'!AH18</f>
        <v>131</v>
      </c>
      <c r="AI18" s="4">
        <f t="shared" si="6"/>
        <v>4</v>
      </c>
      <c r="AJ18" s="11" t="e">
        <f t="shared" si="0"/>
        <v>#DIV/0!</v>
      </c>
      <c r="AK18" s="53">
        <f t="shared" si="1"/>
        <v>9.5419847328244281</v>
      </c>
      <c r="AW18" s="26" t="str">
        <f>'16'!AW18</f>
        <v>منشأة دمــــــــــلو</v>
      </c>
      <c r="AX18" s="12">
        <f>'16'!AX18</f>
        <v>2</v>
      </c>
      <c r="AY18" s="12">
        <f>'16'!AY18</f>
        <v>896</v>
      </c>
      <c r="AZ18" s="12"/>
      <c r="BA18" s="12"/>
      <c r="BB18" s="12">
        <f>BA18+'16'!BB18</f>
        <v>748</v>
      </c>
      <c r="BC18" s="30">
        <f t="shared" si="2"/>
        <v>0.8348214285714286</v>
      </c>
      <c r="BD18" s="12">
        <f>'16'!BD18</f>
        <v>8</v>
      </c>
      <c r="BE18" s="12">
        <f>'16'!BE18</f>
        <v>340</v>
      </c>
      <c r="BF18" s="12"/>
      <c r="BG18" s="12"/>
      <c r="BH18" s="12">
        <f>BG18+'16'!BH18</f>
        <v>328</v>
      </c>
      <c r="BI18" s="30">
        <f t="shared" si="3"/>
        <v>0.96470588235294119</v>
      </c>
    </row>
    <row r="19" spans="1:61" ht="41.5" customHeight="1" x14ac:dyDescent="0.35">
      <c r="A19" s="5">
        <v>9</v>
      </c>
      <c r="B19" s="26" t="str">
        <f>'16'!B19</f>
        <v>شـــــــــــــرانيس</v>
      </c>
      <c r="C19" s="26">
        <f>'16'!C19</f>
        <v>1414</v>
      </c>
      <c r="D19" s="26"/>
      <c r="E19" s="12"/>
      <c r="F19" s="2">
        <f>E19+'16'!F19</f>
        <v>11</v>
      </c>
      <c r="G19" s="2"/>
      <c r="H19" s="2">
        <f>G19+'16'!H19</f>
        <v>359</v>
      </c>
      <c r="I19" s="2"/>
      <c r="J19" s="2">
        <f>I19+'16'!J19</f>
        <v>618</v>
      </c>
      <c r="K19" s="2"/>
      <c r="L19" s="2">
        <f>K19+'16'!L19</f>
        <v>0</v>
      </c>
      <c r="M19" s="2"/>
      <c r="N19" s="2">
        <f>M19+'16'!N19</f>
        <v>0</v>
      </c>
      <c r="O19" s="2"/>
      <c r="P19" s="2">
        <f>O19+'16'!P19</f>
        <v>0</v>
      </c>
      <c r="Q19" s="4">
        <f t="shared" si="4"/>
        <v>0</v>
      </c>
      <c r="R19" s="4">
        <f>Q19+'16'!R19</f>
        <v>988</v>
      </c>
      <c r="S19" s="27">
        <f t="shared" si="5"/>
        <v>0.69872701555869876</v>
      </c>
      <c r="T19" s="12"/>
      <c r="U19" s="12">
        <f>T19+'16'!U19</f>
        <v>143</v>
      </c>
      <c r="V19" s="12"/>
      <c r="W19" s="12">
        <f>V19+'16'!W19</f>
        <v>0</v>
      </c>
      <c r="X19" s="12"/>
      <c r="Y19" s="12">
        <f>X19+'16'!Y19</f>
        <v>0</v>
      </c>
      <c r="AB19" s="5">
        <v>9</v>
      </c>
      <c r="AC19" s="26" t="str">
        <f>'16'!AC19</f>
        <v>شـــــــــــــرانيس</v>
      </c>
      <c r="AD19" s="28">
        <f>'16'!AI19</f>
        <v>22</v>
      </c>
      <c r="AE19" s="3"/>
      <c r="AF19" s="28">
        <f>AE19+'16'!AF19</f>
        <v>125</v>
      </c>
      <c r="AG19" s="4"/>
      <c r="AH19" s="28">
        <f>AG19+'16'!AH19</f>
        <v>103</v>
      </c>
      <c r="AI19" s="4">
        <f t="shared" si="6"/>
        <v>22</v>
      </c>
      <c r="AJ19" s="11" t="e">
        <f t="shared" si="0"/>
        <v>#DIV/0!</v>
      </c>
      <c r="AK19" s="53">
        <f t="shared" si="1"/>
        <v>9.5922330097087372</v>
      </c>
      <c r="AW19" s="26" t="str">
        <f>'16'!AW19</f>
        <v>شـــــــــــــرانيس</v>
      </c>
      <c r="AX19" s="12">
        <f>'16'!AX19</f>
        <v>2</v>
      </c>
      <c r="AY19" s="12">
        <f>'16'!AY19</f>
        <v>675</v>
      </c>
      <c r="AZ19" s="12"/>
      <c r="BA19" s="12"/>
      <c r="BB19" s="12">
        <f>BA19+'16'!BB19</f>
        <v>569</v>
      </c>
      <c r="BC19" s="30">
        <f t="shared" si="2"/>
        <v>0.84296296296296291</v>
      </c>
      <c r="BD19" s="12">
        <f>'16'!BD19</f>
        <v>2</v>
      </c>
      <c r="BE19" s="12">
        <f>'16'!BE19</f>
        <v>397</v>
      </c>
      <c r="BF19" s="12"/>
      <c r="BG19" s="12"/>
      <c r="BH19" s="12">
        <f>BG19+'16'!BH19</f>
        <v>349</v>
      </c>
      <c r="BI19" s="30">
        <f t="shared" si="3"/>
        <v>0.87909319899244331</v>
      </c>
    </row>
    <row r="20" spans="1:61" ht="41.5" customHeight="1" x14ac:dyDescent="0.35">
      <c r="A20" s="5">
        <v>10</v>
      </c>
      <c r="B20" s="26" t="str">
        <f>'16'!B20</f>
        <v>قويســـــــــنا البلد</v>
      </c>
      <c r="C20" s="26">
        <f>'16'!C20</f>
        <v>4115</v>
      </c>
      <c r="D20" s="26"/>
      <c r="E20" s="12"/>
      <c r="F20" s="2">
        <f>E20+'16'!F20</f>
        <v>27</v>
      </c>
      <c r="G20" s="2"/>
      <c r="H20" s="2">
        <f>G20+'16'!H20</f>
        <v>406</v>
      </c>
      <c r="I20" s="2"/>
      <c r="J20" s="2">
        <f>I20+'16'!J20</f>
        <v>1286</v>
      </c>
      <c r="K20" s="2"/>
      <c r="L20" s="2">
        <f>K20+'16'!L20</f>
        <v>0</v>
      </c>
      <c r="M20" s="2"/>
      <c r="N20" s="2">
        <f>M20+'16'!N20</f>
        <v>0</v>
      </c>
      <c r="O20" s="2"/>
      <c r="P20" s="2">
        <f>O20+'16'!P20</f>
        <v>0</v>
      </c>
      <c r="Q20" s="4">
        <f t="shared" si="4"/>
        <v>0</v>
      </c>
      <c r="R20" s="4">
        <f>Q20+'16'!R20</f>
        <v>1719</v>
      </c>
      <c r="S20" s="27">
        <f t="shared" si="5"/>
        <v>0.41773997569866345</v>
      </c>
      <c r="T20" s="12"/>
      <c r="U20" s="12">
        <f>T20+'16'!U20</f>
        <v>405</v>
      </c>
      <c r="V20" s="12"/>
      <c r="W20" s="12">
        <f>V20+'16'!W20</f>
        <v>144</v>
      </c>
      <c r="X20" s="12"/>
      <c r="Y20" s="12">
        <f>X20+'16'!Y20</f>
        <v>0</v>
      </c>
      <c r="AB20" s="5">
        <v>10</v>
      </c>
      <c r="AC20" s="26" t="str">
        <f>'16'!AC20</f>
        <v>قويســـــــــنا البلد</v>
      </c>
      <c r="AD20" s="28">
        <f>'16'!AI20</f>
        <v>185</v>
      </c>
      <c r="AE20" s="3"/>
      <c r="AF20" s="28">
        <f>AE20+'16'!AF20</f>
        <v>360</v>
      </c>
      <c r="AG20" s="4"/>
      <c r="AH20" s="28">
        <f>AG20+'16'!AH20</f>
        <v>175</v>
      </c>
      <c r="AI20" s="4">
        <f t="shared" si="6"/>
        <v>185</v>
      </c>
      <c r="AJ20" s="11" t="e">
        <f t="shared" si="0"/>
        <v>#DIV/0!</v>
      </c>
      <c r="AK20" s="53">
        <f t="shared" si="1"/>
        <v>9.8228571428571421</v>
      </c>
      <c r="AW20" s="26" t="str">
        <f>'16'!AW20</f>
        <v>قويســـــــــنا البلد</v>
      </c>
      <c r="AX20" s="12">
        <f>'16'!AX20</f>
        <v>2</v>
      </c>
      <c r="AY20" s="12">
        <f>'16'!AY20</f>
        <v>1539</v>
      </c>
      <c r="AZ20" s="12"/>
      <c r="BA20" s="12"/>
      <c r="BB20" s="12">
        <f>BA20+'16'!BB20</f>
        <v>1355</v>
      </c>
      <c r="BC20" s="30">
        <f t="shared" si="2"/>
        <v>0.88044184535412606</v>
      </c>
      <c r="BD20" s="12">
        <f>'16'!BD20</f>
        <v>7</v>
      </c>
      <c r="BE20" s="12">
        <f>'16'!BE20</f>
        <v>580</v>
      </c>
      <c r="BF20" s="12"/>
      <c r="BG20" s="12"/>
      <c r="BH20" s="12">
        <f>BG20+'16'!BH20</f>
        <v>204</v>
      </c>
      <c r="BI20" s="30">
        <f t="shared" si="3"/>
        <v>0.35172413793103446</v>
      </c>
    </row>
    <row r="21" spans="1:61" ht="41.5" customHeight="1" x14ac:dyDescent="0.35">
      <c r="A21" s="5">
        <v>11</v>
      </c>
      <c r="B21" s="26" t="str">
        <f>'16'!B21</f>
        <v>بجيرم</v>
      </c>
      <c r="C21" s="26">
        <f>'16'!C21</f>
        <v>1782</v>
      </c>
      <c r="D21" s="26"/>
      <c r="E21" s="12"/>
      <c r="F21" s="2">
        <f>E21+'16'!F21</f>
        <v>8</v>
      </c>
      <c r="G21" s="2"/>
      <c r="H21" s="2">
        <f>G21+'16'!H21</f>
        <v>406</v>
      </c>
      <c r="I21" s="2"/>
      <c r="J21" s="2">
        <f>I21+'16'!J21</f>
        <v>755</v>
      </c>
      <c r="K21" s="2"/>
      <c r="L21" s="2">
        <f>K21+'16'!L21</f>
        <v>0</v>
      </c>
      <c r="M21" s="2"/>
      <c r="N21" s="2">
        <f>M21+'16'!N21</f>
        <v>0</v>
      </c>
      <c r="O21" s="2"/>
      <c r="P21" s="2">
        <f>O21+'16'!P21</f>
        <v>0</v>
      </c>
      <c r="Q21" s="4">
        <f t="shared" si="4"/>
        <v>0</v>
      </c>
      <c r="R21" s="4">
        <f>Q21+'16'!R21</f>
        <v>1169</v>
      </c>
      <c r="S21" s="27">
        <f t="shared" si="5"/>
        <v>0.65600448933782263</v>
      </c>
      <c r="T21" s="12"/>
      <c r="U21" s="12">
        <f>T21+'16'!U21</f>
        <v>126</v>
      </c>
      <c r="V21" s="12"/>
      <c r="W21" s="12">
        <f>V21+'16'!W21</f>
        <v>44</v>
      </c>
      <c r="X21" s="12"/>
      <c r="Y21" s="12">
        <f>X21+'16'!Y21</f>
        <v>0</v>
      </c>
      <c r="AB21" s="5">
        <v>11</v>
      </c>
      <c r="AC21" s="26" t="str">
        <f>'16'!AC21</f>
        <v>بجيرم</v>
      </c>
      <c r="AD21" s="28">
        <f>'16'!AI21</f>
        <v>37</v>
      </c>
      <c r="AE21" s="3"/>
      <c r="AF21" s="28">
        <f>AE21+'16'!AF21</f>
        <v>157</v>
      </c>
      <c r="AG21" s="4"/>
      <c r="AH21" s="28">
        <f>AG21+'16'!AH21</f>
        <v>120</v>
      </c>
      <c r="AI21" s="4">
        <f t="shared" si="6"/>
        <v>37</v>
      </c>
      <c r="AJ21" s="11" t="e">
        <f t="shared" si="0"/>
        <v>#DIV/0!</v>
      </c>
      <c r="AK21" s="53">
        <f t="shared" si="1"/>
        <v>9.7416666666666671</v>
      </c>
      <c r="AW21" s="26" t="str">
        <f>'16'!AW21</f>
        <v>بجيرم</v>
      </c>
      <c r="AX21" s="12">
        <f>'16'!AX21</f>
        <v>4</v>
      </c>
      <c r="AY21" s="12">
        <f>'16'!AY21</f>
        <v>946</v>
      </c>
      <c r="AZ21" s="12"/>
      <c r="BA21" s="12"/>
      <c r="BB21" s="12">
        <f>BA21+'16'!BB21</f>
        <v>823</v>
      </c>
      <c r="BC21" s="30">
        <f t="shared" si="2"/>
        <v>0.86997885835095135</v>
      </c>
      <c r="BD21" s="12">
        <f>'16'!BD21</f>
        <v>4</v>
      </c>
      <c r="BE21" s="12">
        <f>'16'!BE21</f>
        <v>99</v>
      </c>
      <c r="BF21" s="12"/>
      <c r="BG21" s="12"/>
      <c r="BH21" s="12">
        <f>BG21+'16'!BH21</f>
        <v>99</v>
      </c>
      <c r="BI21" s="30">
        <f t="shared" si="3"/>
        <v>1</v>
      </c>
    </row>
    <row r="22" spans="1:61" ht="30" customHeight="1" x14ac:dyDescent="0.35">
      <c r="A22" s="5">
        <v>12</v>
      </c>
      <c r="B22" s="26" t="str">
        <f>'16'!B22</f>
        <v>كفر بنى غريـــان</v>
      </c>
      <c r="C22" s="26">
        <f>'16'!C22</f>
        <v>2184</v>
      </c>
      <c r="D22" s="26"/>
      <c r="E22" s="12"/>
      <c r="F22" s="2">
        <f>E22+'16'!F22</f>
        <v>12</v>
      </c>
      <c r="G22" s="2"/>
      <c r="H22" s="2">
        <f>G22+'16'!H22</f>
        <v>471</v>
      </c>
      <c r="I22" s="2"/>
      <c r="J22" s="2">
        <f>I22+'16'!J22</f>
        <v>971</v>
      </c>
      <c r="K22" s="2"/>
      <c r="L22" s="2">
        <f>K22+'16'!L22</f>
        <v>0</v>
      </c>
      <c r="M22" s="2"/>
      <c r="N22" s="2">
        <f>M22+'16'!N22</f>
        <v>0</v>
      </c>
      <c r="O22" s="2"/>
      <c r="P22" s="2">
        <f>O22+'16'!P22</f>
        <v>0</v>
      </c>
      <c r="Q22" s="4">
        <f t="shared" si="4"/>
        <v>0</v>
      </c>
      <c r="R22" s="4">
        <f>Q22+'16'!R22</f>
        <v>1454</v>
      </c>
      <c r="S22" s="27">
        <f t="shared" si="5"/>
        <v>0.66575091575091572</v>
      </c>
      <c r="T22" s="12"/>
      <c r="U22" s="12">
        <f>T22+'16'!U22</f>
        <v>174</v>
      </c>
      <c r="V22" s="12"/>
      <c r="W22" s="12">
        <f>V22+'16'!W22</f>
        <v>7</v>
      </c>
      <c r="X22" s="12"/>
      <c r="Y22" s="12">
        <f>X22+'16'!Y22</f>
        <v>0</v>
      </c>
      <c r="AB22" s="5">
        <v>12</v>
      </c>
      <c r="AC22" s="26" t="str">
        <f>'16'!AC22</f>
        <v>كفر بنى غريـــان</v>
      </c>
      <c r="AD22" s="28">
        <f>'16'!AI22</f>
        <v>42</v>
      </c>
      <c r="AE22" s="3"/>
      <c r="AF22" s="28">
        <f>AE22+'16'!AF22</f>
        <v>192</v>
      </c>
      <c r="AG22" s="4"/>
      <c r="AH22" s="28">
        <f>AG22+'16'!AH22</f>
        <v>150</v>
      </c>
      <c r="AI22" s="4">
        <f t="shared" si="6"/>
        <v>42</v>
      </c>
      <c r="AJ22" s="11" t="e">
        <f t="shared" si="0"/>
        <v>#DIV/0!</v>
      </c>
      <c r="AK22" s="53">
        <f t="shared" si="1"/>
        <v>9.6933333333333334</v>
      </c>
      <c r="AW22" s="26" t="str">
        <f>'16'!AW22</f>
        <v>كفر بنى غريـــان</v>
      </c>
      <c r="AX22" s="12">
        <f>'16'!AX22</f>
        <v>3</v>
      </c>
      <c r="AY22" s="12">
        <f>'16'!AY22</f>
        <v>1327</v>
      </c>
      <c r="AZ22" s="12"/>
      <c r="BA22" s="12"/>
      <c r="BB22" s="12">
        <f>BA22+'16'!BB22</f>
        <v>994</v>
      </c>
      <c r="BC22" s="30">
        <f t="shared" si="2"/>
        <v>0.74905802562170309</v>
      </c>
      <c r="BD22" s="12">
        <f>'16'!BD22</f>
        <v>9</v>
      </c>
      <c r="BE22" s="12">
        <f>'16'!BE22</f>
        <v>381</v>
      </c>
      <c r="BF22" s="12"/>
      <c r="BG22" s="12"/>
      <c r="BH22" s="12">
        <f>BG22+'16'!BH22</f>
        <v>387</v>
      </c>
      <c r="BI22" s="30">
        <f t="shared" si="3"/>
        <v>1.015748031496063</v>
      </c>
    </row>
    <row r="23" spans="1:61" ht="30" customHeight="1" x14ac:dyDescent="0.35">
      <c r="A23" s="5">
        <v>13</v>
      </c>
      <c r="B23" s="26" t="str">
        <f>'16'!B23</f>
        <v>بــقســـــــــــــــــا</v>
      </c>
      <c r="C23" s="26">
        <f>'16'!C23</f>
        <v>862</v>
      </c>
      <c r="D23" s="26"/>
      <c r="E23" s="12"/>
      <c r="F23" s="2">
        <f>E23+'16'!F23</f>
        <v>8</v>
      </c>
      <c r="G23" s="2"/>
      <c r="H23" s="2">
        <f>G23+'16'!H23</f>
        <v>160</v>
      </c>
      <c r="I23" s="2"/>
      <c r="J23" s="2">
        <f>I23+'16'!J23</f>
        <v>359</v>
      </c>
      <c r="K23" s="2"/>
      <c r="L23" s="2">
        <f>K23+'16'!L23</f>
        <v>0</v>
      </c>
      <c r="M23" s="2"/>
      <c r="N23" s="2">
        <f>M23+'16'!N23</f>
        <v>0</v>
      </c>
      <c r="O23" s="2"/>
      <c r="P23" s="2">
        <f>O23+'16'!P23</f>
        <v>0</v>
      </c>
      <c r="Q23" s="4">
        <f t="shared" si="4"/>
        <v>0</v>
      </c>
      <c r="R23" s="4">
        <f>Q23+'16'!R23</f>
        <v>527</v>
      </c>
      <c r="S23" s="27">
        <f t="shared" si="5"/>
        <v>0.61136890951276102</v>
      </c>
      <c r="T23" s="12"/>
      <c r="U23" s="12">
        <f>T23+'16'!U23</f>
        <v>36</v>
      </c>
      <c r="V23" s="12"/>
      <c r="W23" s="12">
        <f>V23+'16'!W23</f>
        <v>14</v>
      </c>
      <c r="X23" s="12"/>
      <c r="Y23" s="12">
        <f>X23+'16'!Y23</f>
        <v>0</v>
      </c>
      <c r="AB23" s="5">
        <v>13</v>
      </c>
      <c r="AC23" s="26" t="str">
        <f>'16'!AC23</f>
        <v>بــقســـــــــــــــــا</v>
      </c>
      <c r="AD23" s="28">
        <f>'16'!AI23</f>
        <v>22</v>
      </c>
      <c r="AE23" s="3"/>
      <c r="AF23" s="28">
        <f>AE23+'16'!AF23</f>
        <v>75</v>
      </c>
      <c r="AG23" s="4"/>
      <c r="AH23" s="28">
        <f>AG23+'16'!AH23</f>
        <v>53</v>
      </c>
      <c r="AI23" s="4">
        <f t="shared" si="6"/>
        <v>22</v>
      </c>
      <c r="AJ23" s="11" t="e">
        <f t="shared" si="0"/>
        <v>#DIV/0!</v>
      </c>
      <c r="AK23" s="53">
        <f t="shared" si="1"/>
        <v>9.9433962264150946</v>
      </c>
      <c r="AW23" s="26" t="str">
        <f>'16'!AW23</f>
        <v>بــقســـــــــــــــــا</v>
      </c>
      <c r="AX23" s="12">
        <f>'16'!AX23</f>
        <v>1</v>
      </c>
      <c r="AY23" s="12">
        <f>'16'!AY23</f>
        <v>311</v>
      </c>
      <c r="AZ23" s="12"/>
      <c r="BA23" s="12"/>
      <c r="BB23" s="12">
        <f>BA23+'16'!BB23</f>
        <v>297</v>
      </c>
      <c r="BC23" s="30">
        <f t="shared" si="2"/>
        <v>0.954983922829582</v>
      </c>
      <c r="BD23" s="12">
        <f>'16'!BD23</f>
        <v>1</v>
      </c>
      <c r="BE23" s="12">
        <f>'16'!BE23</f>
        <v>40</v>
      </c>
      <c r="BF23" s="12"/>
      <c r="BG23" s="12"/>
      <c r="BH23" s="12">
        <f>BG23+'16'!BH23</f>
        <v>30</v>
      </c>
      <c r="BI23" s="30">
        <f t="shared" si="3"/>
        <v>0.75</v>
      </c>
    </row>
    <row r="24" spans="1:61" ht="37.15" customHeight="1" x14ac:dyDescent="0.35">
      <c r="A24" s="5">
        <v>14</v>
      </c>
      <c r="B24" s="26" t="str">
        <f>'16'!B24</f>
        <v>كفــــــــر الأكرم</v>
      </c>
      <c r="C24" s="26">
        <f>'16'!C24</f>
        <v>918</v>
      </c>
      <c r="D24" s="26"/>
      <c r="E24" s="12"/>
      <c r="F24" s="2">
        <f>E24+'16'!F24</f>
        <v>3</v>
      </c>
      <c r="G24" s="2"/>
      <c r="H24" s="2">
        <f>G24+'16'!H24</f>
        <v>233</v>
      </c>
      <c r="I24" s="2"/>
      <c r="J24" s="2">
        <f>I24+'16'!J24</f>
        <v>392</v>
      </c>
      <c r="K24" s="2"/>
      <c r="L24" s="2">
        <f>K24+'16'!L24</f>
        <v>0</v>
      </c>
      <c r="M24" s="2"/>
      <c r="N24" s="2">
        <f>M24+'16'!N24</f>
        <v>0</v>
      </c>
      <c r="O24" s="2"/>
      <c r="P24" s="2">
        <f>O24+'16'!P24</f>
        <v>0</v>
      </c>
      <c r="Q24" s="4">
        <f t="shared" si="4"/>
        <v>0</v>
      </c>
      <c r="R24" s="4">
        <f>Q24+'16'!R24</f>
        <v>628</v>
      </c>
      <c r="S24" s="27">
        <f t="shared" si="5"/>
        <v>0.68409586056644878</v>
      </c>
      <c r="T24" s="12"/>
      <c r="U24" s="12">
        <f>T24+'16'!U24</f>
        <v>87</v>
      </c>
      <c r="V24" s="12"/>
      <c r="W24" s="12">
        <f>V24+'16'!W24</f>
        <v>9</v>
      </c>
      <c r="X24" s="12"/>
      <c r="Y24" s="12">
        <f>X24+'16'!Y24</f>
        <v>0</v>
      </c>
      <c r="AB24" s="5">
        <v>14</v>
      </c>
      <c r="AC24" s="26" t="str">
        <f>'16'!AC24</f>
        <v>كفــــــــر الأكرم</v>
      </c>
      <c r="AD24" s="28">
        <f>'16'!AI24</f>
        <v>15</v>
      </c>
      <c r="AE24" s="3"/>
      <c r="AF24" s="28">
        <f>AE24+'16'!AF24</f>
        <v>80</v>
      </c>
      <c r="AG24" s="4"/>
      <c r="AH24" s="28">
        <f>AG24+'16'!AH24</f>
        <v>65</v>
      </c>
      <c r="AI24" s="4">
        <f t="shared" si="6"/>
        <v>15</v>
      </c>
      <c r="AJ24" s="11" t="e">
        <f t="shared" si="0"/>
        <v>#DIV/0!</v>
      </c>
      <c r="AK24" s="53">
        <f t="shared" si="1"/>
        <v>9.661538461538461</v>
      </c>
      <c r="AW24" s="26" t="str">
        <f>'16'!AW24</f>
        <v>كفــــــــر الأكرم</v>
      </c>
      <c r="AX24" s="12">
        <f>'16'!AX24</f>
        <v>2</v>
      </c>
      <c r="AY24" s="12">
        <f>'16'!AY24</f>
        <v>540</v>
      </c>
      <c r="AZ24" s="12"/>
      <c r="BA24" s="12"/>
      <c r="BB24" s="12">
        <f>BA24+'16'!BB24</f>
        <v>380</v>
      </c>
      <c r="BC24" s="30">
        <f t="shared" si="2"/>
        <v>0.70370370370370372</v>
      </c>
      <c r="BD24" s="12">
        <f>'16'!BD24</f>
        <v>2</v>
      </c>
      <c r="BE24" s="12">
        <f>'16'!BE24</f>
        <v>115</v>
      </c>
      <c r="BF24" s="12"/>
      <c r="BG24" s="12"/>
      <c r="BH24" s="12">
        <f>BG24+'16'!BH24</f>
        <v>160</v>
      </c>
      <c r="BI24" s="30">
        <f t="shared" si="3"/>
        <v>1.3913043478260869</v>
      </c>
    </row>
    <row r="25" spans="1:61" ht="28.9" customHeight="1" x14ac:dyDescent="0.35">
      <c r="A25" s="5">
        <v>15</v>
      </c>
      <c r="B25" s="26" t="str">
        <f>'16'!B25</f>
        <v>كفـــــــــر إبنهس</v>
      </c>
      <c r="C25" s="26">
        <f>'16'!C25</f>
        <v>2072</v>
      </c>
      <c r="D25" s="26"/>
      <c r="E25" s="12"/>
      <c r="F25" s="2">
        <f>E25+'16'!F25</f>
        <v>6</v>
      </c>
      <c r="G25" s="2"/>
      <c r="H25" s="2">
        <f>G25+'16'!H25</f>
        <v>345</v>
      </c>
      <c r="I25" s="2"/>
      <c r="J25" s="2">
        <f>I25+'16'!J25</f>
        <v>974</v>
      </c>
      <c r="K25" s="2"/>
      <c r="L25" s="2">
        <f>K25+'16'!L25</f>
        <v>0</v>
      </c>
      <c r="M25" s="2"/>
      <c r="N25" s="2">
        <f>M25+'16'!N25</f>
        <v>0</v>
      </c>
      <c r="O25" s="2"/>
      <c r="P25" s="2">
        <f>O25+'16'!P25</f>
        <v>0</v>
      </c>
      <c r="Q25" s="4">
        <f t="shared" si="4"/>
        <v>0</v>
      </c>
      <c r="R25" s="4">
        <f>Q25+'16'!R25</f>
        <v>1325</v>
      </c>
      <c r="S25" s="27">
        <f t="shared" si="5"/>
        <v>0.63947876447876451</v>
      </c>
      <c r="T25" s="12"/>
      <c r="U25" s="12">
        <f>T25+'16'!U25</f>
        <v>173</v>
      </c>
      <c r="V25" s="12"/>
      <c r="W25" s="12">
        <f>V25+'16'!W25</f>
        <v>50</v>
      </c>
      <c r="X25" s="12"/>
      <c r="Y25" s="12">
        <f>X25+'16'!Y25</f>
        <v>0</v>
      </c>
      <c r="AB25" s="5">
        <v>15</v>
      </c>
      <c r="AC25" s="26" t="str">
        <f>'16'!AC25</f>
        <v>كفـــــــــر إبنهس</v>
      </c>
      <c r="AD25" s="28">
        <f>'16'!AI25</f>
        <v>31</v>
      </c>
      <c r="AE25" s="3"/>
      <c r="AF25" s="28">
        <f>AE25+'16'!AF25</f>
        <v>180</v>
      </c>
      <c r="AG25" s="4"/>
      <c r="AH25" s="28">
        <f>AG25+'16'!AH25</f>
        <v>149</v>
      </c>
      <c r="AI25" s="4">
        <f t="shared" si="6"/>
        <v>31</v>
      </c>
      <c r="AJ25" s="11" t="e">
        <f t="shared" si="0"/>
        <v>#DIV/0!</v>
      </c>
      <c r="AK25" s="53">
        <f t="shared" si="1"/>
        <v>8.8926174496644297</v>
      </c>
      <c r="AW25" s="26" t="str">
        <f>'16'!AW25</f>
        <v>كفـــــــــر إبنهس</v>
      </c>
      <c r="AX25" s="12">
        <f>'16'!AX25</f>
        <v>3</v>
      </c>
      <c r="AY25" s="12">
        <f>'16'!AY25</f>
        <v>1013</v>
      </c>
      <c r="AZ25" s="12"/>
      <c r="BA25" s="12"/>
      <c r="BB25" s="12">
        <f>BA25+'16'!BB25</f>
        <v>838</v>
      </c>
      <c r="BC25" s="30">
        <f t="shared" si="2"/>
        <v>0.82724580454096741</v>
      </c>
      <c r="BD25" s="12">
        <f>'16'!BD25</f>
        <v>4</v>
      </c>
      <c r="BE25" s="12">
        <f>'16'!BE25</f>
        <v>620</v>
      </c>
      <c r="BF25" s="12"/>
      <c r="BG25" s="12"/>
      <c r="BH25" s="12">
        <f>BG25+'16'!BH25</f>
        <v>507</v>
      </c>
      <c r="BI25" s="30">
        <f t="shared" si="3"/>
        <v>0.81774193548387097</v>
      </c>
    </row>
    <row r="26" spans="1:61" ht="28.9" customHeight="1" x14ac:dyDescent="0.35">
      <c r="A26" s="5">
        <v>16</v>
      </c>
      <c r="B26" s="26" t="str">
        <f>'16'!B26</f>
        <v>الرمــــــــــــــالى</v>
      </c>
      <c r="C26" s="26">
        <f>'16'!C26</f>
        <v>2699</v>
      </c>
      <c r="D26" s="26"/>
      <c r="E26" s="12"/>
      <c r="F26" s="2">
        <f>E26+'16'!F26</f>
        <v>27</v>
      </c>
      <c r="G26" s="2"/>
      <c r="H26" s="2">
        <f>G26+'16'!H26</f>
        <v>312</v>
      </c>
      <c r="I26" s="2"/>
      <c r="J26" s="2">
        <f>I26+'16'!J26</f>
        <v>993</v>
      </c>
      <c r="K26" s="2"/>
      <c r="L26" s="2">
        <f>K26+'16'!L26</f>
        <v>0</v>
      </c>
      <c r="M26" s="2"/>
      <c r="N26" s="2">
        <f>M26+'16'!N26</f>
        <v>0</v>
      </c>
      <c r="O26" s="2"/>
      <c r="P26" s="2">
        <f>O26+'16'!P26</f>
        <v>0</v>
      </c>
      <c r="Q26" s="4">
        <f t="shared" si="4"/>
        <v>0</v>
      </c>
      <c r="R26" s="4">
        <f>Q26+'16'!R26</f>
        <v>1332</v>
      </c>
      <c r="S26" s="27">
        <f t="shared" si="5"/>
        <v>0.49351611708040016</v>
      </c>
      <c r="T26" s="12"/>
      <c r="U26" s="12">
        <f>T26+'16'!U26</f>
        <v>114</v>
      </c>
      <c r="V26" s="12"/>
      <c r="W26" s="12">
        <f>V26+'16'!W26</f>
        <v>108</v>
      </c>
      <c r="X26" s="12"/>
      <c r="Y26" s="12">
        <f>X26+'16'!Y26</f>
        <v>1</v>
      </c>
      <c r="Z26" s="38"/>
      <c r="AB26" s="5">
        <v>16</v>
      </c>
      <c r="AC26" s="26" t="str">
        <f>'16'!AC26</f>
        <v>الرمــــــــــــــالى</v>
      </c>
      <c r="AD26" s="28">
        <f>'16'!AI26</f>
        <v>96</v>
      </c>
      <c r="AE26" s="3"/>
      <c r="AF26" s="28">
        <f>AE26+'16'!AF26</f>
        <v>235</v>
      </c>
      <c r="AG26" s="4"/>
      <c r="AH26" s="28">
        <f>AG26+'16'!AH26</f>
        <v>139</v>
      </c>
      <c r="AI26" s="4">
        <f t="shared" si="6"/>
        <v>96</v>
      </c>
      <c r="AJ26" s="11" t="e">
        <f t="shared" si="0"/>
        <v>#DIV/0!</v>
      </c>
      <c r="AK26" s="53">
        <f t="shared" si="1"/>
        <v>9.5827338129496411</v>
      </c>
      <c r="AV26" s="38"/>
      <c r="AW26" s="26" t="str">
        <f>'16'!AW26</f>
        <v>الرمــــــــــــــالى</v>
      </c>
      <c r="AX26" s="12">
        <f>'16'!AX26</f>
        <v>3</v>
      </c>
      <c r="AY26" s="12">
        <f>'16'!AY26</f>
        <v>1486</v>
      </c>
      <c r="AZ26" s="12"/>
      <c r="BA26" s="12"/>
      <c r="BB26" s="12">
        <f>BA26+'16'!BB26</f>
        <v>1149</v>
      </c>
      <c r="BC26" s="30">
        <f t="shared" si="2"/>
        <v>0.77321668909825036</v>
      </c>
      <c r="BD26" s="12">
        <f>'16'!BD26</f>
        <v>3</v>
      </c>
      <c r="BE26" s="12">
        <f>'16'!BE26</f>
        <v>98</v>
      </c>
      <c r="BF26" s="12"/>
      <c r="BG26" s="12"/>
      <c r="BH26" s="12">
        <f>BG26+'16'!BH26</f>
        <v>0</v>
      </c>
      <c r="BI26" s="30">
        <f t="shared" si="3"/>
        <v>0</v>
      </c>
    </row>
    <row r="27" spans="1:61" ht="28.9" customHeight="1" x14ac:dyDescent="0.35">
      <c r="A27" s="5">
        <v>17</v>
      </c>
      <c r="B27" s="26" t="str">
        <f>'16'!B27</f>
        <v>مصطــــــــــــاى</v>
      </c>
      <c r="C27" s="26">
        <f>'16'!C27</f>
        <v>2666</v>
      </c>
      <c r="D27" s="26"/>
      <c r="E27" s="12"/>
      <c r="F27" s="2">
        <f>E27+'16'!F27</f>
        <v>54</v>
      </c>
      <c r="G27" s="2"/>
      <c r="H27" s="2">
        <f>G27+'16'!H27</f>
        <v>364</v>
      </c>
      <c r="I27" s="2"/>
      <c r="J27" s="2">
        <f>I27+'16'!J27</f>
        <v>1154</v>
      </c>
      <c r="K27" s="2"/>
      <c r="L27" s="2">
        <f>K27+'16'!L27</f>
        <v>0</v>
      </c>
      <c r="M27" s="2"/>
      <c r="N27" s="2">
        <f>M27+'16'!N27</f>
        <v>0</v>
      </c>
      <c r="O27" s="2"/>
      <c r="P27" s="2">
        <f>O27+'16'!P27</f>
        <v>0</v>
      </c>
      <c r="Q27" s="4">
        <f t="shared" si="4"/>
        <v>0</v>
      </c>
      <c r="R27" s="4">
        <f>Q27+'16'!R27</f>
        <v>1572</v>
      </c>
      <c r="S27" s="27">
        <f t="shared" si="5"/>
        <v>0.58964741185296321</v>
      </c>
      <c r="T27" s="12"/>
      <c r="U27" s="12">
        <f>T27+'16'!U27</f>
        <v>45</v>
      </c>
      <c r="V27" s="12"/>
      <c r="W27" s="12">
        <f>V27+'16'!W27</f>
        <v>15</v>
      </c>
      <c r="X27" s="12"/>
      <c r="Y27" s="12">
        <f>X27+'16'!Y27</f>
        <v>0</v>
      </c>
      <c r="AB27" s="5">
        <v>17</v>
      </c>
      <c r="AC27" s="26" t="str">
        <f>'16'!AC27</f>
        <v>مصطــــــــــــاى</v>
      </c>
      <c r="AD27" s="28">
        <f>'16'!AI27</f>
        <v>74</v>
      </c>
      <c r="AE27" s="3"/>
      <c r="AF27" s="28">
        <f>AE27+'16'!AF27</f>
        <v>234</v>
      </c>
      <c r="AG27" s="4"/>
      <c r="AH27" s="28">
        <f>AG27+'16'!AH27</f>
        <v>160</v>
      </c>
      <c r="AI27" s="4">
        <f t="shared" si="6"/>
        <v>74</v>
      </c>
      <c r="AJ27" s="11" t="e">
        <f t="shared" si="0"/>
        <v>#DIV/0!</v>
      </c>
      <c r="AK27" s="53">
        <f t="shared" si="1"/>
        <v>9.8249999999999993</v>
      </c>
      <c r="AW27" s="26" t="str">
        <f>'16'!AW27</f>
        <v>مصطــــــــــــاى</v>
      </c>
      <c r="AX27" s="12">
        <f>'16'!AX27</f>
        <v>3</v>
      </c>
      <c r="AY27" s="12">
        <f>'16'!AY27</f>
        <v>1709</v>
      </c>
      <c r="AZ27" s="12"/>
      <c r="BA27" s="12"/>
      <c r="BB27" s="12">
        <f>BA27+'16'!BB27</f>
        <v>1252</v>
      </c>
      <c r="BC27" s="30">
        <f t="shared" si="2"/>
        <v>0.73259215915740195</v>
      </c>
      <c r="BD27" s="12">
        <f>'16'!BD27</f>
        <v>6</v>
      </c>
      <c r="BE27" s="12">
        <f>'16'!BE27</f>
        <v>696</v>
      </c>
      <c r="BF27" s="12"/>
      <c r="BG27" s="12"/>
      <c r="BH27" s="12">
        <f>BG27+'16'!BH27</f>
        <v>120</v>
      </c>
      <c r="BI27" s="30">
        <f t="shared" si="3"/>
        <v>0.17241379310344829</v>
      </c>
    </row>
    <row r="28" spans="1:61" ht="28.9" customHeight="1" x14ac:dyDescent="0.35">
      <c r="A28" s="5">
        <v>18</v>
      </c>
      <c r="B28" s="26" t="str">
        <f>'16'!B28</f>
        <v>كفر طـــــــه شبرا</v>
      </c>
      <c r="C28" s="26">
        <f>'16'!C28</f>
        <v>1795</v>
      </c>
      <c r="D28" s="26"/>
      <c r="E28" s="12"/>
      <c r="F28" s="2">
        <f>E28+'16'!F28</f>
        <v>8</v>
      </c>
      <c r="G28" s="2"/>
      <c r="H28" s="2">
        <f>G28+'16'!H28</f>
        <v>294</v>
      </c>
      <c r="I28" s="2"/>
      <c r="J28" s="2">
        <f>I28+'16'!J28</f>
        <v>940</v>
      </c>
      <c r="K28" s="2"/>
      <c r="L28" s="2">
        <f>K28+'16'!L28</f>
        <v>0</v>
      </c>
      <c r="M28" s="2"/>
      <c r="N28" s="2">
        <f>M28+'16'!N28</f>
        <v>0</v>
      </c>
      <c r="O28" s="2"/>
      <c r="P28" s="2">
        <f>O28+'16'!P28</f>
        <v>0</v>
      </c>
      <c r="Q28" s="4">
        <f t="shared" si="4"/>
        <v>0</v>
      </c>
      <c r="R28" s="4">
        <f>Q28+'16'!R28</f>
        <v>1242</v>
      </c>
      <c r="S28" s="27">
        <f t="shared" si="5"/>
        <v>0.69192200557103067</v>
      </c>
      <c r="T28" s="12"/>
      <c r="U28" s="12">
        <f>T28+'16'!U28</f>
        <v>136</v>
      </c>
      <c r="V28" s="12"/>
      <c r="W28" s="12">
        <f>V28+'16'!W28</f>
        <v>33</v>
      </c>
      <c r="X28" s="12"/>
      <c r="Y28" s="12">
        <f>X28+'16'!Y28</f>
        <v>0</v>
      </c>
      <c r="AB28" s="5">
        <v>18</v>
      </c>
      <c r="AC28" s="26" t="str">
        <f>'16'!AC28</f>
        <v>كفر طـــــــه شبرا</v>
      </c>
      <c r="AD28" s="28">
        <f>'16'!AI28</f>
        <v>28</v>
      </c>
      <c r="AE28" s="3"/>
      <c r="AF28" s="28">
        <f>AE28+'16'!AF28</f>
        <v>158</v>
      </c>
      <c r="AG28" s="4"/>
      <c r="AH28" s="28">
        <f>AG28+'16'!AH28</f>
        <v>130</v>
      </c>
      <c r="AI28" s="4">
        <f t="shared" si="6"/>
        <v>28</v>
      </c>
      <c r="AJ28" s="11" t="e">
        <f t="shared" si="0"/>
        <v>#DIV/0!</v>
      </c>
      <c r="AK28" s="53">
        <f t="shared" si="1"/>
        <v>9.5538461538461537</v>
      </c>
      <c r="AW28" s="26" t="str">
        <f>'16'!AW28</f>
        <v>كفر طـــــــه شبرا</v>
      </c>
      <c r="AX28" s="12">
        <f>'16'!AX28</f>
        <v>4</v>
      </c>
      <c r="AY28" s="12">
        <f>'16'!AY28</f>
        <v>948</v>
      </c>
      <c r="AZ28" s="12"/>
      <c r="BA28" s="12"/>
      <c r="BB28" s="12">
        <f>BA28+'16'!BB28</f>
        <v>827</v>
      </c>
      <c r="BC28" s="30">
        <f t="shared" si="2"/>
        <v>0.87236286919831219</v>
      </c>
      <c r="BD28" s="12">
        <f>'16'!BD28</f>
        <v>7</v>
      </c>
      <c r="BE28" s="12">
        <f>'16'!BE28</f>
        <v>300</v>
      </c>
      <c r="BF28" s="12"/>
      <c r="BG28" s="12"/>
      <c r="BH28" s="12">
        <f>BG28+'16'!BH28</f>
        <v>403</v>
      </c>
      <c r="BI28" s="30">
        <f t="shared" si="3"/>
        <v>1.3433333333333333</v>
      </c>
    </row>
    <row r="29" spans="1:61" ht="28.9" customHeight="1" x14ac:dyDescent="0.35">
      <c r="A29" s="5">
        <v>19</v>
      </c>
      <c r="B29" s="26" t="str">
        <f>'16'!B29</f>
        <v>كفر أبـــو الحسن</v>
      </c>
      <c r="C29" s="26">
        <f>'16'!C29</f>
        <v>1397</v>
      </c>
      <c r="D29" s="26"/>
      <c r="E29" s="12"/>
      <c r="F29" s="2">
        <f>E29+'16'!F29</f>
        <v>4</v>
      </c>
      <c r="G29" s="2"/>
      <c r="H29" s="2">
        <f>G29+'16'!H29</f>
        <v>238</v>
      </c>
      <c r="I29" s="2"/>
      <c r="J29" s="2">
        <f>I29+'16'!J29</f>
        <v>841</v>
      </c>
      <c r="K29" s="2"/>
      <c r="L29" s="2">
        <f>K29+'16'!L29</f>
        <v>0</v>
      </c>
      <c r="M29" s="2"/>
      <c r="N29" s="2">
        <f>M29+'16'!N29</f>
        <v>0</v>
      </c>
      <c r="O29" s="2"/>
      <c r="P29" s="2">
        <f>O29+'16'!P29</f>
        <v>0</v>
      </c>
      <c r="Q29" s="4">
        <f t="shared" si="4"/>
        <v>0</v>
      </c>
      <c r="R29" s="4">
        <f>Q29+'16'!R29</f>
        <v>1083</v>
      </c>
      <c r="S29" s="27">
        <f t="shared" si="5"/>
        <v>0.77523264137437364</v>
      </c>
      <c r="T29" s="12"/>
      <c r="U29" s="12">
        <f>T29+'16'!U29</f>
        <v>205</v>
      </c>
      <c r="V29" s="12"/>
      <c r="W29" s="12">
        <f>V29+'16'!W29</f>
        <v>18</v>
      </c>
      <c r="X29" s="12"/>
      <c r="Y29" s="12">
        <f>X29+'16'!Y29</f>
        <v>0</v>
      </c>
      <c r="AB29" s="5">
        <v>19</v>
      </c>
      <c r="AC29" s="26" t="str">
        <f>'16'!AC29</f>
        <v>كفر أبـــو الحسن</v>
      </c>
      <c r="AD29" s="28">
        <f>'16'!AI29</f>
        <v>22</v>
      </c>
      <c r="AE29" s="3"/>
      <c r="AF29" s="28">
        <f>AE29+'16'!AF29</f>
        <v>133</v>
      </c>
      <c r="AG29" s="4"/>
      <c r="AH29" s="28">
        <f>AG29+'16'!AH29</f>
        <v>111</v>
      </c>
      <c r="AI29" s="4">
        <f t="shared" si="6"/>
        <v>22</v>
      </c>
      <c r="AJ29" s="11" t="e">
        <f t="shared" si="0"/>
        <v>#DIV/0!</v>
      </c>
      <c r="AK29" s="53">
        <f t="shared" si="1"/>
        <v>9.7567567567567561</v>
      </c>
      <c r="AW29" s="26" t="str">
        <f>'16'!AW29</f>
        <v>كفر أبـــو الحسن</v>
      </c>
      <c r="AX29" s="12">
        <f>'16'!AX29</f>
        <v>3</v>
      </c>
      <c r="AY29" s="12">
        <f>'16'!AY29</f>
        <v>912</v>
      </c>
      <c r="AZ29" s="12"/>
      <c r="BA29" s="12"/>
      <c r="BB29" s="12">
        <f>BA29+'16'!BB29</f>
        <v>760</v>
      </c>
      <c r="BC29" s="30">
        <f t="shared" si="2"/>
        <v>0.83333333333333337</v>
      </c>
      <c r="BD29" s="12">
        <f>'16'!BD29</f>
        <v>9</v>
      </c>
      <c r="BE29" s="12">
        <f>'16'!BE29</f>
        <v>258</v>
      </c>
      <c r="BF29" s="12"/>
      <c r="BG29" s="12"/>
      <c r="BH29" s="12">
        <f>BG29+'16'!BH29</f>
        <v>351</v>
      </c>
      <c r="BI29" s="30">
        <f t="shared" si="3"/>
        <v>1.3604651162790697</v>
      </c>
    </row>
    <row r="30" spans="1:61" ht="28.9" customHeight="1" x14ac:dyDescent="0.35">
      <c r="A30" s="5">
        <v>20</v>
      </c>
      <c r="B30" s="26" t="str">
        <f>'16'!B30</f>
        <v>ميت أبـــــوشيخه</v>
      </c>
      <c r="C30" s="26">
        <f>'16'!C30</f>
        <v>1134</v>
      </c>
      <c r="D30" s="26"/>
      <c r="E30" s="12"/>
      <c r="F30" s="2">
        <f>E30+'16'!F30</f>
        <v>10</v>
      </c>
      <c r="G30" s="2"/>
      <c r="H30" s="2">
        <f>G30+'16'!H30</f>
        <v>144</v>
      </c>
      <c r="I30" s="2"/>
      <c r="J30" s="2">
        <f>I30+'16'!J30</f>
        <v>435</v>
      </c>
      <c r="K30" s="2"/>
      <c r="L30" s="2">
        <f>K30+'16'!L30</f>
        <v>0</v>
      </c>
      <c r="M30" s="2"/>
      <c r="N30" s="2">
        <f>M30+'16'!N30</f>
        <v>0</v>
      </c>
      <c r="O30" s="2"/>
      <c r="P30" s="2">
        <f>O30+'16'!P30</f>
        <v>0</v>
      </c>
      <c r="Q30" s="4">
        <f t="shared" si="4"/>
        <v>0</v>
      </c>
      <c r="R30" s="4">
        <f>Q30+'16'!R30</f>
        <v>589</v>
      </c>
      <c r="S30" s="27">
        <f t="shared" si="5"/>
        <v>0.51940035273368612</v>
      </c>
      <c r="T30" s="12"/>
      <c r="U30" s="12">
        <f>T30+'16'!U30</f>
        <v>68</v>
      </c>
      <c r="V30" s="12"/>
      <c r="W30" s="12">
        <f>V30+'16'!W30</f>
        <v>10</v>
      </c>
      <c r="X30" s="12"/>
      <c r="Y30" s="12">
        <f>X30+'16'!Y30</f>
        <v>0</v>
      </c>
      <c r="AB30" s="5">
        <v>20</v>
      </c>
      <c r="AC30" s="26" t="str">
        <f>'16'!AC30</f>
        <v>ميت أبـــــوشيخه</v>
      </c>
      <c r="AD30" s="28">
        <f>'16'!AI30</f>
        <v>40</v>
      </c>
      <c r="AE30" s="3"/>
      <c r="AF30" s="28">
        <f>AE30+'16'!AF30</f>
        <v>100</v>
      </c>
      <c r="AG30" s="4"/>
      <c r="AH30" s="28">
        <f>AG30+'16'!AH30</f>
        <v>60</v>
      </c>
      <c r="AI30" s="4">
        <f t="shared" si="6"/>
        <v>40</v>
      </c>
      <c r="AJ30" s="11" t="e">
        <f t="shared" si="0"/>
        <v>#DIV/0!</v>
      </c>
      <c r="AK30" s="53">
        <f t="shared" si="1"/>
        <v>9.8166666666666664</v>
      </c>
      <c r="AW30" s="26" t="str">
        <f>'16'!AW30</f>
        <v>ميت أبـــــوشيخه</v>
      </c>
      <c r="AX30" s="12">
        <f>'16'!AX30</f>
        <v>2</v>
      </c>
      <c r="AY30" s="12">
        <f>'16'!AY30</f>
        <v>560</v>
      </c>
      <c r="AZ30" s="12"/>
      <c r="BA30" s="12"/>
      <c r="BB30" s="12">
        <f>BA30+'16'!BB30</f>
        <v>459</v>
      </c>
      <c r="BC30" s="30">
        <f t="shared" si="2"/>
        <v>0.81964285714285712</v>
      </c>
      <c r="BD30" s="12">
        <f>'16'!BD30</f>
        <v>2</v>
      </c>
      <c r="BE30" s="12">
        <f>'16'!BE30</f>
        <v>107</v>
      </c>
      <c r="BF30" s="12"/>
      <c r="BG30" s="12"/>
      <c r="BH30" s="12">
        <f>BG30+'16'!BH30</f>
        <v>85</v>
      </c>
      <c r="BI30" s="30">
        <f t="shared" si="3"/>
        <v>0.79439252336448596</v>
      </c>
    </row>
    <row r="31" spans="1:61" ht="28.9" customHeight="1" x14ac:dyDescent="0.35">
      <c r="A31" s="5">
        <v>21</v>
      </c>
      <c r="B31" s="26" t="str">
        <f>'16'!B31</f>
        <v>طــــــــــــه شبرا</v>
      </c>
      <c r="C31" s="26">
        <f>'16'!C31</f>
        <v>5149</v>
      </c>
      <c r="D31" s="26"/>
      <c r="E31" s="12"/>
      <c r="F31" s="2">
        <f>E31+'16'!F31</f>
        <v>22</v>
      </c>
      <c r="G31" s="2"/>
      <c r="H31" s="2">
        <f>G31+'16'!H31</f>
        <v>967</v>
      </c>
      <c r="I31" s="2"/>
      <c r="J31" s="2">
        <f>I31+'16'!J31</f>
        <v>1288</v>
      </c>
      <c r="K31" s="2"/>
      <c r="L31" s="2">
        <f>K31+'16'!L31</f>
        <v>0</v>
      </c>
      <c r="M31" s="2"/>
      <c r="N31" s="2">
        <f>M31+'16'!N31</f>
        <v>0</v>
      </c>
      <c r="O31" s="2"/>
      <c r="P31" s="2">
        <f>O31+'16'!P31</f>
        <v>0</v>
      </c>
      <c r="Q31" s="4">
        <f t="shared" si="4"/>
        <v>0</v>
      </c>
      <c r="R31" s="4">
        <f>Q31+'16'!R31</f>
        <v>2277</v>
      </c>
      <c r="S31" s="27">
        <f t="shared" si="5"/>
        <v>0.442221790638959</v>
      </c>
      <c r="T31" s="12"/>
      <c r="U31" s="12">
        <f>T31+'16'!U31</f>
        <v>277</v>
      </c>
      <c r="V31" s="12"/>
      <c r="W31" s="12">
        <f>V31+'16'!W31</f>
        <v>3</v>
      </c>
      <c r="X31" s="12"/>
      <c r="Y31" s="12">
        <f>X31+'16'!Y31</f>
        <v>0</v>
      </c>
      <c r="AB31" s="5">
        <v>21</v>
      </c>
      <c r="AC31" s="26" t="str">
        <f>'16'!AC31</f>
        <v>طــــــــــــه شبرا</v>
      </c>
      <c r="AD31" s="28">
        <f>'16'!AI31</f>
        <v>216</v>
      </c>
      <c r="AE31" s="3"/>
      <c r="AF31" s="28">
        <f>AE31+'16'!AF31</f>
        <v>452</v>
      </c>
      <c r="AG31" s="4"/>
      <c r="AH31" s="28">
        <f>AG31+'16'!AH31</f>
        <v>236</v>
      </c>
      <c r="AI31" s="4">
        <f t="shared" si="6"/>
        <v>216</v>
      </c>
      <c r="AJ31" s="11" t="e">
        <f t="shared" si="0"/>
        <v>#DIV/0!</v>
      </c>
      <c r="AK31" s="53">
        <f t="shared" si="1"/>
        <v>9.648305084745763</v>
      </c>
      <c r="AW31" s="26" t="str">
        <f>'16'!AW31</f>
        <v>طــــــــــــه شبرا</v>
      </c>
      <c r="AX31" s="12">
        <f>'16'!AX31</f>
        <v>6</v>
      </c>
      <c r="AY31" s="12">
        <f>'16'!AY31</f>
        <v>2219</v>
      </c>
      <c r="AZ31" s="12"/>
      <c r="BA31" s="12"/>
      <c r="BB31" s="12">
        <f>BA31+'16'!BB31</f>
        <v>1367</v>
      </c>
      <c r="BC31" s="30">
        <f t="shared" si="2"/>
        <v>0.61604326273095988</v>
      </c>
      <c r="BD31" s="12">
        <f>'16'!BD31</f>
        <v>8</v>
      </c>
      <c r="BE31" s="12">
        <f>'16'!BE31</f>
        <v>748</v>
      </c>
      <c r="BF31" s="12"/>
      <c r="BG31" s="12"/>
      <c r="BH31" s="12">
        <f>BG31+'16'!BH31</f>
        <v>690</v>
      </c>
      <c r="BI31" s="30">
        <f t="shared" si="3"/>
        <v>0.92245989304812837</v>
      </c>
    </row>
    <row r="32" spans="1:61" ht="28.9" customHeight="1" x14ac:dyDescent="0.35">
      <c r="A32" s="5">
        <v>22</v>
      </c>
      <c r="B32" s="26" t="str">
        <f>'16'!B32</f>
        <v>أشـــــــــــــــــليم</v>
      </c>
      <c r="C32" s="26">
        <f>'16'!C32</f>
        <v>2638</v>
      </c>
      <c r="D32" s="26"/>
      <c r="E32" s="12"/>
      <c r="F32" s="2">
        <f>E32+'16'!F32</f>
        <v>19</v>
      </c>
      <c r="G32" s="2"/>
      <c r="H32" s="2">
        <f>G32+'16'!H32</f>
        <v>606</v>
      </c>
      <c r="I32" s="2"/>
      <c r="J32" s="2">
        <f>I32+'16'!J32</f>
        <v>1522</v>
      </c>
      <c r="K32" s="2"/>
      <c r="L32" s="2">
        <f>K32+'16'!L32</f>
        <v>0</v>
      </c>
      <c r="M32" s="2"/>
      <c r="N32" s="2">
        <f>M32+'16'!N32</f>
        <v>0</v>
      </c>
      <c r="O32" s="2"/>
      <c r="P32" s="2">
        <f>O32+'16'!P32</f>
        <v>0</v>
      </c>
      <c r="Q32" s="4">
        <f t="shared" si="4"/>
        <v>0</v>
      </c>
      <c r="R32" s="4">
        <f>Q32+'16'!R32</f>
        <v>2147</v>
      </c>
      <c r="S32" s="27">
        <f t="shared" si="5"/>
        <v>0.81387414708112205</v>
      </c>
      <c r="T32" s="12"/>
      <c r="U32" s="12">
        <f>T32+'16'!U32</f>
        <v>149</v>
      </c>
      <c r="V32" s="12"/>
      <c r="W32" s="12">
        <f>V32+'16'!W32</f>
        <v>119</v>
      </c>
      <c r="X32" s="12"/>
      <c r="Y32" s="12">
        <f>X32+'16'!Y32</f>
        <v>0</v>
      </c>
      <c r="AB32" s="5">
        <v>22</v>
      </c>
      <c r="AC32" s="26" t="str">
        <f>'16'!AC32</f>
        <v>أشـــــــــــــــــليم</v>
      </c>
      <c r="AD32" s="28">
        <f>'16'!AI32</f>
        <v>31</v>
      </c>
      <c r="AE32" s="3"/>
      <c r="AF32" s="28">
        <f>AE32+'16'!AF32</f>
        <v>252</v>
      </c>
      <c r="AG32" s="4"/>
      <c r="AH32" s="28">
        <f>AG32+'16'!AH32</f>
        <v>221</v>
      </c>
      <c r="AI32" s="4">
        <f t="shared" si="6"/>
        <v>31</v>
      </c>
      <c r="AJ32" s="11" t="e">
        <f t="shared" si="0"/>
        <v>#DIV/0!</v>
      </c>
      <c r="AK32" s="53">
        <f t="shared" si="1"/>
        <v>9.7149321266968318</v>
      </c>
      <c r="AW32" s="26" t="str">
        <f>'16'!AW32</f>
        <v>أشـــــــــــــــــليم</v>
      </c>
      <c r="AX32" s="12">
        <f>'16'!AX32</f>
        <v>8</v>
      </c>
      <c r="AY32" s="12">
        <f>'16'!AY32</f>
        <v>1819</v>
      </c>
      <c r="AZ32" s="12"/>
      <c r="BA32" s="12"/>
      <c r="BB32" s="12">
        <f>BA32+'16'!BB32</f>
        <v>1506</v>
      </c>
      <c r="BC32" s="30">
        <f t="shared" si="2"/>
        <v>0.82792743265530511</v>
      </c>
      <c r="BD32" s="12">
        <f>'16'!BD32</f>
        <v>7</v>
      </c>
      <c r="BE32" s="12">
        <f>'16'!BE32</f>
        <v>176</v>
      </c>
      <c r="BF32" s="12"/>
      <c r="BG32" s="12"/>
      <c r="BH32" s="12">
        <f>BG32+'16'!BH32</f>
        <v>531</v>
      </c>
      <c r="BI32" s="30">
        <f t="shared" si="3"/>
        <v>3.0170454545454546</v>
      </c>
    </row>
    <row r="33" spans="1:61" ht="28.9" customHeight="1" x14ac:dyDescent="0.35">
      <c r="A33" s="5">
        <v>23</v>
      </c>
      <c r="B33" s="26" t="str">
        <f>'16'!B33</f>
        <v>شبرا قبالــــــــــه</v>
      </c>
      <c r="C33" s="26">
        <f>'16'!C33</f>
        <v>2050</v>
      </c>
      <c r="D33" s="26"/>
      <c r="E33" s="12"/>
      <c r="F33" s="2">
        <f>E33+'16'!F33</f>
        <v>23</v>
      </c>
      <c r="G33" s="2"/>
      <c r="H33" s="2">
        <f>G33+'16'!H33</f>
        <v>644</v>
      </c>
      <c r="I33" s="2"/>
      <c r="J33" s="2">
        <f>I33+'16'!J33</f>
        <v>773</v>
      </c>
      <c r="K33" s="2"/>
      <c r="L33" s="2">
        <f>K33+'16'!L33</f>
        <v>0</v>
      </c>
      <c r="M33" s="2"/>
      <c r="N33" s="2">
        <f>M33+'16'!N33</f>
        <v>0</v>
      </c>
      <c r="O33" s="2"/>
      <c r="P33" s="2">
        <f>O33+'16'!P33</f>
        <v>0</v>
      </c>
      <c r="Q33" s="4">
        <f t="shared" si="4"/>
        <v>0</v>
      </c>
      <c r="R33" s="4">
        <f>Q33+'16'!R33</f>
        <v>1440</v>
      </c>
      <c r="S33" s="27">
        <f t="shared" si="5"/>
        <v>0.70243902439024386</v>
      </c>
      <c r="T33" s="12"/>
      <c r="U33" s="12">
        <f>T33+'16'!U33</f>
        <v>96</v>
      </c>
      <c r="V33" s="12"/>
      <c r="W33" s="12">
        <f>V33+'16'!W33</f>
        <v>64</v>
      </c>
      <c r="X33" s="12"/>
      <c r="Y33" s="12">
        <f>X33+'16'!Y33</f>
        <v>0</v>
      </c>
      <c r="AB33" s="5">
        <v>23</v>
      </c>
      <c r="AC33" s="26" t="str">
        <f>'16'!AC33</f>
        <v>شبرا قبالــــــــــه</v>
      </c>
      <c r="AD33" s="28">
        <f>'16'!AI33</f>
        <v>36</v>
      </c>
      <c r="AE33" s="3"/>
      <c r="AF33" s="28">
        <f>AE33+'16'!AF33</f>
        <v>180</v>
      </c>
      <c r="AG33" s="4"/>
      <c r="AH33" s="28">
        <f>AG33+'16'!AH33</f>
        <v>144</v>
      </c>
      <c r="AI33" s="4">
        <f t="shared" si="6"/>
        <v>36</v>
      </c>
      <c r="AJ33" s="11" t="e">
        <f t="shared" si="0"/>
        <v>#DIV/0!</v>
      </c>
      <c r="AK33" s="53">
        <f t="shared" si="1"/>
        <v>10</v>
      </c>
      <c r="AW33" s="26" t="str">
        <f>'16'!AW33</f>
        <v>شبرا قبالــــــــــه</v>
      </c>
      <c r="AX33" s="12">
        <f>'16'!AX33</f>
        <v>1</v>
      </c>
      <c r="AY33" s="12">
        <f>'16'!AY33</f>
        <v>918</v>
      </c>
      <c r="AZ33" s="12"/>
      <c r="BA33" s="12"/>
      <c r="BB33" s="12">
        <f>BA33+'16'!BB33</f>
        <v>780</v>
      </c>
      <c r="BC33" s="30">
        <f t="shared" si="2"/>
        <v>0.84967320261437906</v>
      </c>
      <c r="BD33" s="12">
        <f>'16'!BD33</f>
        <v>5</v>
      </c>
      <c r="BE33" s="12">
        <f>'16'!BE33</f>
        <v>375</v>
      </c>
      <c r="BF33" s="12"/>
      <c r="BG33" s="12"/>
      <c r="BH33" s="12">
        <f>BG33+'16'!BH33</f>
        <v>430</v>
      </c>
      <c r="BI33" s="30">
        <f t="shared" si="3"/>
        <v>1.1466666666666667</v>
      </c>
    </row>
    <row r="34" spans="1:61" ht="28.9" customHeight="1" x14ac:dyDescent="0.35">
      <c r="A34" s="5">
        <v>24</v>
      </c>
      <c r="B34" s="26" t="str">
        <f>'16'!B34</f>
        <v>عرب الرمـــــــل</v>
      </c>
      <c r="C34" s="26">
        <f>'16'!C34</f>
        <v>5755</v>
      </c>
      <c r="D34" s="26"/>
      <c r="E34" s="12"/>
      <c r="F34" s="2">
        <f>E34+'16'!F34</f>
        <v>22</v>
      </c>
      <c r="G34" s="2"/>
      <c r="H34" s="2">
        <f>G34+'16'!H34</f>
        <v>1011</v>
      </c>
      <c r="I34" s="2"/>
      <c r="J34" s="2">
        <f>I34+'16'!J34</f>
        <v>1364</v>
      </c>
      <c r="K34" s="2"/>
      <c r="L34" s="2">
        <f>K34+'16'!L34</f>
        <v>0</v>
      </c>
      <c r="M34" s="2"/>
      <c r="N34" s="2">
        <f>M34+'16'!N34</f>
        <v>0</v>
      </c>
      <c r="O34" s="2"/>
      <c r="P34" s="2">
        <f>O34+'16'!P34</f>
        <v>0</v>
      </c>
      <c r="Q34" s="4">
        <f t="shared" si="4"/>
        <v>0</v>
      </c>
      <c r="R34" s="4">
        <f>Q34+'16'!R34</f>
        <v>2397</v>
      </c>
      <c r="S34" s="27">
        <f t="shared" si="5"/>
        <v>0.41650738488271066</v>
      </c>
      <c r="T34" s="12"/>
      <c r="U34" s="12">
        <f>T34+'16'!U34</f>
        <v>562</v>
      </c>
      <c r="V34" s="12"/>
      <c r="W34" s="12">
        <f>V34+'16'!W34</f>
        <v>41</v>
      </c>
      <c r="X34" s="12"/>
      <c r="Y34" s="12">
        <f>X34+'16'!Y34</f>
        <v>0</v>
      </c>
      <c r="AB34" s="5">
        <v>24</v>
      </c>
      <c r="AC34" s="26" t="str">
        <f>'16'!AC34</f>
        <v>عرب الرمـــــــل</v>
      </c>
      <c r="AD34" s="28">
        <f>'16'!AI34</f>
        <v>263</v>
      </c>
      <c r="AE34" s="3"/>
      <c r="AF34" s="28">
        <f>AE34+'16'!AF34</f>
        <v>505</v>
      </c>
      <c r="AG34" s="4"/>
      <c r="AH34" s="28">
        <f>AG34+'16'!AH34</f>
        <v>242</v>
      </c>
      <c r="AI34" s="4">
        <f t="shared" si="6"/>
        <v>263</v>
      </c>
      <c r="AJ34" s="11" t="e">
        <f t="shared" si="0"/>
        <v>#DIV/0!</v>
      </c>
      <c r="AK34" s="53">
        <f t="shared" si="1"/>
        <v>9.9049586776859506</v>
      </c>
      <c r="AW34" s="26" t="str">
        <f>'16'!AW34</f>
        <v>عرب الرمـــــــل</v>
      </c>
      <c r="AX34" s="12">
        <f>'16'!AX34</f>
        <v>6</v>
      </c>
      <c r="AY34" s="12">
        <f>'16'!AY34</f>
        <v>2210</v>
      </c>
      <c r="AZ34" s="12"/>
      <c r="BA34" s="12"/>
      <c r="BB34" s="12">
        <f>BA34+'16'!BB34</f>
        <v>1456</v>
      </c>
      <c r="BC34" s="30">
        <f t="shared" si="2"/>
        <v>0.6588235294117647</v>
      </c>
      <c r="BD34" s="12">
        <f>'16'!BD34</f>
        <v>9</v>
      </c>
      <c r="BE34" s="12">
        <f>'16'!BE34</f>
        <v>932</v>
      </c>
      <c r="BF34" s="12"/>
      <c r="BG34" s="12"/>
      <c r="BH34" s="12">
        <f>BG34+'16'!BH34</f>
        <v>941</v>
      </c>
      <c r="BI34" s="30">
        <f t="shared" si="3"/>
        <v>1.0096566523605151</v>
      </c>
    </row>
    <row r="35" spans="1:61" ht="28.9" customHeight="1" x14ac:dyDescent="0.35">
      <c r="A35" s="5">
        <v>25</v>
      </c>
      <c r="B35" s="26" t="str">
        <f>'16'!B35</f>
        <v>كفر ميت سراج</v>
      </c>
      <c r="C35" s="26">
        <f>'16'!C35</f>
        <v>1840</v>
      </c>
      <c r="D35" s="26"/>
      <c r="E35" s="12"/>
      <c r="F35" s="2">
        <f>E35+'16'!F35</f>
        <v>8</v>
      </c>
      <c r="G35" s="2"/>
      <c r="H35" s="2">
        <f>G35+'16'!H35</f>
        <v>386</v>
      </c>
      <c r="I35" s="2"/>
      <c r="J35" s="2">
        <f>I35+'16'!J35</f>
        <v>773</v>
      </c>
      <c r="K35" s="2"/>
      <c r="L35" s="2">
        <f>K35+'16'!L35</f>
        <v>0</v>
      </c>
      <c r="M35" s="2"/>
      <c r="N35" s="2">
        <f>M35+'16'!N35</f>
        <v>0</v>
      </c>
      <c r="O35" s="2"/>
      <c r="P35" s="2">
        <f>O35+'16'!P35</f>
        <v>0</v>
      </c>
      <c r="Q35" s="4">
        <f t="shared" si="4"/>
        <v>0</v>
      </c>
      <c r="R35" s="4">
        <f>Q35+'16'!R35</f>
        <v>1167</v>
      </c>
      <c r="S35" s="27">
        <f t="shared" si="5"/>
        <v>0.63423913043478264</v>
      </c>
      <c r="T35" s="12"/>
      <c r="U35" s="12">
        <f>T35+'16'!U35</f>
        <v>174</v>
      </c>
      <c r="V35" s="12"/>
      <c r="W35" s="12">
        <f>V35+'16'!W35</f>
        <v>11</v>
      </c>
      <c r="X35" s="12"/>
      <c r="Y35" s="12">
        <f>X35+'16'!Y35</f>
        <v>0</v>
      </c>
      <c r="AB35" s="5">
        <v>25</v>
      </c>
      <c r="AC35" s="26" t="str">
        <f>'16'!AC35</f>
        <v>كفر ميت سراج</v>
      </c>
      <c r="AD35" s="28">
        <f>'16'!AI35</f>
        <v>41</v>
      </c>
      <c r="AE35" s="3"/>
      <c r="AF35" s="28">
        <f>AE35+'16'!AF35</f>
        <v>162</v>
      </c>
      <c r="AG35" s="4"/>
      <c r="AH35" s="28">
        <f>AG35+'16'!AH35</f>
        <v>121</v>
      </c>
      <c r="AI35" s="4">
        <f t="shared" si="6"/>
        <v>41</v>
      </c>
      <c r="AJ35" s="11" t="e">
        <f t="shared" si="0"/>
        <v>#DIV/0!</v>
      </c>
      <c r="AK35" s="53">
        <f t="shared" si="1"/>
        <v>9.6446280991735538</v>
      </c>
      <c r="AW35" s="26" t="str">
        <f>'16'!AW35</f>
        <v>كفر ميت سراج</v>
      </c>
      <c r="AX35" s="12">
        <f>'16'!AX35</f>
        <v>3</v>
      </c>
      <c r="AY35" s="12">
        <f>'16'!AY35</f>
        <v>1011</v>
      </c>
      <c r="AZ35" s="12"/>
      <c r="BA35" s="12"/>
      <c r="BB35" s="12">
        <f>BA35+'16'!BB35</f>
        <v>773</v>
      </c>
      <c r="BC35" s="30">
        <f t="shared" si="2"/>
        <v>0.76458951533135511</v>
      </c>
      <c r="BD35" s="12">
        <f>'16'!BD35</f>
        <v>4</v>
      </c>
      <c r="BE35" s="12">
        <f>'16'!BE35</f>
        <v>413</v>
      </c>
      <c r="BF35" s="12"/>
      <c r="BG35" s="12"/>
      <c r="BH35" s="12">
        <f>BG35+'16'!BH35</f>
        <v>232</v>
      </c>
      <c r="BI35" s="30">
        <f t="shared" si="3"/>
        <v>0.56174334140435833</v>
      </c>
    </row>
    <row r="36" spans="1:61" ht="28.9" customHeight="1" x14ac:dyDescent="0.35">
      <c r="A36" s="5">
        <v>26</v>
      </c>
      <c r="B36" s="26" t="str">
        <f>'16'!B36</f>
        <v>كفر أبشيش</v>
      </c>
      <c r="C36" s="26">
        <f>'16'!C36</f>
        <v>1345</v>
      </c>
      <c r="D36" s="26"/>
      <c r="E36" s="12"/>
      <c r="F36" s="2">
        <f>E36+'16'!F36</f>
        <v>14</v>
      </c>
      <c r="G36" s="2"/>
      <c r="H36" s="2">
        <f>G36+'16'!H36</f>
        <v>207</v>
      </c>
      <c r="I36" s="2"/>
      <c r="J36" s="2">
        <f>I36+'16'!J36</f>
        <v>725</v>
      </c>
      <c r="K36" s="2"/>
      <c r="L36" s="2">
        <f>K36+'16'!L36</f>
        <v>0</v>
      </c>
      <c r="M36" s="2"/>
      <c r="N36" s="2">
        <f>M36+'16'!N36</f>
        <v>0</v>
      </c>
      <c r="O36" s="2"/>
      <c r="P36" s="2">
        <f>O36+'16'!P36</f>
        <v>0</v>
      </c>
      <c r="Q36" s="4">
        <f t="shared" si="4"/>
        <v>0</v>
      </c>
      <c r="R36" s="4">
        <f>Q36+'16'!R36</f>
        <v>946</v>
      </c>
      <c r="S36" s="27">
        <f t="shared" si="5"/>
        <v>0.70334572490706315</v>
      </c>
      <c r="T36" s="12"/>
      <c r="U36" s="12">
        <f>T36+'16'!U36</f>
        <v>113</v>
      </c>
      <c r="V36" s="12"/>
      <c r="W36" s="12">
        <f>V36+'16'!W36</f>
        <v>4</v>
      </c>
      <c r="X36" s="12"/>
      <c r="Y36" s="12">
        <f>X36+'16'!Y36</f>
        <v>0</v>
      </c>
      <c r="AB36" s="5">
        <v>26</v>
      </c>
      <c r="AC36" s="26" t="str">
        <f>'16'!AC36</f>
        <v>كفر أبشيش</v>
      </c>
      <c r="AD36" s="28">
        <f>'16'!AI36</f>
        <v>24</v>
      </c>
      <c r="AE36" s="3"/>
      <c r="AF36" s="28">
        <f>AE36+'16'!AF36</f>
        <v>119</v>
      </c>
      <c r="AG36" s="4"/>
      <c r="AH36" s="28">
        <f>AG36+'16'!AH36</f>
        <v>95</v>
      </c>
      <c r="AI36" s="4">
        <f t="shared" si="6"/>
        <v>24</v>
      </c>
      <c r="AJ36" s="11" t="e">
        <f t="shared" si="0"/>
        <v>#DIV/0!</v>
      </c>
      <c r="AK36" s="53">
        <f t="shared" si="1"/>
        <v>9.9578947368421051</v>
      </c>
      <c r="AW36" s="26" t="str">
        <f>'16'!AW36</f>
        <v>كفر أبشيش</v>
      </c>
      <c r="AX36" s="12">
        <f>'16'!AX36</f>
        <v>1</v>
      </c>
      <c r="AY36" s="12">
        <f>'16'!AY36</f>
        <v>860</v>
      </c>
      <c r="AZ36" s="12"/>
      <c r="BA36" s="12"/>
      <c r="BB36" s="12">
        <f>BA36+'16'!BB36</f>
        <v>730</v>
      </c>
      <c r="BC36" s="30">
        <f t="shared" si="2"/>
        <v>0.84883720930232553</v>
      </c>
      <c r="BD36" s="12">
        <f>'16'!BD36</f>
        <v>4</v>
      </c>
      <c r="BE36" s="12">
        <f>'16'!BE36</f>
        <v>194</v>
      </c>
      <c r="BF36" s="12"/>
      <c r="BG36" s="12"/>
      <c r="BH36" s="12">
        <f>BG36+'16'!BH36</f>
        <v>0</v>
      </c>
      <c r="BI36" s="30">
        <f t="shared" si="3"/>
        <v>0</v>
      </c>
    </row>
    <row r="37" spans="1:61" ht="28.9" customHeight="1" x14ac:dyDescent="0.35">
      <c r="A37" s="5">
        <v>27</v>
      </c>
      <c r="B37" s="26" t="str">
        <f>'16'!B37</f>
        <v>كفر ميت العبسى</v>
      </c>
      <c r="C37" s="26">
        <f>'16'!C37</f>
        <v>1180</v>
      </c>
      <c r="D37" s="26"/>
      <c r="E37" s="12"/>
      <c r="F37" s="2">
        <f>E37+'16'!F37</f>
        <v>12</v>
      </c>
      <c r="G37" s="2"/>
      <c r="H37" s="2">
        <f>G37+'16'!H37</f>
        <v>248</v>
      </c>
      <c r="I37" s="2"/>
      <c r="J37" s="2">
        <f>I37+'16'!J37</f>
        <v>443</v>
      </c>
      <c r="K37" s="2"/>
      <c r="L37" s="2">
        <f>K37+'16'!L37</f>
        <v>0</v>
      </c>
      <c r="M37" s="2"/>
      <c r="N37" s="2">
        <f>M37+'16'!N37</f>
        <v>0</v>
      </c>
      <c r="O37" s="2"/>
      <c r="P37" s="2">
        <f>O37+'16'!P37</f>
        <v>0</v>
      </c>
      <c r="Q37" s="4">
        <f t="shared" si="4"/>
        <v>0</v>
      </c>
      <c r="R37" s="4">
        <f>Q37+'16'!R37</f>
        <v>703</v>
      </c>
      <c r="S37" s="27">
        <f t="shared" si="5"/>
        <v>0.59576271186440677</v>
      </c>
      <c r="T37" s="12"/>
      <c r="U37" s="12">
        <f>T37+'16'!U37</f>
        <v>53</v>
      </c>
      <c r="V37" s="12"/>
      <c r="W37" s="12">
        <f>V37+'16'!W37</f>
        <v>11</v>
      </c>
      <c r="X37" s="12"/>
      <c r="Y37" s="12">
        <f>X37+'16'!Y37</f>
        <v>0</v>
      </c>
      <c r="AB37" s="5">
        <v>27</v>
      </c>
      <c r="AC37" s="26" t="str">
        <f>'16'!AC37</f>
        <v>كفر ميت العبسى</v>
      </c>
      <c r="AD37" s="28">
        <f>'16'!AI37</f>
        <v>33</v>
      </c>
      <c r="AE37" s="3"/>
      <c r="AF37" s="28">
        <f>AE37+'16'!AF37</f>
        <v>104</v>
      </c>
      <c r="AG37" s="4"/>
      <c r="AH37" s="28">
        <f>AG37+'16'!AH37</f>
        <v>71</v>
      </c>
      <c r="AI37" s="4">
        <f t="shared" si="6"/>
        <v>33</v>
      </c>
      <c r="AJ37" s="11" t="e">
        <f t="shared" si="0"/>
        <v>#DIV/0!</v>
      </c>
      <c r="AK37" s="53">
        <f t="shared" si="1"/>
        <v>9.9014084507042259</v>
      </c>
      <c r="AW37" s="26" t="str">
        <f>'16'!AW37</f>
        <v>كفر ميت العبسى</v>
      </c>
      <c r="AX37" s="12">
        <f>'16'!AX37</f>
        <v>2</v>
      </c>
      <c r="AY37" s="12">
        <f>'16'!AY37</f>
        <v>494</v>
      </c>
      <c r="AZ37" s="12"/>
      <c r="BA37" s="12"/>
      <c r="BB37" s="12">
        <f>BA37+'16'!BB37</f>
        <v>418</v>
      </c>
      <c r="BC37" s="30">
        <f t="shared" si="2"/>
        <v>0.84615384615384615</v>
      </c>
      <c r="BD37" s="12">
        <f>'16'!BD37</f>
        <v>4</v>
      </c>
      <c r="BE37" s="12">
        <f>'16'!BE37</f>
        <v>114</v>
      </c>
      <c r="BF37" s="12"/>
      <c r="BG37" s="12"/>
      <c r="BH37" s="12">
        <f>BG37+'16'!BH37</f>
        <v>73</v>
      </c>
      <c r="BI37" s="30">
        <f t="shared" si="3"/>
        <v>0.64035087719298245</v>
      </c>
    </row>
    <row r="38" spans="1:61" ht="28.9" customHeight="1" x14ac:dyDescent="0.35">
      <c r="A38" s="5">
        <v>28</v>
      </c>
      <c r="B38" s="26" t="str">
        <f>'16'!B38</f>
        <v>كفر وهــــــــــب</v>
      </c>
      <c r="C38" s="26">
        <f>'16'!C38</f>
        <v>1854.9999999999998</v>
      </c>
      <c r="D38" s="26"/>
      <c r="E38" s="12"/>
      <c r="F38" s="2">
        <f>E38+'16'!F38</f>
        <v>7</v>
      </c>
      <c r="G38" s="2"/>
      <c r="H38" s="2">
        <f>G38+'16'!H38</f>
        <v>265</v>
      </c>
      <c r="I38" s="2"/>
      <c r="J38" s="2">
        <f>I38+'16'!J38</f>
        <v>618</v>
      </c>
      <c r="K38" s="2"/>
      <c r="L38" s="2">
        <f>K38+'16'!L38</f>
        <v>0</v>
      </c>
      <c r="M38" s="2"/>
      <c r="N38" s="2">
        <f>M38+'16'!N38</f>
        <v>0</v>
      </c>
      <c r="O38" s="2"/>
      <c r="P38" s="2">
        <f>O38+'16'!P38</f>
        <v>0</v>
      </c>
      <c r="Q38" s="4">
        <f t="shared" si="4"/>
        <v>0</v>
      </c>
      <c r="R38" s="4">
        <f>Q38+'16'!R38</f>
        <v>890</v>
      </c>
      <c r="S38" s="27">
        <f t="shared" si="5"/>
        <v>0.47978436657681944</v>
      </c>
      <c r="T38" s="12"/>
      <c r="U38" s="12">
        <f>T38+'16'!U38</f>
        <v>123</v>
      </c>
      <c r="V38" s="12"/>
      <c r="W38" s="12">
        <f>V38+'16'!W38</f>
        <v>7</v>
      </c>
      <c r="X38" s="12"/>
      <c r="Y38" s="12">
        <f>X38+'16'!Y38</f>
        <v>0</v>
      </c>
      <c r="AB38" s="5">
        <v>28</v>
      </c>
      <c r="AC38" s="26" t="str">
        <f>'16'!AC38</f>
        <v>كفر وهــــــــــب</v>
      </c>
      <c r="AD38" s="28">
        <f>'16'!AI38</f>
        <v>72</v>
      </c>
      <c r="AE38" s="3"/>
      <c r="AF38" s="28">
        <f>AE38+'16'!AF38</f>
        <v>163</v>
      </c>
      <c r="AG38" s="4"/>
      <c r="AH38" s="28">
        <f>AG38+'16'!AH38</f>
        <v>91</v>
      </c>
      <c r="AI38" s="4">
        <f t="shared" si="6"/>
        <v>72</v>
      </c>
      <c r="AJ38" s="11" t="e">
        <f t="shared" si="0"/>
        <v>#DIV/0!</v>
      </c>
      <c r="AK38" s="53">
        <f t="shared" si="1"/>
        <v>9.780219780219781</v>
      </c>
      <c r="AW38" s="26" t="str">
        <f>'16'!AW38</f>
        <v>كفر وهــــــــــب</v>
      </c>
      <c r="AX38" s="12">
        <f>'16'!AX38</f>
        <v>2</v>
      </c>
      <c r="AY38" s="12">
        <f>'16'!AY38</f>
        <v>793</v>
      </c>
      <c r="AZ38" s="12"/>
      <c r="BA38" s="12"/>
      <c r="BB38" s="12">
        <f>BA38+'16'!BB38</f>
        <v>623</v>
      </c>
      <c r="BC38" s="30">
        <f t="shared" si="2"/>
        <v>0.78562421185372</v>
      </c>
      <c r="BD38" s="12">
        <f>'16'!BD38</f>
        <v>3</v>
      </c>
      <c r="BE38" s="12">
        <f>'16'!BE38</f>
        <v>180</v>
      </c>
      <c r="BF38" s="12"/>
      <c r="BG38" s="12"/>
      <c r="BH38" s="12">
        <f>BG38+'16'!BH38</f>
        <v>160</v>
      </c>
      <c r="BI38" s="30">
        <f t="shared" si="3"/>
        <v>0.88888888888888884</v>
      </c>
    </row>
    <row r="39" spans="1:61" ht="28.9" customHeight="1" x14ac:dyDescent="0.35">
      <c r="A39" s="5">
        <v>29</v>
      </c>
      <c r="B39" s="26" t="str">
        <f>'16'!B39</f>
        <v>دمــــــــــــــهوج</v>
      </c>
      <c r="C39" s="26">
        <f>'16'!C39</f>
        <v>2738</v>
      </c>
      <c r="D39" s="26"/>
      <c r="E39" s="12"/>
      <c r="F39" s="2">
        <f>E39+'16'!F39</f>
        <v>11</v>
      </c>
      <c r="G39" s="2"/>
      <c r="H39" s="2">
        <f>G39+'16'!H39</f>
        <v>437</v>
      </c>
      <c r="I39" s="2"/>
      <c r="J39" s="2">
        <f>I39+'16'!J39</f>
        <v>832</v>
      </c>
      <c r="K39" s="2"/>
      <c r="L39" s="2">
        <f>K39+'16'!L39</f>
        <v>0</v>
      </c>
      <c r="M39" s="2"/>
      <c r="N39" s="2">
        <f>M39+'16'!N39</f>
        <v>0</v>
      </c>
      <c r="O39" s="2"/>
      <c r="P39" s="2">
        <f>O39+'16'!P39</f>
        <v>0</v>
      </c>
      <c r="Q39" s="4">
        <f t="shared" si="4"/>
        <v>0</v>
      </c>
      <c r="R39" s="4">
        <f>Q39+'16'!R39</f>
        <v>1280</v>
      </c>
      <c r="S39" s="27">
        <f t="shared" si="5"/>
        <v>0.46749452154857563</v>
      </c>
      <c r="T39" s="12"/>
      <c r="U39" s="12">
        <f>T39+'16'!U39</f>
        <v>158</v>
      </c>
      <c r="V39" s="12"/>
      <c r="W39" s="12">
        <f>V39+'16'!W39</f>
        <v>7</v>
      </c>
      <c r="X39" s="12"/>
      <c r="Y39" s="12">
        <f>X39+'16'!Y39</f>
        <v>0</v>
      </c>
      <c r="AB39" s="5">
        <v>29</v>
      </c>
      <c r="AC39" s="26" t="str">
        <f>'16'!AC39</f>
        <v>دمــــــــــــــهوج</v>
      </c>
      <c r="AD39" s="28">
        <f>'16'!AI39</f>
        <v>109</v>
      </c>
      <c r="AE39" s="3"/>
      <c r="AF39" s="28">
        <f>AE39+'16'!AF39</f>
        <v>240</v>
      </c>
      <c r="AG39" s="4"/>
      <c r="AH39" s="28">
        <f>AG39+'16'!AH39</f>
        <v>131</v>
      </c>
      <c r="AI39" s="4">
        <f t="shared" si="6"/>
        <v>109</v>
      </c>
      <c r="AJ39" s="11" t="e">
        <f t="shared" si="0"/>
        <v>#DIV/0!</v>
      </c>
      <c r="AK39" s="53">
        <f t="shared" si="1"/>
        <v>9.770992366412214</v>
      </c>
      <c r="AW39" s="26" t="str">
        <f>'16'!AW39</f>
        <v>دمــــــــــــــهوج</v>
      </c>
      <c r="AX39" s="12">
        <f>'16'!AX39</f>
        <v>2</v>
      </c>
      <c r="AY39" s="12">
        <f>'16'!AY39</f>
        <v>1086</v>
      </c>
      <c r="AZ39" s="12"/>
      <c r="BA39" s="12"/>
      <c r="BB39" s="12">
        <f>BA39+'16'!BB39</f>
        <v>834</v>
      </c>
      <c r="BC39" s="30">
        <f t="shared" si="2"/>
        <v>0.76795580110497241</v>
      </c>
      <c r="BD39" s="12">
        <f>'16'!BD39</f>
        <v>10</v>
      </c>
      <c r="BE39" s="12">
        <f>'16'!BE39</f>
        <v>455</v>
      </c>
      <c r="BF39" s="12"/>
      <c r="BG39" s="12"/>
      <c r="BH39" s="12">
        <f>BG39+'16'!BH39</f>
        <v>439</v>
      </c>
      <c r="BI39" s="30">
        <f t="shared" si="3"/>
        <v>0.96483516483516485</v>
      </c>
    </row>
    <row r="40" spans="1:61" ht="28.9" customHeight="1" x14ac:dyDescent="0.35">
      <c r="A40" s="5">
        <v>30</v>
      </c>
      <c r="B40" s="26" t="str">
        <f>'16'!B40</f>
        <v>كفر زين الدين</v>
      </c>
      <c r="C40" s="26">
        <f>'16'!C40</f>
        <v>819</v>
      </c>
      <c r="D40" s="26"/>
      <c r="E40" s="12"/>
      <c r="F40" s="2">
        <f>E40+'16'!F40</f>
        <v>9</v>
      </c>
      <c r="G40" s="2"/>
      <c r="H40" s="2">
        <f>G40+'16'!H40</f>
        <v>266</v>
      </c>
      <c r="I40" s="2"/>
      <c r="J40" s="2">
        <f>I40+'16'!J40</f>
        <v>430</v>
      </c>
      <c r="K40" s="2"/>
      <c r="L40" s="2">
        <f>K40+'16'!L40</f>
        <v>0</v>
      </c>
      <c r="M40" s="2"/>
      <c r="N40" s="2">
        <f>M40+'16'!N40</f>
        <v>0</v>
      </c>
      <c r="O40" s="2"/>
      <c r="P40" s="2">
        <f>O40+'16'!P40</f>
        <v>0</v>
      </c>
      <c r="Q40" s="4">
        <f t="shared" si="4"/>
        <v>0</v>
      </c>
      <c r="R40" s="4">
        <f>Q40+'16'!R40</f>
        <v>705</v>
      </c>
      <c r="S40" s="27">
        <f t="shared" si="5"/>
        <v>0.86080586080586086</v>
      </c>
      <c r="T40" s="12"/>
      <c r="U40" s="12">
        <f>T40+'16'!U40</f>
        <v>76</v>
      </c>
      <c r="V40" s="12"/>
      <c r="W40" s="12">
        <f>V40+'16'!W40</f>
        <v>26</v>
      </c>
      <c r="X40" s="12"/>
      <c r="Y40" s="12">
        <f>X40+'16'!Y40</f>
        <v>0</v>
      </c>
      <c r="AB40" s="5">
        <v>30</v>
      </c>
      <c r="AC40" s="26" t="str">
        <f>'16'!AC40</f>
        <v>كفر زين الدين</v>
      </c>
      <c r="AD40" s="28">
        <f>'16'!AI40</f>
        <v>9</v>
      </c>
      <c r="AE40" s="3"/>
      <c r="AF40" s="28">
        <f>AE40+'16'!AF40</f>
        <v>80</v>
      </c>
      <c r="AG40" s="4"/>
      <c r="AH40" s="28">
        <f>AG40+'16'!AH40</f>
        <v>71</v>
      </c>
      <c r="AI40" s="4">
        <f t="shared" si="6"/>
        <v>9</v>
      </c>
      <c r="AJ40" s="11" t="e">
        <f t="shared" si="0"/>
        <v>#DIV/0!</v>
      </c>
      <c r="AK40" s="53">
        <f t="shared" si="1"/>
        <v>9.929577464788732</v>
      </c>
      <c r="AW40" s="26" t="str">
        <f>'16'!AW40</f>
        <v>كفر زين الدين</v>
      </c>
      <c r="AX40" s="12">
        <f>'16'!AX40</f>
        <v>1</v>
      </c>
      <c r="AY40" s="12">
        <f>'16'!AY40</f>
        <v>563</v>
      </c>
      <c r="AZ40" s="12"/>
      <c r="BA40" s="12"/>
      <c r="BB40" s="12">
        <f>BA40+'16'!BB40</f>
        <v>364</v>
      </c>
      <c r="BC40" s="30">
        <f t="shared" si="2"/>
        <v>0.64653641207815271</v>
      </c>
      <c r="BD40" s="12">
        <f>'16'!BD40</f>
        <v>2</v>
      </c>
      <c r="BE40" s="12">
        <f>'16'!BE40</f>
        <v>87</v>
      </c>
      <c r="BF40" s="12"/>
      <c r="BG40" s="12"/>
      <c r="BH40" s="12">
        <f>BG40+'16'!BH40</f>
        <v>166</v>
      </c>
      <c r="BI40" s="30">
        <f t="shared" si="3"/>
        <v>1.9080459770114941</v>
      </c>
    </row>
    <row r="41" spans="1:61" ht="28.9" customHeight="1" x14ac:dyDescent="0.35">
      <c r="A41" s="5">
        <v>31</v>
      </c>
      <c r="B41" s="26" t="str">
        <f>'16'!B41</f>
        <v>عزبــة أبوالنصر</v>
      </c>
      <c r="C41" s="26">
        <f>'16'!C41</f>
        <v>410</v>
      </c>
      <c r="D41" s="26"/>
      <c r="E41" s="12"/>
      <c r="F41" s="2">
        <f>E41+'16'!F41</f>
        <v>10</v>
      </c>
      <c r="G41" s="2"/>
      <c r="H41" s="2">
        <f>G41+'16'!H41</f>
        <v>229</v>
      </c>
      <c r="I41" s="2"/>
      <c r="J41" s="2">
        <f>I41+'16'!J41</f>
        <v>120</v>
      </c>
      <c r="K41" s="2"/>
      <c r="L41" s="2">
        <f>K41+'16'!L41</f>
        <v>0</v>
      </c>
      <c r="M41" s="2"/>
      <c r="N41" s="2">
        <f>M41+'16'!N41</f>
        <v>0</v>
      </c>
      <c r="O41" s="2"/>
      <c r="P41" s="2">
        <f>O41+'16'!P41</f>
        <v>0</v>
      </c>
      <c r="Q41" s="4">
        <f t="shared" si="4"/>
        <v>0</v>
      </c>
      <c r="R41" s="4">
        <f>Q41+'16'!R41</f>
        <v>359</v>
      </c>
      <c r="S41" s="27">
        <f t="shared" si="5"/>
        <v>0.87560975609756098</v>
      </c>
      <c r="T41" s="12"/>
      <c r="U41" s="12">
        <f>T41+'16'!U41</f>
        <v>0</v>
      </c>
      <c r="V41" s="12"/>
      <c r="W41" s="12">
        <f>V41+'16'!W41</f>
        <v>0</v>
      </c>
      <c r="X41" s="12"/>
      <c r="Y41" s="12">
        <f>X41+'16'!Y41</f>
        <v>0</v>
      </c>
      <c r="AB41" s="5">
        <v>31</v>
      </c>
      <c r="AC41" s="26" t="str">
        <f>'16'!AC41</f>
        <v>عزبــة أبوالنصر</v>
      </c>
      <c r="AD41" s="28">
        <f>'16'!AI41</f>
        <v>4</v>
      </c>
      <c r="AE41" s="3"/>
      <c r="AF41" s="28">
        <f>AE41+'16'!AF41</f>
        <v>41</v>
      </c>
      <c r="AG41" s="4"/>
      <c r="AH41" s="28">
        <f>AG41+'16'!AH41</f>
        <v>37</v>
      </c>
      <c r="AI41" s="4">
        <f t="shared" si="6"/>
        <v>4</v>
      </c>
      <c r="AJ41" s="11" t="e">
        <f t="shared" si="0"/>
        <v>#DIV/0!</v>
      </c>
      <c r="AK41" s="53">
        <f t="shared" si="1"/>
        <v>9.7027027027027035</v>
      </c>
      <c r="AW41" s="26" t="str">
        <f>'16'!AW41</f>
        <v>عزبــة أبوالنصر</v>
      </c>
      <c r="AX41" s="12">
        <f>'16'!AX41</f>
        <v>2</v>
      </c>
      <c r="AY41" s="12">
        <f>'16'!AY41</f>
        <v>70</v>
      </c>
      <c r="AZ41" s="12"/>
      <c r="BA41" s="12"/>
      <c r="BB41" s="12">
        <f>BA41+'16'!BB41</f>
        <v>65</v>
      </c>
      <c r="BC41" s="30">
        <f t="shared" si="2"/>
        <v>0.9285714285714286</v>
      </c>
      <c r="BD41" s="12">
        <f>'16'!BD41</f>
        <v>3</v>
      </c>
      <c r="BE41" s="12">
        <f>'16'!BE41</f>
        <v>75</v>
      </c>
      <c r="BF41" s="12"/>
      <c r="BG41" s="12"/>
      <c r="BH41" s="12">
        <f>BG41+'16'!BH41</f>
        <v>36</v>
      </c>
      <c r="BI41" s="30">
        <f t="shared" si="3"/>
        <v>0.48</v>
      </c>
    </row>
    <row r="42" spans="1:61" ht="28.9" customHeight="1" x14ac:dyDescent="0.35">
      <c r="A42" s="5">
        <v>32</v>
      </c>
      <c r="B42" s="26" t="str">
        <f>'16'!B42</f>
        <v>شمنديــــــــــــــل</v>
      </c>
      <c r="C42" s="26">
        <f>'16'!C42</f>
        <v>880</v>
      </c>
      <c r="D42" s="26"/>
      <c r="E42" s="12"/>
      <c r="F42" s="2">
        <f>E42+'16'!F42</f>
        <v>7</v>
      </c>
      <c r="G42" s="2"/>
      <c r="H42" s="2">
        <f>G42+'16'!H42</f>
        <v>219</v>
      </c>
      <c r="I42" s="2"/>
      <c r="J42" s="2">
        <f>I42+'16'!J42</f>
        <v>421</v>
      </c>
      <c r="K42" s="2"/>
      <c r="L42" s="2">
        <f>K42+'16'!L42</f>
        <v>0</v>
      </c>
      <c r="M42" s="2"/>
      <c r="N42" s="2">
        <f>M42+'16'!N42</f>
        <v>0</v>
      </c>
      <c r="O42" s="2"/>
      <c r="P42" s="2">
        <f>O42+'16'!P42</f>
        <v>0</v>
      </c>
      <c r="Q42" s="4">
        <f t="shared" si="4"/>
        <v>0</v>
      </c>
      <c r="R42" s="4">
        <f>Q42+'16'!R42</f>
        <v>647</v>
      </c>
      <c r="S42" s="27">
        <f t="shared" si="5"/>
        <v>0.73522727272727273</v>
      </c>
      <c r="T42" s="12"/>
      <c r="U42" s="12">
        <f>T42+'16'!U42</f>
        <v>69</v>
      </c>
      <c r="V42" s="12"/>
      <c r="W42" s="12">
        <f>V42+'16'!W42</f>
        <v>11</v>
      </c>
      <c r="X42" s="12"/>
      <c r="Y42" s="12">
        <f>X42+'16'!Y42</f>
        <v>0</v>
      </c>
      <c r="AB42" s="5">
        <v>32</v>
      </c>
      <c r="AC42" s="26" t="str">
        <f>'16'!AC42</f>
        <v>شمنديــــــــــــــل</v>
      </c>
      <c r="AD42" s="28">
        <f>'16'!AI42</f>
        <v>9</v>
      </c>
      <c r="AE42" s="3"/>
      <c r="AF42" s="28">
        <f>AE42+'16'!AF42</f>
        <v>78</v>
      </c>
      <c r="AG42" s="4"/>
      <c r="AH42" s="28">
        <f>AG42+'16'!AH42</f>
        <v>69</v>
      </c>
      <c r="AI42" s="4">
        <f t="shared" si="6"/>
        <v>9</v>
      </c>
      <c r="AJ42" s="11" t="e">
        <f t="shared" si="0"/>
        <v>#DIV/0!</v>
      </c>
      <c r="AK42" s="53">
        <f t="shared" si="1"/>
        <v>9.3768115942028984</v>
      </c>
      <c r="AW42" s="26" t="str">
        <f>'16'!AW42</f>
        <v>شمنديــــــــــــــل</v>
      </c>
      <c r="AX42" s="12">
        <f>'16'!AX42</f>
        <v>2</v>
      </c>
      <c r="AY42" s="12">
        <f>'16'!AY42</f>
        <v>569</v>
      </c>
      <c r="AZ42" s="12"/>
      <c r="BA42" s="12"/>
      <c r="BB42" s="12">
        <f>BA42+'16'!BB42</f>
        <v>453</v>
      </c>
      <c r="BC42" s="30">
        <f t="shared" si="2"/>
        <v>0.79613356766256593</v>
      </c>
      <c r="BD42" s="12">
        <f>'16'!BD42</f>
        <v>1</v>
      </c>
      <c r="BE42" s="12">
        <f>'16'!BE42</f>
        <v>39</v>
      </c>
      <c r="BF42" s="12"/>
      <c r="BG42" s="12"/>
      <c r="BH42" s="12">
        <f>BG42+'16'!BH42</f>
        <v>82</v>
      </c>
      <c r="BI42" s="30">
        <f t="shared" si="3"/>
        <v>2.1025641025641026</v>
      </c>
    </row>
    <row r="43" spans="1:61" ht="28.9" customHeight="1" x14ac:dyDescent="0.35">
      <c r="A43" s="5">
        <v>33</v>
      </c>
      <c r="B43" s="26" t="str">
        <f>'16'!B43</f>
        <v>كفور الرمل</v>
      </c>
      <c r="C43" s="26">
        <f>'16'!C43</f>
        <v>1721</v>
      </c>
      <c r="D43" s="26"/>
      <c r="E43" s="12"/>
      <c r="F43" s="2">
        <f>E43+'16'!F43</f>
        <v>17</v>
      </c>
      <c r="G43" s="2"/>
      <c r="H43" s="2">
        <f>G43+'16'!H43</f>
        <v>505</v>
      </c>
      <c r="I43" s="2"/>
      <c r="J43" s="2">
        <f>I43+'16'!J43</f>
        <v>718</v>
      </c>
      <c r="K43" s="2"/>
      <c r="L43" s="2">
        <f>K43+'16'!L43</f>
        <v>0</v>
      </c>
      <c r="M43" s="2"/>
      <c r="N43" s="2">
        <f>M43+'16'!N43</f>
        <v>0</v>
      </c>
      <c r="O43" s="2"/>
      <c r="P43" s="2">
        <f>O43+'16'!P43</f>
        <v>0</v>
      </c>
      <c r="Q43" s="4">
        <f t="shared" si="4"/>
        <v>0</v>
      </c>
      <c r="R43" s="4">
        <f>Q43+'16'!R43</f>
        <v>1240</v>
      </c>
      <c r="S43" s="27">
        <f t="shared" si="5"/>
        <v>0.72051133062173156</v>
      </c>
      <c r="T43" s="12"/>
      <c r="U43" s="12">
        <f>T43+'16'!U43</f>
        <v>192</v>
      </c>
      <c r="V43" s="12"/>
      <c r="W43" s="12">
        <f>V43+'16'!W43</f>
        <v>100</v>
      </c>
      <c r="X43" s="12"/>
      <c r="Y43" s="12">
        <f>X43+'16'!Y43</f>
        <v>0</v>
      </c>
      <c r="AB43" s="5">
        <v>33</v>
      </c>
      <c r="AC43" s="26" t="str">
        <f>'16'!AC43</f>
        <v>كفور الرمل</v>
      </c>
      <c r="AD43" s="28">
        <f>'16'!AI43</f>
        <v>15</v>
      </c>
      <c r="AE43" s="3"/>
      <c r="AF43" s="28">
        <f>AE43+'16'!AF43</f>
        <v>150</v>
      </c>
      <c r="AG43" s="4"/>
      <c r="AH43" s="28">
        <f>AG43+'16'!AH43</f>
        <v>135</v>
      </c>
      <c r="AI43" s="4">
        <f t="shared" si="6"/>
        <v>15</v>
      </c>
      <c r="AJ43" s="11" t="e">
        <f t="shared" si="0"/>
        <v>#DIV/0!</v>
      </c>
      <c r="AK43" s="53">
        <f t="shared" si="1"/>
        <v>9.1851851851851851</v>
      </c>
      <c r="AW43" s="26" t="str">
        <f>'16'!AW43</f>
        <v>كفور الرمل</v>
      </c>
      <c r="AX43" s="12">
        <f>'16'!AX43</f>
        <v>4</v>
      </c>
      <c r="AY43" s="12">
        <f>'16'!AY43</f>
        <v>1335</v>
      </c>
      <c r="AZ43" s="12"/>
      <c r="BA43" s="12"/>
      <c r="BB43" s="12">
        <f>BA43+'16'!BB43</f>
        <v>918</v>
      </c>
      <c r="BC43" s="30">
        <f t="shared" si="2"/>
        <v>0.68764044943820224</v>
      </c>
      <c r="BD43" s="12">
        <f>'16'!BD43</f>
        <v>7</v>
      </c>
      <c r="BE43" s="12">
        <f>'16'!BE43</f>
        <v>753</v>
      </c>
      <c r="BF43" s="12"/>
      <c r="BG43" s="12"/>
      <c r="BH43" s="12">
        <f>BG43+'16'!BH43</f>
        <v>414</v>
      </c>
      <c r="BI43" s="30">
        <f t="shared" si="3"/>
        <v>0.54980079681274896</v>
      </c>
    </row>
    <row r="44" spans="1:61" ht="28.9" customHeight="1" x14ac:dyDescent="0.35">
      <c r="A44" s="5">
        <v>34</v>
      </c>
      <c r="B44" s="26" t="str">
        <f>'16'!B44</f>
        <v>منشأة أم خنان</v>
      </c>
      <c r="C44" s="26">
        <f>'16'!C44</f>
        <v>510</v>
      </c>
      <c r="D44" s="26"/>
      <c r="E44" s="12"/>
      <c r="F44" s="2">
        <f>E44+'16'!F44</f>
        <v>12</v>
      </c>
      <c r="G44" s="2"/>
      <c r="H44" s="2">
        <f>G44+'16'!H44</f>
        <v>194</v>
      </c>
      <c r="I44" s="2"/>
      <c r="J44" s="2">
        <f>I44+'16'!J44</f>
        <v>291</v>
      </c>
      <c r="K44" s="2"/>
      <c r="L44" s="2">
        <f>K44+'16'!L44</f>
        <v>0</v>
      </c>
      <c r="M44" s="2"/>
      <c r="N44" s="2">
        <f>M44+'16'!N44</f>
        <v>0</v>
      </c>
      <c r="O44" s="2"/>
      <c r="P44" s="2">
        <f>O44+'16'!P44</f>
        <v>0</v>
      </c>
      <c r="Q44" s="4">
        <f t="shared" si="4"/>
        <v>0</v>
      </c>
      <c r="R44" s="4">
        <f>Q44+'16'!R44</f>
        <v>497</v>
      </c>
      <c r="S44" s="27">
        <f t="shared" si="5"/>
        <v>0.97450980392156861</v>
      </c>
      <c r="T44" s="12"/>
      <c r="U44" s="12">
        <f>T44+'16'!U44</f>
        <v>11</v>
      </c>
      <c r="V44" s="12"/>
      <c r="W44" s="12">
        <f>V44+'16'!W44</f>
        <v>7</v>
      </c>
      <c r="X44" s="12"/>
      <c r="Y44" s="12">
        <f>X44+'16'!Y44</f>
        <v>0</v>
      </c>
      <c r="AB44" s="5">
        <v>34</v>
      </c>
      <c r="AC44" s="26" t="str">
        <f>'16'!AC44</f>
        <v>منشأة أم خنان</v>
      </c>
      <c r="AD44" s="28">
        <f>'16'!AI44</f>
        <v>4</v>
      </c>
      <c r="AE44" s="3"/>
      <c r="AF44" s="28">
        <f>AE44+'16'!AF44</f>
        <v>55</v>
      </c>
      <c r="AG44" s="4"/>
      <c r="AH44" s="28">
        <f>AG44+'16'!AH44</f>
        <v>51</v>
      </c>
      <c r="AI44" s="4">
        <f t="shared" si="6"/>
        <v>4</v>
      </c>
      <c r="AJ44" s="11" t="e">
        <f t="shared" si="0"/>
        <v>#DIV/0!</v>
      </c>
      <c r="AK44" s="53">
        <f t="shared" si="1"/>
        <v>9.7450980392156854</v>
      </c>
      <c r="AW44" s="26" t="str">
        <f>'16'!AW44</f>
        <v>منشأة أم خنان</v>
      </c>
      <c r="AX44" s="12">
        <f>'16'!AX44</f>
        <v>1</v>
      </c>
      <c r="AY44" s="12">
        <f>'16'!AY44</f>
        <v>277</v>
      </c>
      <c r="AZ44" s="12"/>
      <c r="BA44" s="12"/>
      <c r="BB44" s="12">
        <f>BA44+'16'!BB44</f>
        <v>269</v>
      </c>
      <c r="BC44" s="30">
        <f t="shared" si="2"/>
        <v>0.97111913357400725</v>
      </c>
      <c r="BD44" s="12">
        <f>'16'!BD44</f>
        <v>3</v>
      </c>
      <c r="BE44" s="12">
        <f>'16'!BE44</f>
        <v>170</v>
      </c>
      <c r="BF44" s="12"/>
      <c r="BG44" s="12"/>
      <c r="BH44" s="12">
        <f>BG44+'16'!BH44</f>
        <v>115</v>
      </c>
      <c r="BI44" s="30">
        <f t="shared" si="3"/>
        <v>0.67647058823529416</v>
      </c>
    </row>
    <row r="45" spans="1:61" ht="28.9" customHeight="1" x14ac:dyDescent="0.35">
      <c r="A45" s="5">
        <v>35</v>
      </c>
      <c r="B45" s="26">
        <f>'16'!B45</f>
        <v>0</v>
      </c>
      <c r="C45" s="26">
        <f>'16'!C45</f>
        <v>0</v>
      </c>
      <c r="D45" s="26"/>
      <c r="E45" s="12"/>
      <c r="F45" s="2">
        <f>E45+'16'!F45</f>
        <v>0</v>
      </c>
      <c r="G45" s="2"/>
      <c r="H45" s="2">
        <f>G45+'16'!H45</f>
        <v>0</v>
      </c>
      <c r="I45" s="2"/>
      <c r="J45" s="2">
        <f>I45+'16'!J45</f>
        <v>0</v>
      </c>
      <c r="K45" s="2"/>
      <c r="L45" s="2">
        <f>K45+'16'!L45</f>
        <v>0</v>
      </c>
      <c r="M45" s="2"/>
      <c r="N45" s="2">
        <f>M45+'16'!N45</f>
        <v>0</v>
      </c>
      <c r="O45" s="2"/>
      <c r="P45" s="2">
        <f>O45+'16'!P45</f>
        <v>0</v>
      </c>
      <c r="Q45" s="4">
        <f t="shared" si="4"/>
        <v>0</v>
      </c>
      <c r="R45" s="4">
        <f>Q45+'16'!R45</f>
        <v>0</v>
      </c>
      <c r="S45" s="27" t="e">
        <f t="shared" si="5"/>
        <v>#DIV/0!</v>
      </c>
      <c r="T45" s="12"/>
      <c r="U45" s="12">
        <f>T45+'16'!U45</f>
        <v>0</v>
      </c>
      <c r="V45" s="12"/>
      <c r="W45" s="12">
        <f>V45+'16'!W45</f>
        <v>0</v>
      </c>
      <c r="X45" s="12"/>
      <c r="Y45" s="12">
        <f>X45+'16'!Y45</f>
        <v>0</v>
      </c>
      <c r="AB45" s="5">
        <v>35</v>
      </c>
      <c r="AC45" s="26">
        <f>'16'!AC45</f>
        <v>0</v>
      </c>
      <c r="AD45" s="28">
        <f>'16'!AI45</f>
        <v>0</v>
      </c>
      <c r="AE45" s="3"/>
      <c r="AF45" s="28">
        <f>AE45+'16'!AF45</f>
        <v>0</v>
      </c>
      <c r="AG45" s="4"/>
      <c r="AH45" s="28">
        <f>AG45+'16'!AH45</f>
        <v>0</v>
      </c>
      <c r="AI45" s="4">
        <f t="shared" si="6"/>
        <v>0</v>
      </c>
      <c r="AJ45" s="11" t="e">
        <f t="shared" si="0"/>
        <v>#DIV/0!</v>
      </c>
      <c r="AK45" s="53" t="e">
        <f t="shared" si="1"/>
        <v>#DIV/0!</v>
      </c>
      <c r="AW45" s="26">
        <f>'16'!AW45</f>
        <v>0</v>
      </c>
      <c r="AX45" s="12">
        <f>'16'!AX45</f>
        <v>0</v>
      </c>
      <c r="AY45" s="12">
        <f>'16'!AY45</f>
        <v>0</v>
      </c>
      <c r="AZ45" s="12"/>
      <c r="BA45" s="12"/>
      <c r="BB45" s="12">
        <f>BA45+'16'!BB45</f>
        <v>0</v>
      </c>
      <c r="BC45" s="30" t="e">
        <f t="shared" si="2"/>
        <v>#DIV/0!</v>
      </c>
      <c r="BD45" s="12">
        <f>'16'!BD45</f>
        <v>0</v>
      </c>
      <c r="BE45" s="12">
        <f>'16'!BE45</f>
        <v>0</v>
      </c>
      <c r="BF45" s="12"/>
      <c r="BG45" s="12"/>
      <c r="BH45" s="12">
        <f>BG45+'16'!BH45</f>
        <v>0</v>
      </c>
      <c r="BI45" s="30" t="e">
        <f t="shared" si="3"/>
        <v>#DIV/0!</v>
      </c>
    </row>
    <row r="46" spans="1:61" ht="28.9" customHeight="1" x14ac:dyDescent="0.35">
      <c r="A46" s="5">
        <v>36</v>
      </c>
      <c r="B46" s="26">
        <f>'16'!B46</f>
        <v>0</v>
      </c>
      <c r="C46" s="26">
        <f>'16'!C46</f>
        <v>0</v>
      </c>
      <c r="D46" s="26"/>
      <c r="E46" s="12"/>
      <c r="F46" s="2">
        <f>E46+'16'!F46</f>
        <v>0</v>
      </c>
      <c r="G46" s="2"/>
      <c r="H46" s="2">
        <f>G46+'16'!H46</f>
        <v>0</v>
      </c>
      <c r="I46" s="2"/>
      <c r="J46" s="2">
        <f>I46+'16'!J46</f>
        <v>0</v>
      </c>
      <c r="K46" s="2"/>
      <c r="L46" s="2">
        <f>K46+'16'!L46</f>
        <v>0</v>
      </c>
      <c r="M46" s="2"/>
      <c r="N46" s="2">
        <f>M46+'16'!N46</f>
        <v>0</v>
      </c>
      <c r="O46" s="2"/>
      <c r="P46" s="2">
        <f>O46+'16'!P46</f>
        <v>0</v>
      </c>
      <c r="Q46" s="4">
        <f t="shared" si="4"/>
        <v>0</v>
      </c>
      <c r="R46" s="4">
        <f>Q46+'16'!R46</f>
        <v>0</v>
      </c>
      <c r="S46" s="27" t="e">
        <f t="shared" si="5"/>
        <v>#DIV/0!</v>
      </c>
      <c r="T46" s="12"/>
      <c r="U46" s="12">
        <f>T46+'16'!U46</f>
        <v>0</v>
      </c>
      <c r="V46" s="12"/>
      <c r="W46" s="12">
        <f>V46+'16'!W46</f>
        <v>0</v>
      </c>
      <c r="X46" s="12"/>
      <c r="Y46" s="12">
        <f>X46+'16'!Y46</f>
        <v>0</v>
      </c>
      <c r="AB46" s="5">
        <v>36</v>
      </c>
      <c r="AC46" s="26">
        <f>'16'!AC46</f>
        <v>0</v>
      </c>
      <c r="AD46" s="28">
        <f>'16'!AI46</f>
        <v>0</v>
      </c>
      <c r="AE46" s="3"/>
      <c r="AF46" s="28">
        <f>AE46+'16'!AF46</f>
        <v>0</v>
      </c>
      <c r="AG46" s="4"/>
      <c r="AH46" s="28">
        <f>AG46+'16'!AH46</f>
        <v>0</v>
      </c>
      <c r="AI46" s="4">
        <f t="shared" si="6"/>
        <v>0</v>
      </c>
      <c r="AJ46" s="11" t="e">
        <f t="shared" si="0"/>
        <v>#DIV/0!</v>
      </c>
      <c r="AK46" s="53" t="e">
        <f t="shared" si="1"/>
        <v>#DIV/0!</v>
      </c>
      <c r="AW46" s="26">
        <f>'16'!AW46</f>
        <v>0</v>
      </c>
      <c r="AX46" s="12">
        <f>'16'!AX46</f>
        <v>0</v>
      </c>
      <c r="AY46" s="12">
        <f>'16'!AY46</f>
        <v>0</v>
      </c>
      <c r="AZ46" s="12"/>
      <c r="BA46" s="12"/>
      <c r="BB46" s="12">
        <f>BA46+'16'!BB46</f>
        <v>0</v>
      </c>
      <c r="BC46" s="30" t="e">
        <f t="shared" si="2"/>
        <v>#DIV/0!</v>
      </c>
      <c r="BD46" s="12">
        <f>'16'!BD46</f>
        <v>0</v>
      </c>
      <c r="BE46" s="12">
        <f>'16'!BE46</f>
        <v>0</v>
      </c>
      <c r="BF46" s="12"/>
      <c r="BG46" s="12"/>
      <c r="BH46" s="12">
        <f>BG46+'16'!BH46</f>
        <v>0</v>
      </c>
      <c r="BI46" s="30" t="e">
        <f t="shared" si="3"/>
        <v>#DIV/0!</v>
      </c>
    </row>
    <row r="47" spans="1:61" ht="28.9" customHeight="1" x14ac:dyDescent="0.35">
      <c r="A47" s="5">
        <v>37</v>
      </c>
      <c r="B47" s="26">
        <f>'16'!B47</f>
        <v>0</v>
      </c>
      <c r="C47" s="26">
        <f>'16'!C47</f>
        <v>0</v>
      </c>
      <c r="D47" s="26"/>
      <c r="E47" s="12"/>
      <c r="F47" s="2">
        <f>E47+'16'!F47</f>
        <v>0</v>
      </c>
      <c r="G47" s="2"/>
      <c r="H47" s="2">
        <f>G47+'16'!H47</f>
        <v>0</v>
      </c>
      <c r="I47" s="2"/>
      <c r="J47" s="2">
        <f>I47+'16'!J47</f>
        <v>0</v>
      </c>
      <c r="K47" s="2"/>
      <c r="L47" s="2">
        <f>K47+'16'!L47</f>
        <v>0</v>
      </c>
      <c r="M47" s="2"/>
      <c r="N47" s="2">
        <f>M47+'16'!N47</f>
        <v>0</v>
      </c>
      <c r="O47" s="2"/>
      <c r="P47" s="2">
        <f>O47+'16'!P47</f>
        <v>0</v>
      </c>
      <c r="Q47" s="4">
        <f t="shared" si="4"/>
        <v>0</v>
      </c>
      <c r="R47" s="4">
        <f>Q47+'16'!R47</f>
        <v>0</v>
      </c>
      <c r="S47" s="27" t="e">
        <f t="shared" si="5"/>
        <v>#DIV/0!</v>
      </c>
      <c r="T47" s="12"/>
      <c r="U47" s="12">
        <f>T47+'16'!U47</f>
        <v>0</v>
      </c>
      <c r="V47" s="12"/>
      <c r="W47" s="12">
        <f>V47+'16'!W47</f>
        <v>0</v>
      </c>
      <c r="X47" s="12"/>
      <c r="Y47" s="12">
        <f>X47+'16'!Y47</f>
        <v>0</v>
      </c>
      <c r="AB47" s="5">
        <v>37</v>
      </c>
      <c r="AC47" s="26">
        <f>'16'!AC47</f>
        <v>0</v>
      </c>
      <c r="AD47" s="28">
        <f>'16'!AI47</f>
        <v>0</v>
      </c>
      <c r="AE47" s="3"/>
      <c r="AF47" s="28">
        <f>AE47+'16'!AF47</f>
        <v>0</v>
      </c>
      <c r="AG47" s="4"/>
      <c r="AH47" s="28">
        <f>AG47+'16'!AH47</f>
        <v>0</v>
      </c>
      <c r="AI47" s="4">
        <f t="shared" si="6"/>
        <v>0</v>
      </c>
      <c r="AJ47" s="11" t="e">
        <f t="shared" si="0"/>
        <v>#DIV/0!</v>
      </c>
      <c r="AK47" s="53" t="e">
        <f t="shared" si="1"/>
        <v>#DIV/0!</v>
      </c>
      <c r="AW47" s="26">
        <f>'16'!AW47</f>
        <v>0</v>
      </c>
      <c r="AX47" s="12">
        <f>'16'!AX47</f>
        <v>0</v>
      </c>
      <c r="AY47" s="12">
        <f>'16'!AY47</f>
        <v>0</v>
      </c>
      <c r="AZ47" s="12"/>
      <c r="BA47" s="12"/>
      <c r="BB47" s="12">
        <f>BA47+'16'!BB47</f>
        <v>0</v>
      </c>
      <c r="BC47" s="30" t="e">
        <f t="shared" si="2"/>
        <v>#DIV/0!</v>
      </c>
      <c r="BD47" s="12">
        <f>'16'!BD47</f>
        <v>0</v>
      </c>
      <c r="BE47" s="12">
        <f>'16'!BE47</f>
        <v>0</v>
      </c>
      <c r="BF47" s="12"/>
      <c r="BG47" s="12"/>
      <c r="BH47" s="12">
        <f>BG47+'16'!BH47</f>
        <v>0</v>
      </c>
      <c r="BI47" s="30" t="e">
        <f t="shared" si="3"/>
        <v>#DIV/0!</v>
      </c>
    </row>
    <row r="48" spans="1:61" ht="28.9" customHeight="1" x14ac:dyDescent="0.35">
      <c r="A48" s="5">
        <v>38</v>
      </c>
      <c r="B48" s="26">
        <f>'16'!B48</f>
        <v>0</v>
      </c>
      <c r="C48" s="26">
        <f>'16'!C48</f>
        <v>0</v>
      </c>
      <c r="D48" s="26"/>
      <c r="E48" s="12"/>
      <c r="F48" s="2">
        <f>E48+'16'!F48</f>
        <v>0</v>
      </c>
      <c r="G48" s="2"/>
      <c r="H48" s="2">
        <f>G48+'16'!H48</f>
        <v>0</v>
      </c>
      <c r="I48" s="2"/>
      <c r="J48" s="2">
        <f>I48+'16'!J48</f>
        <v>0</v>
      </c>
      <c r="K48" s="2"/>
      <c r="L48" s="2">
        <f>K48+'16'!L48</f>
        <v>0</v>
      </c>
      <c r="M48" s="2"/>
      <c r="N48" s="2">
        <f>M48+'16'!N48</f>
        <v>0</v>
      </c>
      <c r="O48" s="2"/>
      <c r="P48" s="2">
        <f>O48+'16'!P48</f>
        <v>0</v>
      </c>
      <c r="Q48" s="4">
        <f t="shared" si="4"/>
        <v>0</v>
      </c>
      <c r="R48" s="4">
        <f>Q48+'16'!R48</f>
        <v>0</v>
      </c>
      <c r="S48" s="27" t="e">
        <f t="shared" si="5"/>
        <v>#DIV/0!</v>
      </c>
      <c r="T48" s="12"/>
      <c r="U48" s="12">
        <f>T48+'16'!U48</f>
        <v>0</v>
      </c>
      <c r="V48" s="12"/>
      <c r="W48" s="12">
        <f>V48+'16'!W48</f>
        <v>0</v>
      </c>
      <c r="X48" s="12"/>
      <c r="Y48" s="12">
        <f>X48+'16'!Y48</f>
        <v>0</v>
      </c>
      <c r="AB48" s="5">
        <v>38</v>
      </c>
      <c r="AC48" s="26">
        <f>'16'!AC48</f>
        <v>0</v>
      </c>
      <c r="AD48" s="28">
        <f>'16'!AI48</f>
        <v>0</v>
      </c>
      <c r="AE48" s="3"/>
      <c r="AF48" s="28">
        <f>AE48+'16'!AF48</f>
        <v>0</v>
      </c>
      <c r="AG48" s="4"/>
      <c r="AH48" s="28">
        <f>AG48+'16'!AH48</f>
        <v>0</v>
      </c>
      <c r="AI48" s="4">
        <f t="shared" si="6"/>
        <v>0</v>
      </c>
      <c r="AJ48" s="11" t="e">
        <f t="shared" si="0"/>
        <v>#DIV/0!</v>
      </c>
      <c r="AK48" s="53" t="e">
        <f t="shared" si="1"/>
        <v>#DIV/0!</v>
      </c>
      <c r="AW48" s="26">
        <f>'16'!AW48</f>
        <v>0</v>
      </c>
      <c r="AX48" s="12">
        <f>'16'!AX48</f>
        <v>0</v>
      </c>
      <c r="AY48" s="12">
        <f>'16'!AY48</f>
        <v>0</v>
      </c>
      <c r="AZ48" s="12"/>
      <c r="BA48" s="12"/>
      <c r="BB48" s="12">
        <f>BA48+'16'!BB48</f>
        <v>0</v>
      </c>
      <c r="BC48" s="30" t="e">
        <f t="shared" si="2"/>
        <v>#DIV/0!</v>
      </c>
      <c r="BD48" s="12">
        <f>'16'!BD48</f>
        <v>0</v>
      </c>
      <c r="BE48" s="12">
        <f>'16'!BE48</f>
        <v>0</v>
      </c>
      <c r="BF48" s="12"/>
      <c r="BG48" s="12"/>
      <c r="BH48" s="12">
        <f>BG48+'16'!BH48</f>
        <v>0</v>
      </c>
      <c r="BI48" s="30" t="e">
        <f t="shared" si="3"/>
        <v>#DIV/0!</v>
      </c>
    </row>
    <row r="49" spans="1:61" ht="28.9" customHeight="1" x14ac:dyDescent="0.35">
      <c r="A49" s="5">
        <v>39</v>
      </c>
      <c r="B49" s="26">
        <f>'16'!B49</f>
        <v>0</v>
      </c>
      <c r="C49" s="26">
        <f>'16'!C49</f>
        <v>0</v>
      </c>
      <c r="D49" s="26"/>
      <c r="E49" s="12"/>
      <c r="F49" s="2">
        <f>E49+'16'!F49</f>
        <v>0</v>
      </c>
      <c r="G49" s="2"/>
      <c r="H49" s="2">
        <f>G49+'16'!H49</f>
        <v>0</v>
      </c>
      <c r="I49" s="2"/>
      <c r="J49" s="2">
        <f>I49+'16'!J49</f>
        <v>0</v>
      </c>
      <c r="K49" s="2"/>
      <c r="L49" s="2">
        <f>K49+'16'!L49</f>
        <v>0</v>
      </c>
      <c r="M49" s="2"/>
      <c r="N49" s="2">
        <f>M49+'16'!N49</f>
        <v>0</v>
      </c>
      <c r="O49" s="2"/>
      <c r="P49" s="2">
        <f>O49+'16'!P49</f>
        <v>0</v>
      </c>
      <c r="Q49" s="4">
        <f t="shared" si="4"/>
        <v>0</v>
      </c>
      <c r="R49" s="4">
        <f>Q49+'16'!R49</f>
        <v>0</v>
      </c>
      <c r="S49" s="27" t="e">
        <f t="shared" si="5"/>
        <v>#DIV/0!</v>
      </c>
      <c r="T49" s="12"/>
      <c r="U49" s="12">
        <f>T49+'16'!U49</f>
        <v>0</v>
      </c>
      <c r="V49" s="12"/>
      <c r="W49" s="12">
        <f>V49+'16'!W49</f>
        <v>0</v>
      </c>
      <c r="X49" s="12"/>
      <c r="Y49" s="12">
        <f>X49+'16'!Y49</f>
        <v>0</v>
      </c>
      <c r="AB49" s="5">
        <v>39</v>
      </c>
      <c r="AC49" s="26">
        <f>'16'!AC49</f>
        <v>0</v>
      </c>
      <c r="AD49" s="28">
        <f>'16'!AI49</f>
        <v>0</v>
      </c>
      <c r="AE49" s="3"/>
      <c r="AF49" s="28">
        <f>AE49+'16'!AF49</f>
        <v>0</v>
      </c>
      <c r="AG49" s="4"/>
      <c r="AH49" s="28">
        <f>AG49+'16'!AH49</f>
        <v>0</v>
      </c>
      <c r="AI49" s="4">
        <f t="shared" si="6"/>
        <v>0</v>
      </c>
      <c r="AJ49" s="11" t="e">
        <f t="shared" si="0"/>
        <v>#DIV/0!</v>
      </c>
      <c r="AK49" s="53" t="e">
        <f t="shared" si="1"/>
        <v>#DIV/0!</v>
      </c>
      <c r="AW49" s="26">
        <f>'16'!AW49</f>
        <v>0</v>
      </c>
      <c r="AX49" s="12">
        <f>'16'!AX49</f>
        <v>0</v>
      </c>
      <c r="AY49" s="12">
        <f>'16'!AY49</f>
        <v>0</v>
      </c>
      <c r="AZ49" s="12"/>
      <c r="BA49" s="12"/>
      <c r="BB49" s="12">
        <f>BA49+'16'!BB49</f>
        <v>0</v>
      </c>
      <c r="BC49" s="30" t="e">
        <f t="shared" si="2"/>
        <v>#DIV/0!</v>
      </c>
      <c r="BD49" s="12">
        <f>'16'!BD49</f>
        <v>0</v>
      </c>
      <c r="BE49" s="12">
        <f>'16'!BE49</f>
        <v>0</v>
      </c>
      <c r="BF49" s="12"/>
      <c r="BG49" s="12"/>
      <c r="BH49" s="12">
        <f>BG49+'16'!BH49</f>
        <v>0</v>
      </c>
      <c r="BI49" s="30" t="e">
        <f t="shared" si="3"/>
        <v>#DIV/0!</v>
      </c>
    </row>
    <row r="50" spans="1:61" ht="28.9" customHeight="1" x14ac:dyDescent="0.35">
      <c r="A50" s="5">
        <v>40</v>
      </c>
      <c r="B50" s="26">
        <f>'16'!B50</f>
        <v>0</v>
      </c>
      <c r="C50" s="26">
        <f>'16'!C50</f>
        <v>0</v>
      </c>
      <c r="D50" s="26"/>
      <c r="E50" s="12"/>
      <c r="F50" s="2">
        <f>E50+'16'!F50</f>
        <v>0</v>
      </c>
      <c r="G50" s="2"/>
      <c r="H50" s="2">
        <f>G50+'16'!H50</f>
        <v>0</v>
      </c>
      <c r="I50" s="2"/>
      <c r="J50" s="2">
        <f>I50+'16'!J50</f>
        <v>0</v>
      </c>
      <c r="K50" s="2"/>
      <c r="L50" s="2">
        <f>K50+'16'!L50</f>
        <v>0</v>
      </c>
      <c r="M50" s="2"/>
      <c r="N50" s="2">
        <f>M50+'16'!N50</f>
        <v>0</v>
      </c>
      <c r="O50" s="2"/>
      <c r="P50" s="2">
        <f>O50+'16'!P50</f>
        <v>0</v>
      </c>
      <c r="Q50" s="4">
        <f t="shared" si="4"/>
        <v>0</v>
      </c>
      <c r="R50" s="4">
        <f>Q50+'16'!R50</f>
        <v>0</v>
      </c>
      <c r="S50" s="27" t="e">
        <f t="shared" si="5"/>
        <v>#DIV/0!</v>
      </c>
      <c r="T50" s="12"/>
      <c r="U50" s="12">
        <f>T50+'16'!U50</f>
        <v>0</v>
      </c>
      <c r="V50" s="12"/>
      <c r="W50" s="12">
        <f>V50+'16'!W50</f>
        <v>0</v>
      </c>
      <c r="X50" s="12"/>
      <c r="Y50" s="12">
        <f>X50+'16'!Y50</f>
        <v>0</v>
      </c>
      <c r="AB50" s="5">
        <v>40</v>
      </c>
      <c r="AC50" s="26">
        <f>'16'!AC50</f>
        <v>0</v>
      </c>
      <c r="AD50" s="28">
        <f>'16'!AI50</f>
        <v>0</v>
      </c>
      <c r="AE50" s="3"/>
      <c r="AF50" s="28">
        <f>AE50+'16'!AF50</f>
        <v>0</v>
      </c>
      <c r="AG50" s="4"/>
      <c r="AH50" s="28">
        <f>AG50+'16'!AH50</f>
        <v>0</v>
      </c>
      <c r="AI50" s="4">
        <f t="shared" si="6"/>
        <v>0</v>
      </c>
      <c r="AJ50" s="11" t="e">
        <f t="shared" si="0"/>
        <v>#DIV/0!</v>
      </c>
      <c r="AK50" s="53" t="e">
        <f t="shared" si="1"/>
        <v>#DIV/0!</v>
      </c>
      <c r="AW50" s="26">
        <f>'16'!AW50</f>
        <v>0</v>
      </c>
      <c r="AX50" s="12">
        <f>'16'!AX50</f>
        <v>0</v>
      </c>
      <c r="AY50" s="12">
        <f>'16'!AY50</f>
        <v>0</v>
      </c>
      <c r="AZ50" s="12"/>
      <c r="BA50" s="12"/>
      <c r="BB50" s="12">
        <f>BA50+'16'!BB50</f>
        <v>0</v>
      </c>
      <c r="BC50" s="30" t="e">
        <f t="shared" si="2"/>
        <v>#DIV/0!</v>
      </c>
      <c r="BD50" s="12">
        <f>'16'!BD50</f>
        <v>0</v>
      </c>
      <c r="BE50" s="12">
        <f>'16'!BE50</f>
        <v>0</v>
      </c>
      <c r="BF50" s="12"/>
      <c r="BG50" s="12"/>
      <c r="BH50" s="12">
        <f>BG50+'16'!BH50</f>
        <v>0</v>
      </c>
      <c r="BI50" s="30" t="e">
        <f t="shared" si="3"/>
        <v>#DIV/0!</v>
      </c>
    </row>
    <row r="51" spans="1:61" ht="25.5" thickBot="1" x14ac:dyDescent="0.4">
      <c r="A51" s="321" t="s">
        <v>26</v>
      </c>
      <c r="B51" s="321"/>
      <c r="C51" s="35">
        <f>SUM(C11:C50)</f>
        <v>97446</v>
      </c>
      <c r="D51" s="35">
        <f>SUM(D11:D50)</f>
        <v>0</v>
      </c>
      <c r="E51" s="6">
        <f>SUM(E11:E50)</f>
        <v>0</v>
      </c>
      <c r="F51" s="6">
        <f>SUM(F11:F50)</f>
        <v>533</v>
      </c>
      <c r="G51" s="6">
        <f t="shared" ref="G51:R51" si="8">SUM(G11:G50)</f>
        <v>0</v>
      </c>
      <c r="H51" s="6">
        <f t="shared" si="8"/>
        <v>14954</v>
      </c>
      <c r="I51" s="6">
        <f t="shared" si="8"/>
        <v>0</v>
      </c>
      <c r="J51" s="6">
        <f t="shared" si="8"/>
        <v>37926</v>
      </c>
      <c r="K51" s="6">
        <f t="shared" si="8"/>
        <v>0</v>
      </c>
      <c r="L51" s="6">
        <f t="shared" si="8"/>
        <v>0</v>
      </c>
      <c r="M51" s="6">
        <f t="shared" si="8"/>
        <v>0</v>
      </c>
      <c r="N51" s="6">
        <f t="shared" si="8"/>
        <v>0</v>
      </c>
      <c r="O51" s="6">
        <f t="shared" si="8"/>
        <v>0</v>
      </c>
      <c r="P51" s="6">
        <f t="shared" si="8"/>
        <v>0</v>
      </c>
      <c r="Q51" s="6">
        <f t="shared" si="8"/>
        <v>0</v>
      </c>
      <c r="R51" s="6">
        <f t="shared" si="8"/>
        <v>53413</v>
      </c>
      <c r="S51" s="10">
        <f>R51/C51</f>
        <v>0.54812922028610722</v>
      </c>
      <c r="T51" s="23">
        <f t="shared" ref="T51:Y51" si="9">SUM(T11:T50)</f>
        <v>0</v>
      </c>
      <c r="U51" s="23">
        <f t="shared" si="9"/>
        <v>7532</v>
      </c>
      <c r="V51" s="23">
        <f t="shared" si="9"/>
        <v>0</v>
      </c>
      <c r="W51" s="23">
        <f t="shared" si="9"/>
        <v>1107</v>
      </c>
      <c r="X51" s="23">
        <f t="shared" si="9"/>
        <v>0</v>
      </c>
      <c r="Y51" s="23">
        <f t="shared" si="9"/>
        <v>2</v>
      </c>
      <c r="AB51" s="37" t="s">
        <v>29</v>
      </c>
      <c r="AC51" s="37"/>
      <c r="AD51" s="34">
        <f t="shared" ref="AD51:AI51" si="10">SUM(AD11:AD50)</f>
        <v>3133</v>
      </c>
      <c r="AE51" s="23">
        <f t="shared" si="10"/>
        <v>0</v>
      </c>
      <c r="AF51" s="14">
        <f t="shared" si="10"/>
        <v>8632</v>
      </c>
      <c r="AG51" s="14">
        <f t="shared" si="10"/>
        <v>0</v>
      </c>
      <c r="AH51" s="14">
        <f t="shared" si="10"/>
        <v>5499</v>
      </c>
      <c r="AI51" s="14">
        <f t="shared" si="10"/>
        <v>3133</v>
      </c>
      <c r="AJ51" s="11" t="e">
        <f t="shared" si="0"/>
        <v>#DIV/0!</v>
      </c>
      <c r="AK51" s="53">
        <f t="shared" si="1"/>
        <v>9.713220585561011</v>
      </c>
      <c r="AW51" s="33" t="s">
        <v>26</v>
      </c>
      <c r="AX51" s="13">
        <f>SUM(AX11:AX50)</f>
        <v>121</v>
      </c>
      <c r="AY51" s="13">
        <f>SUM(AY11:AY50)</f>
        <v>50910</v>
      </c>
      <c r="AZ51" s="13">
        <f>SUM(AZ11:AZ50)</f>
        <v>0</v>
      </c>
      <c r="BA51" s="13">
        <f>SUM(BA11:BA50)</f>
        <v>0</v>
      </c>
      <c r="BB51" s="13">
        <f>SUM(BB11:BB50)</f>
        <v>39924</v>
      </c>
      <c r="BC51" s="31">
        <f t="shared" si="2"/>
        <v>0.78420742486741313</v>
      </c>
      <c r="BD51" s="32">
        <f>SUM(BD11:BD50)</f>
        <v>241</v>
      </c>
      <c r="BE51" s="32">
        <f>SUM(BE11:BE50)</f>
        <v>14990</v>
      </c>
      <c r="BF51" s="32">
        <f>SUM(BF11:BF50)</f>
        <v>0</v>
      </c>
      <c r="BG51" s="32">
        <f>SUM(BG11:BG50)</f>
        <v>0</v>
      </c>
      <c r="BH51" s="32">
        <f>SUM(BH11:BH50)</f>
        <v>9274</v>
      </c>
      <c r="BI51" s="31">
        <f t="shared" si="3"/>
        <v>0.61867911941294196</v>
      </c>
    </row>
    <row r="52" spans="1:61" ht="17.5" x14ac:dyDescent="0.35">
      <c r="AB52" s="36"/>
      <c r="AC52" s="36"/>
      <c r="AD52" s="36"/>
      <c r="AE52" s="36"/>
      <c r="AF52" s="40"/>
      <c r="AG52" s="40"/>
      <c r="AH52" s="40"/>
      <c r="AI52" s="41"/>
      <c r="AJ52" s="15"/>
      <c r="AK52" s="15"/>
    </row>
    <row r="54" spans="1:61" ht="18.5" x14ac:dyDescent="0.45">
      <c r="G54" s="322" t="s">
        <v>36</v>
      </c>
      <c r="H54" s="322"/>
      <c r="I54" s="322"/>
      <c r="J54" s="322"/>
      <c r="K54" s="322"/>
      <c r="L54" s="322"/>
      <c r="M54" s="322"/>
      <c r="N54" s="322"/>
      <c r="O54" s="322"/>
      <c r="P54" s="322"/>
      <c r="Q54" s="322"/>
      <c r="R54" s="322"/>
      <c r="S54" s="322"/>
      <c r="AB54" s="313" t="s">
        <v>44</v>
      </c>
      <c r="AC54" s="313"/>
      <c r="AD54" s="313"/>
      <c r="AE54" s="313"/>
      <c r="AF54" s="313"/>
      <c r="AG54" s="313"/>
      <c r="AH54" s="313"/>
      <c r="AI54" s="313"/>
      <c r="AJ54" s="313"/>
      <c r="AK54" s="313"/>
      <c r="AL54" s="313"/>
      <c r="AM54" s="313"/>
      <c r="AN54" s="313"/>
    </row>
    <row r="55" spans="1:61" ht="18.5" x14ac:dyDescent="0.45">
      <c r="AX55" s="313" t="s">
        <v>44</v>
      </c>
      <c r="AY55" s="313"/>
      <c r="AZ55" s="313"/>
      <c r="BA55" s="313"/>
      <c r="BB55" s="313"/>
      <c r="BC55" s="313"/>
      <c r="BD55" s="313"/>
      <c r="BE55" s="313"/>
      <c r="BF55" s="313"/>
      <c r="BG55" s="313"/>
      <c r="BH55" s="313"/>
      <c r="BI55" s="313"/>
    </row>
    <row r="56" spans="1:61" ht="15.5" x14ac:dyDescent="0.35">
      <c r="AG56" s="38"/>
      <c r="AH56" s="38"/>
      <c r="AI56" s="38"/>
    </row>
  </sheetData>
  <mergeCells count="56">
    <mergeCell ref="A6:Y6"/>
    <mergeCell ref="AF6:AN6"/>
    <mergeCell ref="AY6:BI6"/>
    <mergeCell ref="A7:Y7"/>
    <mergeCell ref="A8:A10"/>
    <mergeCell ref="B8:B10"/>
    <mergeCell ref="C8:C10"/>
    <mergeCell ref="D8:D10"/>
    <mergeCell ref="E8:J8"/>
    <mergeCell ref="K8:P8"/>
    <mergeCell ref="Q8:R9"/>
    <mergeCell ref="S8:S10"/>
    <mergeCell ref="T8:U9"/>
    <mergeCell ref="V8:W9"/>
    <mergeCell ref="X8:Y9"/>
    <mergeCell ref="AB8:AB10"/>
    <mergeCell ref="AN8:AN9"/>
    <mergeCell ref="AO8:AO9"/>
    <mergeCell ref="AP8:AQ8"/>
    <mergeCell ref="AR8:AS8"/>
    <mergeCell ref="AC8:AC10"/>
    <mergeCell ref="AD8:AD10"/>
    <mergeCell ref="AE8:AF9"/>
    <mergeCell ref="AG8:AH9"/>
    <mergeCell ref="AI8:AI10"/>
    <mergeCell ref="AJ8:AJ10"/>
    <mergeCell ref="AW8:AW10"/>
    <mergeCell ref="AX8:BC8"/>
    <mergeCell ref="BD8:BI8"/>
    <mergeCell ref="E9:F9"/>
    <mergeCell ref="G9:H9"/>
    <mergeCell ref="I9:J9"/>
    <mergeCell ref="K9:L9"/>
    <mergeCell ref="M9:N9"/>
    <mergeCell ref="AK8:AK10"/>
    <mergeCell ref="AM8:AM13"/>
    <mergeCell ref="BF9:BF10"/>
    <mergeCell ref="BG9:BG10"/>
    <mergeCell ref="BH9:BH10"/>
    <mergeCell ref="O9:P9"/>
    <mergeCell ref="AX9:AX10"/>
    <mergeCell ref="AY9:AY10"/>
    <mergeCell ref="AZ9:AZ10"/>
    <mergeCell ref="BA9:BA10"/>
    <mergeCell ref="BB9:BB10"/>
    <mergeCell ref="AT8:AT9"/>
    <mergeCell ref="AX55:BI55"/>
    <mergeCell ref="BI9:BI10"/>
    <mergeCell ref="AM14:AN14"/>
    <mergeCell ref="AO14:AS14"/>
    <mergeCell ref="A51:B51"/>
    <mergeCell ref="G54:S54"/>
    <mergeCell ref="AB54:AN54"/>
    <mergeCell ref="BC9:BC10"/>
    <mergeCell ref="BD9:BD10"/>
    <mergeCell ref="BE9:BE10"/>
  </mergeCells>
  <pageMargins left="0.7" right="0.7" top="0.75" bottom="0.75" header="0.3" footer="0.3"/>
  <pageSetup paperSize="9" scale="17" orientation="landscape" r:id="rId1"/>
  <colBreaks count="2" manualBreakCount="2">
    <brk id="26" max="55" man="1"/>
    <brk id="47" max="55" man="1"/>
  </colBrea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FCBCD-2AA6-446E-A585-F8F79EE746A6}">
  <dimension ref="A1:BJ56"/>
  <sheetViews>
    <sheetView rightToLeft="1" view="pageBreakPreview" topLeftCell="AN2" zoomScale="55" zoomScaleNormal="29" zoomScalePageLayoutView="40" workbookViewId="0">
      <selection activeCell="AU2" sqref="AU1:AU65536"/>
    </sheetView>
  </sheetViews>
  <sheetFormatPr defaultRowHeight="14.5" x14ac:dyDescent="0.35"/>
  <cols>
    <col min="1" max="1" width="11.26953125" style="1" customWidth="1"/>
    <col min="2" max="4" width="18.7265625" style="1" customWidth="1"/>
    <col min="5" max="6" width="15.26953125" customWidth="1"/>
    <col min="7" max="7" width="18.453125" customWidth="1"/>
    <col min="8" max="8" width="16.81640625" customWidth="1"/>
    <col min="9" max="9" width="15.26953125" customWidth="1"/>
    <col min="10" max="10" width="15.54296875" customWidth="1"/>
    <col min="11" max="23" width="15.26953125" customWidth="1"/>
    <col min="24" max="25" width="12.54296875" customWidth="1"/>
    <col min="27" max="27" width="19.1796875" customWidth="1"/>
    <col min="28" max="30" width="15.26953125" customWidth="1"/>
    <col min="31" max="32" width="13.7265625" customWidth="1"/>
    <col min="33" max="33" width="14.1796875" customWidth="1"/>
    <col min="34" max="34" width="13" customWidth="1"/>
    <col min="35" max="35" width="18.26953125" customWidth="1"/>
    <col min="36" max="40" width="15" customWidth="1"/>
    <col min="41" max="41" width="16.7265625" customWidth="1"/>
    <col min="42" max="42" width="18" customWidth="1"/>
    <col min="43" max="46" width="15" customWidth="1"/>
    <col min="47" max="47" width="14" style="1" customWidth="1"/>
    <col min="49" max="49" width="15.1796875" customWidth="1"/>
    <col min="50" max="50" width="22.26953125" customWidth="1"/>
    <col min="51" max="51" width="16.26953125" customWidth="1"/>
    <col min="52" max="52" width="13.453125" customWidth="1"/>
    <col min="53" max="53" width="14" customWidth="1"/>
    <col min="54" max="54" width="11.7265625" customWidth="1"/>
    <col min="55" max="55" width="14.26953125" customWidth="1"/>
    <col min="56" max="56" width="17.7265625" customWidth="1"/>
    <col min="57" max="57" width="22.453125" customWidth="1"/>
    <col min="58" max="58" width="17.7265625" customWidth="1"/>
    <col min="59" max="59" width="11.7265625" customWidth="1"/>
    <col min="60" max="60" width="16.81640625" customWidth="1"/>
    <col min="61" max="61" width="12.81640625" customWidth="1"/>
    <col min="62" max="62" width="15.26953125" customWidth="1"/>
  </cols>
  <sheetData>
    <row r="1" spans="1:62" s="21" customFormat="1" ht="23.5" x14ac:dyDescent="0.55000000000000004">
      <c r="A1" s="22" t="s">
        <v>0</v>
      </c>
      <c r="B1" s="22"/>
      <c r="C1" s="22"/>
      <c r="D1" s="18"/>
      <c r="E1" s="18"/>
      <c r="F1" s="18"/>
      <c r="G1" s="18"/>
      <c r="H1" s="18"/>
      <c r="I1" s="18"/>
      <c r="J1" s="18"/>
      <c r="K1" s="18"/>
      <c r="L1" s="18"/>
      <c r="M1" s="18"/>
      <c r="N1" s="19"/>
      <c r="O1" s="19"/>
      <c r="P1" s="18"/>
      <c r="Q1" s="18"/>
      <c r="R1" s="18"/>
      <c r="S1" s="18"/>
      <c r="T1" s="18"/>
      <c r="U1" s="18"/>
      <c r="V1" s="18"/>
      <c r="W1" s="18"/>
      <c r="X1" s="18"/>
      <c r="Y1" s="18"/>
      <c r="AA1" s="29"/>
      <c r="AB1" s="22" t="s">
        <v>0</v>
      </c>
      <c r="AC1" s="22"/>
      <c r="AD1" s="29"/>
      <c r="AE1" s="29"/>
      <c r="AF1" s="29"/>
      <c r="AU1" s="54"/>
      <c r="AW1" s="22" t="s">
        <v>0</v>
      </c>
      <c r="AX1" s="22"/>
      <c r="AY1" s="22"/>
      <c r="AZ1" s="18"/>
      <c r="BA1" s="18"/>
      <c r="BB1" s="18"/>
      <c r="BC1" s="18"/>
      <c r="BD1" s="18"/>
      <c r="BE1" s="20"/>
      <c r="BF1" s="19"/>
      <c r="BI1" s="29"/>
      <c r="BJ1" s="29"/>
    </row>
    <row r="2" spans="1:62" s="21" customFormat="1" ht="23.5" x14ac:dyDescent="0.55000000000000004">
      <c r="A2" s="22" t="s">
        <v>21</v>
      </c>
      <c r="B2" s="22"/>
      <c r="C2" s="22"/>
      <c r="D2" s="18"/>
      <c r="E2" s="18"/>
      <c r="F2" s="18"/>
      <c r="G2" s="18"/>
      <c r="H2" s="18"/>
      <c r="I2" s="18"/>
      <c r="J2" s="18"/>
      <c r="K2" s="18"/>
      <c r="L2" s="18"/>
      <c r="M2" s="18"/>
      <c r="N2" s="19"/>
      <c r="O2" s="19"/>
      <c r="P2" s="18"/>
      <c r="Q2" s="18"/>
      <c r="R2" s="18"/>
      <c r="S2" s="18"/>
      <c r="T2" s="18"/>
      <c r="U2" s="18"/>
      <c r="V2" s="18"/>
      <c r="W2" s="18"/>
      <c r="X2" s="18"/>
      <c r="Y2" s="18"/>
      <c r="AA2" s="29"/>
      <c r="AB2" s="22" t="s">
        <v>21</v>
      </c>
      <c r="AC2" s="22"/>
      <c r="AD2" s="29"/>
      <c r="AE2" s="29"/>
      <c r="AF2" s="29"/>
      <c r="AU2" s="54"/>
      <c r="AW2" s="22" t="s">
        <v>21</v>
      </c>
      <c r="AX2" s="22"/>
      <c r="AY2" s="22"/>
      <c r="AZ2" s="18"/>
      <c r="BA2" s="18"/>
      <c r="BB2" s="18"/>
      <c r="BC2" s="18"/>
      <c r="BD2" s="18"/>
      <c r="BE2" s="20"/>
      <c r="BF2" s="19"/>
      <c r="BI2" s="29"/>
      <c r="BJ2" s="29"/>
    </row>
    <row r="3" spans="1:62" s="21" customFormat="1" ht="23.5" x14ac:dyDescent="0.55000000000000004">
      <c r="A3" s="22" t="s">
        <v>22</v>
      </c>
      <c r="B3" s="22"/>
      <c r="C3" s="22"/>
      <c r="D3" s="18"/>
      <c r="E3" s="18"/>
      <c r="F3" s="18"/>
      <c r="G3" s="18"/>
      <c r="H3" s="18"/>
      <c r="I3" s="18"/>
      <c r="J3" s="18"/>
      <c r="K3" s="18"/>
      <c r="L3" s="18"/>
      <c r="M3" s="18"/>
      <c r="N3" s="19"/>
      <c r="O3" s="19"/>
      <c r="P3" s="18"/>
      <c r="Q3" s="18"/>
      <c r="R3" s="18"/>
      <c r="S3" s="18"/>
      <c r="T3" s="18"/>
      <c r="U3" s="18"/>
      <c r="V3" s="18"/>
      <c r="W3" s="18"/>
      <c r="X3" s="18"/>
      <c r="Y3" s="18"/>
      <c r="AA3" s="29"/>
      <c r="AB3" s="22" t="s">
        <v>22</v>
      </c>
      <c r="AC3" s="22"/>
      <c r="AD3" s="29"/>
      <c r="AE3" s="29"/>
      <c r="AF3" s="29"/>
      <c r="AU3" s="54"/>
      <c r="AW3" s="22" t="s">
        <v>22</v>
      </c>
      <c r="AX3" s="22"/>
      <c r="AY3" s="22"/>
      <c r="AZ3" s="18"/>
      <c r="BA3" s="18"/>
      <c r="BB3" s="18"/>
      <c r="BC3" s="18"/>
      <c r="BD3" s="18"/>
      <c r="BE3" s="20"/>
      <c r="BF3" s="19"/>
      <c r="BI3" s="29"/>
      <c r="BJ3" s="29"/>
    </row>
    <row r="4" spans="1:62" s="21" customFormat="1" ht="23.5" x14ac:dyDescent="0.55000000000000004">
      <c r="A4" s="22" t="s">
        <v>23</v>
      </c>
      <c r="B4" s="22"/>
      <c r="C4" s="22"/>
      <c r="D4" s="19"/>
      <c r="E4" s="20"/>
      <c r="F4" s="20"/>
      <c r="G4" s="20"/>
      <c r="H4" s="20"/>
      <c r="I4" s="18"/>
      <c r="J4" s="18"/>
      <c r="K4" s="18"/>
      <c r="L4" s="18"/>
      <c r="M4" s="18"/>
      <c r="N4" s="19"/>
      <c r="O4" s="19"/>
      <c r="P4" s="18"/>
      <c r="Q4" s="18"/>
      <c r="R4" s="18"/>
      <c r="S4" s="18"/>
      <c r="T4" s="18"/>
      <c r="U4" s="18"/>
      <c r="V4" s="18"/>
      <c r="W4" s="18"/>
      <c r="X4" s="18"/>
      <c r="Y4" s="18"/>
      <c r="AB4" s="22" t="s">
        <v>23</v>
      </c>
      <c r="AC4" s="22"/>
      <c r="AU4" s="54"/>
      <c r="AW4" s="22" t="s">
        <v>23</v>
      </c>
      <c r="AX4" s="22"/>
      <c r="AY4" s="22"/>
      <c r="AZ4" s="19"/>
      <c r="BA4" s="18"/>
      <c r="BB4" s="18"/>
      <c r="BC4" s="18"/>
      <c r="BD4" s="18"/>
      <c r="BE4" s="20"/>
      <c r="BF4" s="19"/>
    </row>
    <row r="5" spans="1:62" s="21" customFormat="1" ht="23.5" x14ac:dyDescent="0.55000000000000004">
      <c r="A5" s="22" t="s">
        <v>1</v>
      </c>
      <c r="B5" s="22"/>
      <c r="C5" s="22"/>
      <c r="D5" s="19"/>
      <c r="E5" s="18"/>
      <c r="F5" s="18"/>
      <c r="G5" s="18"/>
      <c r="H5" s="18"/>
      <c r="I5" s="18"/>
      <c r="J5" s="18"/>
      <c r="K5" s="18"/>
      <c r="L5" s="18"/>
      <c r="M5" s="18"/>
      <c r="N5" s="19"/>
      <c r="O5" s="19"/>
      <c r="P5" s="18"/>
      <c r="Q5" s="18"/>
      <c r="R5" s="18"/>
      <c r="S5" s="18"/>
      <c r="T5" s="18"/>
      <c r="U5" s="18"/>
      <c r="V5" s="18"/>
      <c r="W5" s="18"/>
      <c r="X5" s="18"/>
      <c r="Y5" s="18"/>
      <c r="AB5" s="22" t="s">
        <v>1</v>
      </c>
      <c r="AC5" s="22"/>
      <c r="AU5" s="54"/>
      <c r="AW5" s="22" t="s">
        <v>1</v>
      </c>
      <c r="AX5" s="22"/>
      <c r="AY5" s="22"/>
      <c r="AZ5" s="19"/>
      <c r="BA5" s="18"/>
      <c r="BB5" s="18"/>
      <c r="BC5" s="18"/>
      <c r="BD5" s="18"/>
      <c r="BE5" s="20"/>
      <c r="BF5" s="19"/>
    </row>
    <row r="6" spans="1:62" ht="20" x14ac:dyDescent="0.4">
      <c r="A6" s="362" t="s">
        <v>18</v>
      </c>
      <c r="B6" s="362"/>
      <c r="C6" s="362"/>
      <c r="D6" s="362"/>
      <c r="E6" s="362"/>
      <c r="F6" s="362"/>
      <c r="G6" s="362"/>
      <c r="H6" s="362"/>
      <c r="I6" s="362"/>
      <c r="J6" s="362"/>
      <c r="K6" s="362"/>
      <c r="L6" s="362"/>
      <c r="M6" s="362"/>
      <c r="N6" s="362"/>
      <c r="O6" s="362"/>
      <c r="P6" s="362"/>
      <c r="Q6" s="362"/>
      <c r="R6" s="362"/>
      <c r="S6" s="362"/>
      <c r="T6" s="362"/>
      <c r="U6" s="362"/>
      <c r="V6" s="362"/>
      <c r="W6" s="362"/>
      <c r="X6" s="362"/>
      <c r="Y6" s="362"/>
      <c r="AF6" s="362" t="s">
        <v>16</v>
      </c>
      <c r="AG6" s="362"/>
      <c r="AH6" s="362"/>
      <c r="AI6" s="362"/>
      <c r="AJ6" s="362"/>
      <c r="AK6" s="362"/>
      <c r="AL6" s="362"/>
      <c r="AM6" s="362"/>
      <c r="AN6" s="362"/>
      <c r="AO6" s="24"/>
      <c r="AP6" s="24"/>
      <c r="AQ6" s="24"/>
      <c r="AR6" s="24"/>
      <c r="AS6" s="24"/>
      <c r="AT6" s="24"/>
      <c r="AY6" s="362" t="s">
        <v>30</v>
      </c>
      <c r="AZ6" s="362"/>
      <c r="BA6" s="362"/>
      <c r="BB6" s="362"/>
      <c r="BC6" s="362"/>
      <c r="BD6" s="362"/>
      <c r="BE6" s="362"/>
      <c r="BF6" s="362"/>
      <c r="BG6" s="362"/>
      <c r="BH6" s="362"/>
      <c r="BI6" s="362"/>
    </row>
    <row r="7" spans="1:62" ht="20.5" thickBot="1" x14ac:dyDescent="0.45">
      <c r="A7" s="363" t="s">
        <v>27</v>
      </c>
      <c r="B7" s="364"/>
      <c r="C7" s="364"/>
      <c r="D7" s="364"/>
      <c r="E7" s="363"/>
      <c r="F7" s="363"/>
      <c r="G7" s="363"/>
      <c r="H7" s="363"/>
      <c r="I7" s="363"/>
      <c r="J7" s="363"/>
      <c r="K7" s="363"/>
      <c r="L7" s="363"/>
      <c r="M7" s="363"/>
      <c r="N7" s="363"/>
      <c r="O7" s="363"/>
      <c r="P7" s="363"/>
      <c r="Q7" s="363"/>
      <c r="R7" s="363"/>
      <c r="S7" s="363"/>
      <c r="T7" s="364"/>
      <c r="U7" s="364"/>
      <c r="V7" s="364"/>
      <c r="W7" s="364"/>
      <c r="X7" s="364"/>
      <c r="Y7" s="364"/>
      <c r="AJ7" s="25" t="s">
        <v>31</v>
      </c>
      <c r="AK7" s="25"/>
      <c r="AL7" s="25"/>
      <c r="AN7" s="25"/>
      <c r="AO7" s="25"/>
      <c r="AP7" s="25"/>
      <c r="AQ7" s="25"/>
      <c r="AS7" s="25"/>
      <c r="AT7" s="25"/>
      <c r="BC7" s="25" t="s">
        <v>31</v>
      </c>
      <c r="BD7" s="25"/>
      <c r="BF7" s="25"/>
      <c r="BG7" s="25"/>
      <c r="BH7" s="25"/>
      <c r="BI7" s="25"/>
      <c r="BJ7" s="25"/>
    </row>
    <row r="8" spans="1:62" ht="41.5" customHeight="1" x14ac:dyDescent="0.35">
      <c r="A8" s="326" t="s">
        <v>24</v>
      </c>
      <c r="B8" s="365" t="s">
        <v>25</v>
      </c>
      <c r="C8" s="366" t="s">
        <v>11</v>
      </c>
      <c r="D8" s="366" t="s">
        <v>15</v>
      </c>
      <c r="E8" s="330" t="s">
        <v>5</v>
      </c>
      <c r="F8" s="330"/>
      <c r="G8" s="330"/>
      <c r="H8" s="330"/>
      <c r="I8" s="330"/>
      <c r="J8" s="330"/>
      <c r="K8" s="330" t="s">
        <v>7</v>
      </c>
      <c r="L8" s="330"/>
      <c r="M8" s="330"/>
      <c r="N8" s="330"/>
      <c r="O8" s="330"/>
      <c r="P8" s="330"/>
      <c r="Q8" s="356" t="s">
        <v>2</v>
      </c>
      <c r="R8" s="350"/>
      <c r="S8" s="358" t="s">
        <v>12</v>
      </c>
      <c r="T8" s="323" t="s">
        <v>8</v>
      </c>
      <c r="U8" s="323"/>
      <c r="V8" s="323" t="s">
        <v>9</v>
      </c>
      <c r="W8" s="323"/>
      <c r="X8" s="323" t="s">
        <v>20</v>
      </c>
      <c r="Y8" s="323"/>
      <c r="AB8" s="326" t="s">
        <v>24</v>
      </c>
      <c r="AC8" s="342" t="s">
        <v>28</v>
      </c>
      <c r="AD8" s="342" t="s">
        <v>14</v>
      </c>
      <c r="AE8" s="345" t="s">
        <v>45</v>
      </c>
      <c r="AF8" s="346"/>
      <c r="AG8" s="349" t="s">
        <v>10</v>
      </c>
      <c r="AH8" s="350"/>
      <c r="AI8" s="353" t="s">
        <v>46</v>
      </c>
      <c r="AJ8" s="336" t="s">
        <v>51</v>
      </c>
      <c r="AK8" s="336" t="s">
        <v>47</v>
      </c>
      <c r="AM8" s="339" t="s">
        <v>41</v>
      </c>
      <c r="AN8" s="341" t="s">
        <v>38</v>
      </c>
      <c r="AO8" s="341" t="s">
        <v>14</v>
      </c>
      <c r="AP8" s="341" t="s">
        <v>39</v>
      </c>
      <c r="AQ8" s="341"/>
      <c r="AR8" s="341" t="s">
        <v>50</v>
      </c>
      <c r="AS8" s="341"/>
      <c r="AT8" s="324" t="s">
        <v>40</v>
      </c>
      <c r="AU8" s="55"/>
      <c r="AW8" s="326" t="s">
        <v>28</v>
      </c>
      <c r="AX8" s="329" t="s">
        <v>48</v>
      </c>
      <c r="AY8" s="330"/>
      <c r="AZ8" s="330"/>
      <c r="BA8" s="330"/>
      <c r="BB8" s="330"/>
      <c r="BC8" s="331"/>
      <c r="BD8" s="332" t="s">
        <v>49</v>
      </c>
      <c r="BE8" s="330"/>
      <c r="BF8" s="330"/>
      <c r="BG8" s="330"/>
      <c r="BH8" s="330"/>
      <c r="BI8" s="331"/>
    </row>
    <row r="9" spans="1:62" ht="19.149999999999999" customHeight="1" x14ac:dyDescent="0.35">
      <c r="A9" s="327"/>
      <c r="B9" s="365"/>
      <c r="C9" s="366"/>
      <c r="D9" s="366"/>
      <c r="E9" s="333" t="s">
        <v>6</v>
      </c>
      <c r="F9" s="334"/>
      <c r="G9" s="335" t="s">
        <v>13</v>
      </c>
      <c r="H9" s="334"/>
      <c r="I9" s="323" t="s">
        <v>19</v>
      </c>
      <c r="J9" s="323"/>
      <c r="K9" s="333" t="s">
        <v>6</v>
      </c>
      <c r="L9" s="334"/>
      <c r="M9" s="335" t="s">
        <v>13</v>
      </c>
      <c r="N9" s="334"/>
      <c r="O9" s="323" t="s">
        <v>19</v>
      </c>
      <c r="P9" s="323"/>
      <c r="Q9" s="357"/>
      <c r="R9" s="352"/>
      <c r="S9" s="359"/>
      <c r="T9" s="323"/>
      <c r="U9" s="323"/>
      <c r="V9" s="323"/>
      <c r="W9" s="323"/>
      <c r="X9" s="323"/>
      <c r="Y9" s="323"/>
      <c r="AB9" s="327"/>
      <c r="AC9" s="343"/>
      <c r="AD9" s="343"/>
      <c r="AE9" s="347"/>
      <c r="AF9" s="348"/>
      <c r="AG9" s="351"/>
      <c r="AH9" s="352"/>
      <c r="AI9" s="354"/>
      <c r="AJ9" s="337"/>
      <c r="AK9" s="337"/>
      <c r="AM9" s="340"/>
      <c r="AN9" s="323"/>
      <c r="AO9" s="323"/>
      <c r="AP9" s="8" t="s">
        <v>3</v>
      </c>
      <c r="AQ9" s="8" t="s">
        <v>4</v>
      </c>
      <c r="AR9" s="43" t="s">
        <v>3</v>
      </c>
      <c r="AS9" s="43" t="s">
        <v>4</v>
      </c>
      <c r="AT9" s="325"/>
      <c r="AU9" s="55"/>
      <c r="AW9" s="327"/>
      <c r="AX9" s="314" t="s">
        <v>17</v>
      </c>
      <c r="AY9" s="314" t="s">
        <v>11</v>
      </c>
      <c r="AZ9" s="314" t="s">
        <v>32</v>
      </c>
      <c r="BA9" s="314" t="s">
        <v>37</v>
      </c>
      <c r="BB9" s="314" t="s">
        <v>34</v>
      </c>
      <c r="BC9" s="314" t="s">
        <v>12</v>
      </c>
      <c r="BD9" s="314" t="s">
        <v>33</v>
      </c>
      <c r="BE9" s="314" t="s">
        <v>11</v>
      </c>
      <c r="BF9" s="314" t="s">
        <v>35</v>
      </c>
      <c r="BG9" s="314" t="s">
        <v>37</v>
      </c>
      <c r="BH9" s="314" t="s">
        <v>34</v>
      </c>
      <c r="BI9" s="314" t="s">
        <v>12</v>
      </c>
    </row>
    <row r="10" spans="1:62" ht="53.5" customHeight="1" thickBot="1" x14ac:dyDescent="0.4">
      <c r="A10" s="328"/>
      <c r="B10" s="365"/>
      <c r="C10" s="366"/>
      <c r="D10" s="366"/>
      <c r="E10" s="7" t="s">
        <v>3</v>
      </c>
      <c r="F10" s="8" t="s">
        <v>4</v>
      </c>
      <c r="G10" s="7" t="s">
        <v>3</v>
      </c>
      <c r="H10" s="8" t="s">
        <v>4</v>
      </c>
      <c r="I10" s="8" t="s">
        <v>3</v>
      </c>
      <c r="J10" s="8" t="s">
        <v>4</v>
      </c>
      <c r="K10" s="7" t="s">
        <v>3</v>
      </c>
      <c r="L10" s="8" t="s">
        <v>4</v>
      </c>
      <c r="M10" s="7" t="s">
        <v>3</v>
      </c>
      <c r="N10" s="8" t="s">
        <v>4</v>
      </c>
      <c r="O10" s="8" t="s">
        <v>3</v>
      </c>
      <c r="P10" s="8" t="s">
        <v>4</v>
      </c>
      <c r="Q10" s="9" t="s">
        <v>3</v>
      </c>
      <c r="R10" s="9" t="s">
        <v>4</v>
      </c>
      <c r="S10" s="360"/>
      <c r="T10" s="8" t="s">
        <v>3</v>
      </c>
      <c r="U10" s="8" t="s">
        <v>4</v>
      </c>
      <c r="V10" s="8" t="s">
        <v>3</v>
      </c>
      <c r="W10" s="8" t="s">
        <v>4</v>
      </c>
      <c r="X10" s="8" t="s">
        <v>3</v>
      </c>
      <c r="Y10" s="8" t="s">
        <v>4</v>
      </c>
      <c r="AB10" s="361"/>
      <c r="AC10" s="344"/>
      <c r="AD10" s="344"/>
      <c r="AE10" s="49" t="s">
        <v>3</v>
      </c>
      <c r="AF10" s="50" t="s">
        <v>4</v>
      </c>
      <c r="AG10" s="51" t="s">
        <v>3</v>
      </c>
      <c r="AH10" s="52" t="s">
        <v>4</v>
      </c>
      <c r="AI10" s="355"/>
      <c r="AJ10" s="338"/>
      <c r="AK10" s="338"/>
      <c r="AM10" s="340"/>
      <c r="AN10" s="42" t="str">
        <f>'17'!AN10</f>
        <v>0124W120</v>
      </c>
      <c r="AO10" s="42">
        <f>'17'!AT10</f>
        <v>48</v>
      </c>
      <c r="AP10" s="42"/>
      <c r="AQ10" s="17">
        <f>AP10+'17'!AQ10</f>
        <v>73</v>
      </c>
      <c r="AR10" s="17"/>
      <c r="AS10" s="17">
        <f>AR10+'17'!AS10</f>
        <v>25</v>
      </c>
      <c r="AT10" s="44">
        <f>AO10+AP10-AR10</f>
        <v>48</v>
      </c>
      <c r="AU10" s="56"/>
      <c r="AW10" s="328"/>
      <c r="AX10" s="315"/>
      <c r="AY10" s="315"/>
      <c r="AZ10" s="315"/>
      <c r="BA10" s="315"/>
      <c r="BB10" s="315"/>
      <c r="BC10" s="315"/>
      <c r="BD10" s="315"/>
      <c r="BE10" s="315"/>
      <c r="BF10" s="315"/>
      <c r="BG10" s="315"/>
      <c r="BH10" s="315"/>
      <c r="BI10" s="315"/>
    </row>
    <row r="11" spans="1:62" ht="41.5" customHeight="1" x14ac:dyDescent="0.35">
      <c r="A11" s="5">
        <v>1</v>
      </c>
      <c r="B11" s="26" t="str">
        <f>'17'!B11</f>
        <v>مكتب الصحة</v>
      </c>
      <c r="C11" s="26">
        <f>'17'!C11</f>
        <v>12251</v>
      </c>
      <c r="D11" s="26"/>
      <c r="E11" s="12"/>
      <c r="F11" s="2">
        <f>E11+'17'!F11</f>
        <v>39</v>
      </c>
      <c r="G11" s="2"/>
      <c r="H11" s="2">
        <f>G11+'17'!H11</f>
        <v>1961</v>
      </c>
      <c r="I11" s="2"/>
      <c r="J11" s="2">
        <f>I11+'17'!J11</f>
        <v>5340</v>
      </c>
      <c r="K11" s="2"/>
      <c r="L11" s="2">
        <f>K11+'17'!L11</f>
        <v>0</v>
      </c>
      <c r="M11" s="2"/>
      <c r="N11" s="2">
        <f>M11+'17'!N11</f>
        <v>0</v>
      </c>
      <c r="O11" s="2"/>
      <c r="P11" s="2">
        <f>O11+'17'!P11</f>
        <v>0</v>
      </c>
      <c r="Q11" s="4">
        <f>O11+M11+K11+I11+G11+E11</f>
        <v>0</v>
      </c>
      <c r="R11" s="4">
        <f>Q11+'17'!R11</f>
        <v>7340</v>
      </c>
      <c r="S11" s="27">
        <f>R11/C11</f>
        <v>0.5991347645090197</v>
      </c>
      <c r="T11" s="12"/>
      <c r="U11" s="12">
        <f>T11+'17'!U11</f>
        <v>1397</v>
      </c>
      <c r="V11" s="12"/>
      <c r="W11" s="12">
        <f>V11+'17'!W11</f>
        <v>4</v>
      </c>
      <c r="X11" s="12"/>
      <c r="Y11" s="12">
        <f>X11+'17'!Y11</f>
        <v>1</v>
      </c>
      <c r="AB11" s="48">
        <v>1</v>
      </c>
      <c r="AC11" s="26" t="str">
        <f>'17'!AC11</f>
        <v>مكتب الصحة</v>
      </c>
      <c r="AD11" s="28">
        <f>'17'!AI11</f>
        <v>333</v>
      </c>
      <c r="AE11" s="3"/>
      <c r="AF11" s="28">
        <f>AE11+'17'!AF11</f>
        <v>1082</v>
      </c>
      <c r="AG11" s="4"/>
      <c r="AH11" s="28">
        <f>AG11+'17'!AH11</f>
        <v>749</v>
      </c>
      <c r="AI11" s="4">
        <f>AD11+AE11-AG11</f>
        <v>333</v>
      </c>
      <c r="AJ11" s="11" t="e">
        <f t="shared" ref="AJ11:AJ51" si="0">Q11/AG11</f>
        <v>#DIV/0!</v>
      </c>
      <c r="AK11" s="53">
        <f t="shared" ref="AK11:AK51" si="1">R11/AH11</f>
        <v>9.799732977303071</v>
      </c>
      <c r="AM11" s="340"/>
      <c r="AN11" s="42" t="str">
        <f>'17'!AN11</f>
        <v>420604325A</v>
      </c>
      <c r="AO11" s="42">
        <f>'17'!AT11</f>
        <v>3076</v>
      </c>
      <c r="AP11" s="16"/>
      <c r="AQ11" s="17">
        <f>AP11+'17'!AQ11</f>
        <v>8550</v>
      </c>
      <c r="AR11" s="16"/>
      <c r="AS11" s="17">
        <f>AR11+'17'!AS11</f>
        <v>5474</v>
      </c>
      <c r="AT11" s="44">
        <f>AO11+AP11-AR11</f>
        <v>3076</v>
      </c>
      <c r="AU11" s="56"/>
      <c r="AW11" s="26" t="str">
        <f>'17'!AW11</f>
        <v>مكتب الصحة</v>
      </c>
      <c r="AX11" s="12">
        <f>'17'!AX11</f>
        <v>11</v>
      </c>
      <c r="AY11" s="12">
        <f>'17'!AY11</f>
        <v>8411</v>
      </c>
      <c r="AZ11" s="12"/>
      <c r="BA11" s="12"/>
      <c r="BB11" s="12">
        <f>BA11+'17'!BB11</f>
        <v>5998</v>
      </c>
      <c r="BC11" s="30">
        <f t="shared" ref="BC11:BC51" si="2">BB11/AY11</f>
        <v>0.71311377957436695</v>
      </c>
      <c r="BD11" s="12">
        <f>'17'!BD11</f>
        <v>27</v>
      </c>
      <c r="BE11" s="12">
        <f>'17'!BE11</f>
        <v>1746</v>
      </c>
      <c r="BF11" s="12"/>
      <c r="BG11" s="12"/>
      <c r="BH11" s="12">
        <f>BG11+'17'!BH11</f>
        <v>477</v>
      </c>
      <c r="BI11" s="30">
        <f t="shared" ref="BI11:BI51" si="3">BH11/BE11</f>
        <v>0.27319587628865977</v>
      </c>
    </row>
    <row r="12" spans="1:62" ht="41.5" customHeight="1" x14ac:dyDescent="0.35">
      <c r="A12" s="5">
        <v>2</v>
      </c>
      <c r="B12" s="26" t="str">
        <f>'17'!B12</f>
        <v>شبرابخـــــــــــوم</v>
      </c>
      <c r="C12" s="26">
        <f>'17'!C12</f>
        <v>4445</v>
      </c>
      <c r="D12" s="26"/>
      <c r="E12" s="12"/>
      <c r="F12" s="2">
        <f>E12+'17'!F12</f>
        <v>14</v>
      </c>
      <c r="G12" s="2"/>
      <c r="H12" s="2">
        <f>G12+'17'!H12</f>
        <v>392</v>
      </c>
      <c r="I12" s="2"/>
      <c r="J12" s="2">
        <f>I12+'17'!J12</f>
        <v>1857</v>
      </c>
      <c r="K12" s="2"/>
      <c r="L12" s="2">
        <f>K12+'17'!L12</f>
        <v>0</v>
      </c>
      <c r="M12" s="2"/>
      <c r="N12" s="2">
        <f>M12+'17'!N12</f>
        <v>0</v>
      </c>
      <c r="O12" s="2"/>
      <c r="P12" s="2">
        <f>O12+'17'!P12</f>
        <v>0</v>
      </c>
      <c r="Q12" s="4">
        <f t="shared" ref="Q12:Q50" si="4">O12+M12+K12+I12+G12+E12</f>
        <v>0</v>
      </c>
      <c r="R12" s="4">
        <f>Q12+'17'!R12</f>
        <v>2263</v>
      </c>
      <c r="S12" s="27">
        <f t="shared" ref="S12:S50" si="5">R12/C12</f>
        <v>0.50911136107986499</v>
      </c>
      <c r="T12" s="12"/>
      <c r="U12" s="12">
        <f>T12+'17'!U12</f>
        <v>373</v>
      </c>
      <c r="V12" s="12"/>
      <c r="W12" s="12">
        <f>V12+'17'!W12</f>
        <v>15</v>
      </c>
      <c r="X12" s="12"/>
      <c r="Y12" s="12">
        <f>X12+'17'!Y12</f>
        <v>0</v>
      </c>
      <c r="AB12" s="5">
        <v>2</v>
      </c>
      <c r="AC12" s="26" t="str">
        <f>'17'!AC12</f>
        <v>شبرابخـــــــــــوم</v>
      </c>
      <c r="AD12" s="28">
        <f>'17'!AI12</f>
        <v>158</v>
      </c>
      <c r="AE12" s="3"/>
      <c r="AF12" s="28">
        <f>AE12+'17'!AF12</f>
        <v>390</v>
      </c>
      <c r="AG12" s="4"/>
      <c r="AH12" s="28">
        <f>AG12+'17'!AH12</f>
        <v>232</v>
      </c>
      <c r="AI12" s="4">
        <f>AD12+AE12-AG12</f>
        <v>158</v>
      </c>
      <c r="AJ12" s="11" t="e">
        <f t="shared" si="0"/>
        <v>#DIV/0!</v>
      </c>
      <c r="AK12" s="53">
        <f t="shared" si="1"/>
        <v>9.7543103448275854</v>
      </c>
      <c r="AM12" s="340"/>
      <c r="AN12" s="42" t="str">
        <f>'17'!AN12</f>
        <v>420604225A</v>
      </c>
      <c r="AO12" s="42">
        <f>'17'!AT12</f>
        <v>100</v>
      </c>
      <c r="AP12" s="16"/>
      <c r="AQ12" s="17">
        <f>AP12+'17'!AQ12</f>
        <v>100</v>
      </c>
      <c r="AR12" s="16"/>
      <c r="AS12" s="17">
        <f>AR12+'17'!AS12</f>
        <v>0</v>
      </c>
      <c r="AT12" s="44">
        <f>AO12+AP12-AR12</f>
        <v>100</v>
      </c>
      <c r="AU12" s="56"/>
      <c r="AW12" s="26" t="str">
        <f>'17'!AW12</f>
        <v>شبرابخـــــــــــوم</v>
      </c>
      <c r="AX12" s="12">
        <f>'17'!AX12</f>
        <v>6</v>
      </c>
      <c r="AY12" s="12">
        <f>'17'!AY12</f>
        <v>2215</v>
      </c>
      <c r="AZ12" s="12"/>
      <c r="BA12" s="12"/>
      <c r="BB12" s="12">
        <f>BA12+'17'!BB12</f>
        <v>2306</v>
      </c>
      <c r="BC12" s="30">
        <f t="shared" si="2"/>
        <v>1.0410835214446952</v>
      </c>
      <c r="BD12" s="12">
        <f>'17'!BD12</f>
        <v>16</v>
      </c>
      <c r="BE12" s="12">
        <f>'17'!BE12</f>
        <v>729</v>
      </c>
      <c r="BF12" s="12"/>
      <c r="BG12" s="12"/>
      <c r="BH12" s="12">
        <f>BG12+'17'!BH12</f>
        <v>224</v>
      </c>
      <c r="BI12" s="30">
        <f t="shared" si="3"/>
        <v>0.30727023319615915</v>
      </c>
    </row>
    <row r="13" spans="1:62" ht="41.5" customHeight="1" x14ac:dyDescent="0.35">
      <c r="A13" s="5">
        <v>3</v>
      </c>
      <c r="B13" s="26" t="str">
        <f>'17'!B13</f>
        <v>ميت بره</v>
      </c>
      <c r="C13" s="26">
        <f>'17'!C13</f>
        <v>11614</v>
      </c>
      <c r="D13" s="26"/>
      <c r="E13" s="12"/>
      <c r="F13" s="2">
        <f>E13+'17'!F13</f>
        <v>45</v>
      </c>
      <c r="G13" s="2"/>
      <c r="H13" s="2">
        <f>G13+'17'!H13</f>
        <v>465</v>
      </c>
      <c r="I13" s="2"/>
      <c r="J13" s="2">
        <f>I13+'17'!J13</f>
        <v>3703</v>
      </c>
      <c r="K13" s="2"/>
      <c r="L13" s="2">
        <f>K13+'17'!L13</f>
        <v>0</v>
      </c>
      <c r="M13" s="2"/>
      <c r="N13" s="2">
        <f>M13+'17'!N13</f>
        <v>0</v>
      </c>
      <c r="O13" s="2"/>
      <c r="P13" s="2">
        <f>O13+'17'!P13</f>
        <v>0</v>
      </c>
      <c r="Q13" s="4">
        <f t="shared" si="4"/>
        <v>0</v>
      </c>
      <c r="R13" s="4">
        <f>Q13+'17'!R13</f>
        <v>4213</v>
      </c>
      <c r="S13" s="27">
        <f t="shared" si="5"/>
        <v>0.36275185121405201</v>
      </c>
      <c r="T13" s="12"/>
      <c r="U13" s="12">
        <f>T13+'17'!U13</f>
        <v>641</v>
      </c>
      <c r="V13" s="12"/>
      <c r="W13" s="12">
        <f>V13+'17'!W13</f>
        <v>0</v>
      </c>
      <c r="X13" s="12"/>
      <c r="Y13" s="12">
        <f>X13+'17'!Y13</f>
        <v>0</v>
      </c>
      <c r="AB13" s="5">
        <v>3</v>
      </c>
      <c r="AC13" s="26" t="str">
        <f>'17'!AC13</f>
        <v>ميت بره</v>
      </c>
      <c r="AD13" s="28">
        <f>'17'!AI13</f>
        <v>584</v>
      </c>
      <c r="AE13" s="3"/>
      <c r="AF13" s="28">
        <f>AE13+'17'!AF13</f>
        <v>1020</v>
      </c>
      <c r="AG13" s="4"/>
      <c r="AH13" s="28">
        <f>AG13+'17'!AH13</f>
        <v>436</v>
      </c>
      <c r="AI13" s="4">
        <f t="shared" ref="AI13:AI50" si="6">AD13+AE13-AG13</f>
        <v>584</v>
      </c>
      <c r="AJ13" s="11" t="e">
        <f t="shared" si="0"/>
        <v>#DIV/0!</v>
      </c>
      <c r="AK13" s="53">
        <f t="shared" si="1"/>
        <v>9.6628440366972477</v>
      </c>
      <c r="AM13" s="340"/>
      <c r="AN13" s="46" t="s">
        <v>43</v>
      </c>
      <c r="AO13" s="45">
        <f t="shared" ref="AO13:AT13" si="7">SUM(AO10:AO12)</f>
        <v>3224</v>
      </c>
      <c r="AP13" s="45">
        <f t="shared" si="7"/>
        <v>0</v>
      </c>
      <c r="AQ13" s="45">
        <f t="shared" si="7"/>
        <v>8723</v>
      </c>
      <c r="AR13" s="45">
        <f t="shared" si="7"/>
        <v>0</v>
      </c>
      <c r="AS13" s="45">
        <f t="shared" si="7"/>
        <v>5499</v>
      </c>
      <c r="AT13" s="47">
        <f t="shared" si="7"/>
        <v>3224</v>
      </c>
      <c r="AU13" s="56"/>
      <c r="AW13" s="26" t="str">
        <f>'17'!AW13</f>
        <v>ميت بره</v>
      </c>
      <c r="AX13" s="12">
        <f>'17'!AX13</f>
        <v>8</v>
      </c>
      <c r="AY13" s="12">
        <f>'17'!AY13</f>
        <v>4849</v>
      </c>
      <c r="AZ13" s="12"/>
      <c r="BA13" s="12"/>
      <c r="BB13" s="12">
        <f>BA13+'17'!BB13</f>
        <v>4093</v>
      </c>
      <c r="BC13" s="30">
        <f t="shared" si="2"/>
        <v>0.84409156527118989</v>
      </c>
      <c r="BD13" s="12">
        <f>'17'!BD13</f>
        <v>21</v>
      </c>
      <c r="BE13" s="12">
        <f>'17'!BE13</f>
        <v>1129</v>
      </c>
      <c r="BF13" s="12"/>
      <c r="BG13" s="12"/>
      <c r="BH13" s="12">
        <f>BG13+'17'!BH13</f>
        <v>128</v>
      </c>
      <c r="BI13" s="30">
        <f t="shared" si="3"/>
        <v>0.11337466784765279</v>
      </c>
    </row>
    <row r="14" spans="1:62" ht="41.5" customHeight="1" thickBot="1" x14ac:dyDescent="0.4">
      <c r="A14" s="5">
        <v>4</v>
      </c>
      <c r="B14" s="26" t="str">
        <f>'17'!B14</f>
        <v>أبنــــــــــــــــهس</v>
      </c>
      <c r="C14" s="26">
        <f>'17'!C14</f>
        <v>5029</v>
      </c>
      <c r="D14" s="26"/>
      <c r="E14" s="12"/>
      <c r="F14" s="2">
        <f>E14+'17'!F14</f>
        <v>14</v>
      </c>
      <c r="G14" s="2"/>
      <c r="H14" s="2">
        <f>G14+'17'!H14</f>
        <v>349</v>
      </c>
      <c r="I14" s="2"/>
      <c r="J14" s="2">
        <f>I14+'17'!J14</f>
        <v>2016</v>
      </c>
      <c r="K14" s="2"/>
      <c r="L14" s="2">
        <f>K14+'17'!L14</f>
        <v>0</v>
      </c>
      <c r="M14" s="2"/>
      <c r="N14" s="2">
        <f>M14+'17'!N14</f>
        <v>0</v>
      </c>
      <c r="O14" s="2"/>
      <c r="P14" s="2">
        <f>O14+'17'!P14</f>
        <v>0</v>
      </c>
      <c r="Q14" s="4">
        <f t="shared" si="4"/>
        <v>0</v>
      </c>
      <c r="R14" s="4">
        <f>Q14+'17'!R14</f>
        <v>2379</v>
      </c>
      <c r="S14" s="27">
        <f t="shared" si="5"/>
        <v>0.47305627361304436</v>
      </c>
      <c r="T14" s="12"/>
      <c r="U14" s="12">
        <f>T14+'17'!U14</f>
        <v>341</v>
      </c>
      <c r="V14" s="12"/>
      <c r="W14" s="12">
        <f>V14+'17'!W14</f>
        <v>29</v>
      </c>
      <c r="X14" s="12"/>
      <c r="Y14" s="12">
        <f>X14+'17'!Y14</f>
        <v>0</v>
      </c>
      <c r="AB14" s="5">
        <v>4</v>
      </c>
      <c r="AC14" s="26" t="str">
        <f>'17'!AC14</f>
        <v>أبنــــــــــــــــهس</v>
      </c>
      <c r="AD14" s="28">
        <f>'17'!AI14</f>
        <v>196</v>
      </c>
      <c r="AE14" s="3"/>
      <c r="AF14" s="28">
        <f>AE14+'17'!AF14</f>
        <v>440</v>
      </c>
      <c r="AG14" s="4"/>
      <c r="AH14" s="28">
        <f>AG14+'17'!AH14</f>
        <v>244</v>
      </c>
      <c r="AI14" s="4">
        <f t="shared" si="6"/>
        <v>196</v>
      </c>
      <c r="AJ14" s="11" t="e">
        <f t="shared" si="0"/>
        <v>#DIV/0!</v>
      </c>
      <c r="AK14" s="53">
        <f t="shared" si="1"/>
        <v>9.75</v>
      </c>
      <c r="AM14" s="316" t="s">
        <v>42</v>
      </c>
      <c r="AN14" s="317"/>
      <c r="AO14" s="318"/>
      <c r="AP14" s="319"/>
      <c r="AQ14" s="319"/>
      <c r="AR14" s="319"/>
      <c r="AS14" s="320"/>
      <c r="AT14" s="39">
        <f>AT13+AI51</f>
        <v>6357</v>
      </c>
      <c r="AU14" s="57"/>
      <c r="AW14" s="26" t="str">
        <f>'17'!AW14</f>
        <v>أبنــــــــــــــــهس</v>
      </c>
      <c r="AX14" s="12">
        <f>'17'!AX14</f>
        <v>7</v>
      </c>
      <c r="AY14" s="12">
        <f>'17'!AY14</f>
        <v>2531</v>
      </c>
      <c r="AZ14" s="12"/>
      <c r="BA14" s="12"/>
      <c r="BB14" s="12">
        <f>BA14+'17'!BB14</f>
        <v>2092</v>
      </c>
      <c r="BC14" s="30">
        <f t="shared" si="2"/>
        <v>0.82655077044646386</v>
      </c>
      <c r="BD14" s="12">
        <f>'17'!BD14</f>
        <v>23</v>
      </c>
      <c r="BE14" s="12">
        <f>'17'!BE14</f>
        <v>921</v>
      </c>
      <c r="BF14" s="12"/>
      <c r="BG14" s="12"/>
      <c r="BH14" s="12">
        <f>BG14+'17'!BH14</f>
        <v>287</v>
      </c>
      <c r="BI14" s="30">
        <f t="shared" si="3"/>
        <v>0.31161780673181327</v>
      </c>
    </row>
    <row r="15" spans="1:62" ht="41.5" customHeight="1" x14ac:dyDescent="0.35">
      <c r="A15" s="5">
        <v>5</v>
      </c>
      <c r="B15" s="26" t="str">
        <f>'17'!B15</f>
        <v>ميت ســـــــــراج</v>
      </c>
      <c r="C15" s="26">
        <f>'17'!C15</f>
        <v>2369</v>
      </c>
      <c r="D15" s="26"/>
      <c r="E15" s="12"/>
      <c r="F15" s="2">
        <f>E15+'17'!F15</f>
        <v>4</v>
      </c>
      <c r="G15" s="2"/>
      <c r="H15" s="2">
        <f>G15+'17'!H15</f>
        <v>472</v>
      </c>
      <c r="I15" s="2"/>
      <c r="J15" s="2">
        <f>I15+'17'!J15</f>
        <v>839</v>
      </c>
      <c r="K15" s="2"/>
      <c r="L15" s="2">
        <f>K15+'17'!L15</f>
        <v>0</v>
      </c>
      <c r="M15" s="2"/>
      <c r="N15" s="2">
        <f>M15+'17'!N15</f>
        <v>0</v>
      </c>
      <c r="O15" s="2"/>
      <c r="P15" s="2">
        <f>O15+'17'!P15</f>
        <v>0</v>
      </c>
      <c r="Q15" s="4">
        <f t="shared" si="4"/>
        <v>0</v>
      </c>
      <c r="R15" s="4">
        <f>Q15+'17'!R15</f>
        <v>1315</v>
      </c>
      <c r="S15" s="27">
        <f t="shared" si="5"/>
        <v>0.55508653440270161</v>
      </c>
      <c r="T15" s="12"/>
      <c r="U15" s="12">
        <f>T15+'17'!U15</f>
        <v>105</v>
      </c>
      <c r="V15" s="12"/>
      <c r="W15" s="12">
        <f>V15+'17'!W15</f>
        <v>37</v>
      </c>
      <c r="X15" s="12"/>
      <c r="Y15" s="12">
        <f>X15+'17'!Y15</f>
        <v>0</v>
      </c>
      <c r="AB15" s="5">
        <v>5</v>
      </c>
      <c r="AC15" s="26" t="str">
        <f>'17'!AC15</f>
        <v>ميت ســـــــــراج</v>
      </c>
      <c r="AD15" s="28">
        <f>'17'!AI15</f>
        <v>74</v>
      </c>
      <c r="AE15" s="3"/>
      <c r="AF15" s="28">
        <f>AE15+'17'!AF15</f>
        <v>209</v>
      </c>
      <c r="AG15" s="4"/>
      <c r="AH15" s="28">
        <f>AG15+'17'!AH15</f>
        <v>135</v>
      </c>
      <c r="AI15" s="4">
        <f t="shared" si="6"/>
        <v>74</v>
      </c>
      <c r="AJ15" s="11" t="e">
        <f t="shared" si="0"/>
        <v>#DIV/0!</v>
      </c>
      <c r="AK15" s="53">
        <f t="shared" si="1"/>
        <v>9.7407407407407405</v>
      </c>
      <c r="AW15" s="26" t="str">
        <f>'17'!AW15</f>
        <v>ميت ســـــــــراج</v>
      </c>
      <c r="AX15" s="12">
        <f>'17'!AX15</f>
        <v>2</v>
      </c>
      <c r="AY15" s="12">
        <f>'17'!AY15</f>
        <v>1041</v>
      </c>
      <c r="AZ15" s="12"/>
      <c r="BA15" s="12"/>
      <c r="BB15" s="12">
        <f>BA15+'17'!BB15</f>
        <v>874</v>
      </c>
      <c r="BC15" s="30">
        <f t="shared" si="2"/>
        <v>0.83957732949087416</v>
      </c>
      <c r="BD15" s="12">
        <f>'17'!BD15</f>
        <v>5</v>
      </c>
      <c r="BE15" s="12">
        <f>'17'!BE15</f>
        <v>310</v>
      </c>
      <c r="BF15" s="12"/>
      <c r="BG15" s="12"/>
      <c r="BH15" s="12">
        <f>BG15+'17'!BH15</f>
        <v>385</v>
      </c>
      <c r="BI15" s="30">
        <f t="shared" si="3"/>
        <v>1.2419354838709677</v>
      </c>
    </row>
    <row r="16" spans="1:62" ht="41.5" customHeight="1" x14ac:dyDescent="0.35">
      <c r="A16" s="5">
        <v>6</v>
      </c>
      <c r="B16" s="26" t="str">
        <f>'17'!B16</f>
        <v>أم خــــــــــــــنان</v>
      </c>
      <c r="C16" s="26">
        <f>'17'!C16</f>
        <v>4900</v>
      </c>
      <c r="D16" s="26"/>
      <c r="E16" s="12"/>
      <c r="F16" s="2">
        <f>E16+'17'!F16</f>
        <v>11</v>
      </c>
      <c r="G16" s="2"/>
      <c r="H16" s="2">
        <f>G16+'17'!H16</f>
        <v>280</v>
      </c>
      <c r="I16" s="2"/>
      <c r="J16" s="2">
        <f>I16+'17'!J16</f>
        <v>1942</v>
      </c>
      <c r="K16" s="2"/>
      <c r="L16" s="2">
        <f>K16+'17'!L16</f>
        <v>0</v>
      </c>
      <c r="M16" s="2"/>
      <c r="N16" s="2">
        <f>M16+'17'!N16</f>
        <v>0</v>
      </c>
      <c r="O16" s="2"/>
      <c r="P16" s="2">
        <f>O16+'17'!P16</f>
        <v>0</v>
      </c>
      <c r="Q16" s="4">
        <f t="shared" si="4"/>
        <v>0</v>
      </c>
      <c r="R16" s="4">
        <f>Q16+'17'!R16</f>
        <v>2233</v>
      </c>
      <c r="S16" s="27">
        <f t="shared" si="5"/>
        <v>0.45571428571428574</v>
      </c>
      <c r="T16" s="12"/>
      <c r="U16" s="12">
        <f>T16+'17'!U16</f>
        <v>375</v>
      </c>
      <c r="V16" s="12"/>
      <c r="W16" s="12">
        <f>V16+'17'!W16</f>
        <v>0</v>
      </c>
      <c r="X16" s="12"/>
      <c r="Y16" s="12">
        <f>X16+'17'!Y16</f>
        <v>0</v>
      </c>
      <c r="AB16" s="5">
        <v>6</v>
      </c>
      <c r="AC16" s="26" t="str">
        <f>'17'!AC16</f>
        <v>أم خــــــــــــــنان</v>
      </c>
      <c r="AD16" s="28">
        <f>'17'!AI16</f>
        <v>204</v>
      </c>
      <c r="AE16" s="3"/>
      <c r="AF16" s="28">
        <f>AE16+'17'!AF16</f>
        <v>430</v>
      </c>
      <c r="AG16" s="4"/>
      <c r="AH16" s="28">
        <f>AG16+'17'!AH16</f>
        <v>226</v>
      </c>
      <c r="AI16" s="4">
        <f t="shared" si="6"/>
        <v>204</v>
      </c>
      <c r="AJ16" s="11" t="e">
        <f t="shared" si="0"/>
        <v>#DIV/0!</v>
      </c>
      <c r="AK16" s="53">
        <f t="shared" si="1"/>
        <v>9.8805309734513269</v>
      </c>
      <c r="AW16" s="26" t="str">
        <f>'17'!AW16</f>
        <v>أم خــــــــــــــنان</v>
      </c>
      <c r="AX16" s="12">
        <f>'17'!AX16</f>
        <v>8</v>
      </c>
      <c r="AY16" s="12">
        <f>'17'!AY16</f>
        <v>2981</v>
      </c>
      <c r="AZ16" s="12"/>
      <c r="BA16" s="12"/>
      <c r="BB16" s="12">
        <f>BA16+'17'!BB16</f>
        <v>2132</v>
      </c>
      <c r="BC16" s="30">
        <f t="shared" si="2"/>
        <v>0.71519624287151962</v>
      </c>
      <c r="BD16" s="12">
        <f>'17'!BD16</f>
        <v>12</v>
      </c>
      <c r="BE16" s="12">
        <f>'17'!BE16</f>
        <v>1313</v>
      </c>
      <c r="BF16" s="12"/>
      <c r="BG16" s="12"/>
      <c r="BH16" s="12">
        <f>BG16+'17'!BH16</f>
        <v>0</v>
      </c>
      <c r="BI16" s="30">
        <f t="shared" si="3"/>
        <v>0</v>
      </c>
    </row>
    <row r="17" spans="1:61" ht="41.5" customHeight="1" x14ac:dyDescent="0.35">
      <c r="A17" s="5">
        <v>7</v>
      </c>
      <c r="B17" s="26" t="str">
        <f>'17'!B17</f>
        <v>أجهور الرمل</v>
      </c>
      <c r="C17" s="26">
        <f>'17'!C17</f>
        <v>3590</v>
      </c>
      <c r="D17" s="26"/>
      <c r="E17" s="12"/>
      <c r="F17" s="2">
        <f>E17+'17'!F17</f>
        <v>17</v>
      </c>
      <c r="G17" s="2"/>
      <c r="H17" s="2">
        <f>G17+'17'!H17</f>
        <v>591</v>
      </c>
      <c r="I17" s="2"/>
      <c r="J17" s="2">
        <f>I17+'17'!J17</f>
        <v>1489</v>
      </c>
      <c r="K17" s="2"/>
      <c r="L17" s="2">
        <f>K17+'17'!L17</f>
        <v>0</v>
      </c>
      <c r="M17" s="2"/>
      <c r="N17" s="2">
        <f>M17+'17'!N17</f>
        <v>0</v>
      </c>
      <c r="O17" s="2"/>
      <c r="P17" s="2">
        <f>O17+'17'!P17</f>
        <v>0</v>
      </c>
      <c r="Q17" s="4">
        <f t="shared" si="4"/>
        <v>0</v>
      </c>
      <c r="R17" s="4">
        <f>Q17+'17'!R17</f>
        <v>2097</v>
      </c>
      <c r="S17" s="27">
        <f t="shared" si="5"/>
        <v>0.58412256267409468</v>
      </c>
      <c r="T17" s="12"/>
      <c r="U17" s="12">
        <f>T17+'17'!U17</f>
        <v>360</v>
      </c>
      <c r="V17" s="12"/>
      <c r="W17" s="12">
        <f>V17+'17'!W17</f>
        <v>121</v>
      </c>
      <c r="X17" s="12"/>
      <c r="Y17" s="12">
        <f>X17+'17'!Y17</f>
        <v>0</v>
      </c>
      <c r="AB17" s="5">
        <v>7</v>
      </c>
      <c r="AC17" s="26" t="str">
        <f>'17'!AC17</f>
        <v>أجهور الرمل</v>
      </c>
      <c r="AD17" s="28">
        <f>'17'!AI17</f>
        <v>100</v>
      </c>
      <c r="AE17" s="3"/>
      <c r="AF17" s="28">
        <f>AE17+'17'!AF17</f>
        <v>316</v>
      </c>
      <c r="AG17" s="4"/>
      <c r="AH17" s="28">
        <f>AG17+'17'!AH17</f>
        <v>216</v>
      </c>
      <c r="AI17" s="4">
        <f t="shared" si="6"/>
        <v>100</v>
      </c>
      <c r="AJ17" s="11" t="e">
        <f t="shared" si="0"/>
        <v>#DIV/0!</v>
      </c>
      <c r="AK17" s="53">
        <f t="shared" si="1"/>
        <v>9.7083333333333339</v>
      </c>
      <c r="AW17" s="26" t="str">
        <f>'17'!AW17</f>
        <v>أجهور الرمل</v>
      </c>
      <c r="AX17" s="12">
        <f>'17'!AX17</f>
        <v>4</v>
      </c>
      <c r="AY17" s="12">
        <f>'17'!AY17</f>
        <v>1796</v>
      </c>
      <c r="AZ17" s="12"/>
      <c r="BA17" s="12"/>
      <c r="BB17" s="12">
        <f>BA17+'17'!BB17</f>
        <v>1422</v>
      </c>
      <c r="BC17" s="30">
        <f t="shared" si="2"/>
        <v>0.79175946547884191</v>
      </c>
      <c r="BD17" s="12">
        <f>'17'!BD17</f>
        <v>3</v>
      </c>
      <c r="BE17" s="12">
        <f>'17'!BE17</f>
        <v>100</v>
      </c>
      <c r="BF17" s="12"/>
      <c r="BG17" s="12"/>
      <c r="BH17" s="12">
        <f>BG17+'17'!BH17</f>
        <v>441</v>
      </c>
      <c r="BI17" s="30">
        <f t="shared" si="3"/>
        <v>4.41</v>
      </c>
    </row>
    <row r="18" spans="1:61" ht="41.5" customHeight="1" x14ac:dyDescent="0.35">
      <c r="A18" s="5">
        <v>8</v>
      </c>
      <c r="B18" s="26" t="str">
        <f>'17'!B18</f>
        <v>منشأة دمــــــــــلو</v>
      </c>
      <c r="C18" s="26">
        <f>'17'!C18</f>
        <v>1320</v>
      </c>
      <c r="D18" s="26"/>
      <c r="E18" s="12"/>
      <c r="F18" s="2">
        <f>E18+'17'!F18</f>
        <v>18</v>
      </c>
      <c r="G18" s="2"/>
      <c r="H18" s="2">
        <f>G18+'17'!H18</f>
        <v>528</v>
      </c>
      <c r="I18" s="2"/>
      <c r="J18" s="2">
        <f>I18+'17'!J18</f>
        <v>704</v>
      </c>
      <c r="K18" s="2"/>
      <c r="L18" s="2">
        <f>K18+'17'!L18</f>
        <v>0</v>
      </c>
      <c r="M18" s="2"/>
      <c r="N18" s="2">
        <f>M18+'17'!N18</f>
        <v>0</v>
      </c>
      <c r="O18" s="2"/>
      <c r="P18" s="2">
        <f>O18+'17'!P18</f>
        <v>0</v>
      </c>
      <c r="Q18" s="4">
        <f t="shared" si="4"/>
        <v>0</v>
      </c>
      <c r="R18" s="4">
        <f>Q18+'17'!R18</f>
        <v>1250</v>
      </c>
      <c r="S18" s="27">
        <f t="shared" si="5"/>
        <v>0.94696969696969702</v>
      </c>
      <c r="T18" s="12"/>
      <c r="U18" s="12">
        <f>T18+'17'!U18</f>
        <v>175</v>
      </c>
      <c r="V18" s="12"/>
      <c r="W18" s="12">
        <f>V18+'17'!W18</f>
        <v>38</v>
      </c>
      <c r="X18" s="12"/>
      <c r="Y18" s="12">
        <f>X18+'17'!Y18</f>
        <v>0</v>
      </c>
      <c r="AB18" s="5">
        <v>8</v>
      </c>
      <c r="AC18" s="26" t="str">
        <f>'17'!AC18</f>
        <v>منشأة دمــــــــــلو</v>
      </c>
      <c r="AD18" s="28">
        <f>'17'!AI18</f>
        <v>4</v>
      </c>
      <c r="AE18" s="3"/>
      <c r="AF18" s="28">
        <f>AE18+'17'!AF18</f>
        <v>135</v>
      </c>
      <c r="AG18" s="4"/>
      <c r="AH18" s="28">
        <f>AG18+'17'!AH18</f>
        <v>131</v>
      </c>
      <c r="AI18" s="4">
        <f t="shared" si="6"/>
        <v>4</v>
      </c>
      <c r="AJ18" s="11" t="e">
        <f t="shared" si="0"/>
        <v>#DIV/0!</v>
      </c>
      <c r="AK18" s="53">
        <f t="shared" si="1"/>
        <v>9.5419847328244281</v>
      </c>
      <c r="AW18" s="26" t="str">
        <f>'17'!AW18</f>
        <v>منشأة دمــــــــــلو</v>
      </c>
      <c r="AX18" s="12">
        <f>'17'!AX18</f>
        <v>2</v>
      </c>
      <c r="AY18" s="12">
        <f>'17'!AY18</f>
        <v>896</v>
      </c>
      <c r="AZ18" s="12"/>
      <c r="BA18" s="12"/>
      <c r="BB18" s="12">
        <f>BA18+'17'!BB18</f>
        <v>748</v>
      </c>
      <c r="BC18" s="30">
        <f t="shared" si="2"/>
        <v>0.8348214285714286</v>
      </c>
      <c r="BD18" s="12">
        <f>'17'!BD18</f>
        <v>8</v>
      </c>
      <c r="BE18" s="12">
        <f>'17'!BE18</f>
        <v>340</v>
      </c>
      <c r="BF18" s="12"/>
      <c r="BG18" s="12"/>
      <c r="BH18" s="12">
        <f>BG18+'17'!BH18</f>
        <v>328</v>
      </c>
      <c r="BI18" s="30">
        <f t="shared" si="3"/>
        <v>0.96470588235294119</v>
      </c>
    </row>
    <row r="19" spans="1:61" ht="41.5" customHeight="1" x14ac:dyDescent="0.35">
      <c r="A19" s="5">
        <v>9</v>
      </c>
      <c r="B19" s="26" t="str">
        <f>'17'!B19</f>
        <v>شـــــــــــــرانيس</v>
      </c>
      <c r="C19" s="26">
        <f>'17'!C19</f>
        <v>1414</v>
      </c>
      <c r="D19" s="26"/>
      <c r="E19" s="12"/>
      <c r="F19" s="2">
        <f>E19+'17'!F19</f>
        <v>11</v>
      </c>
      <c r="G19" s="2"/>
      <c r="H19" s="2">
        <f>G19+'17'!H19</f>
        <v>359</v>
      </c>
      <c r="I19" s="2"/>
      <c r="J19" s="2">
        <f>I19+'17'!J19</f>
        <v>618</v>
      </c>
      <c r="K19" s="2"/>
      <c r="L19" s="2">
        <f>K19+'17'!L19</f>
        <v>0</v>
      </c>
      <c r="M19" s="2"/>
      <c r="N19" s="2">
        <f>M19+'17'!N19</f>
        <v>0</v>
      </c>
      <c r="O19" s="2"/>
      <c r="P19" s="2">
        <f>O19+'17'!P19</f>
        <v>0</v>
      </c>
      <c r="Q19" s="4">
        <f t="shared" si="4"/>
        <v>0</v>
      </c>
      <c r="R19" s="4">
        <f>Q19+'17'!R19</f>
        <v>988</v>
      </c>
      <c r="S19" s="27">
        <f t="shared" si="5"/>
        <v>0.69872701555869876</v>
      </c>
      <c r="T19" s="12"/>
      <c r="U19" s="12">
        <f>T19+'17'!U19</f>
        <v>143</v>
      </c>
      <c r="V19" s="12"/>
      <c r="W19" s="12">
        <f>V19+'17'!W19</f>
        <v>0</v>
      </c>
      <c r="X19" s="12"/>
      <c r="Y19" s="12">
        <f>X19+'17'!Y19</f>
        <v>0</v>
      </c>
      <c r="AB19" s="5">
        <v>9</v>
      </c>
      <c r="AC19" s="26" t="str">
        <f>'17'!AC19</f>
        <v>شـــــــــــــرانيس</v>
      </c>
      <c r="AD19" s="28">
        <f>'17'!AI19</f>
        <v>22</v>
      </c>
      <c r="AE19" s="3"/>
      <c r="AF19" s="28">
        <f>AE19+'17'!AF19</f>
        <v>125</v>
      </c>
      <c r="AG19" s="4"/>
      <c r="AH19" s="28">
        <f>AG19+'17'!AH19</f>
        <v>103</v>
      </c>
      <c r="AI19" s="4">
        <f t="shared" si="6"/>
        <v>22</v>
      </c>
      <c r="AJ19" s="11" t="e">
        <f t="shared" si="0"/>
        <v>#DIV/0!</v>
      </c>
      <c r="AK19" s="53">
        <f t="shared" si="1"/>
        <v>9.5922330097087372</v>
      </c>
      <c r="AW19" s="26" t="str">
        <f>'17'!AW19</f>
        <v>شـــــــــــــرانيس</v>
      </c>
      <c r="AX19" s="12">
        <f>'17'!AX19</f>
        <v>2</v>
      </c>
      <c r="AY19" s="12">
        <f>'17'!AY19</f>
        <v>675</v>
      </c>
      <c r="AZ19" s="12"/>
      <c r="BA19" s="12"/>
      <c r="BB19" s="12">
        <f>BA19+'17'!BB19</f>
        <v>569</v>
      </c>
      <c r="BC19" s="30">
        <f t="shared" si="2"/>
        <v>0.84296296296296291</v>
      </c>
      <c r="BD19" s="12">
        <f>'17'!BD19</f>
        <v>2</v>
      </c>
      <c r="BE19" s="12">
        <f>'17'!BE19</f>
        <v>397</v>
      </c>
      <c r="BF19" s="12"/>
      <c r="BG19" s="12"/>
      <c r="BH19" s="12">
        <f>BG19+'17'!BH19</f>
        <v>349</v>
      </c>
      <c r="BI19" s="30">
        <f t="shared" si="3"/>
        <v>0.87909319899244331</v>
      </c>
    </row>
    <row r="20" spans="1:61" ht="41.5" customHeight="1" x14ac:dyDescent="0.35">
      <c r="A20" s="5">
        <v>10</v>
      </c>
      <c r="B20" s="26" t="str">
        <f>'17'!B20</f>
        <v>قويســـــــــنا البلد</v>
      </c>
      <c r="C20" s="26">
        <f>'17'!C20</f>
        <v>4115</v>
      </c>
      <c r="D20" s="26"/>
      <c r="E20" s="12"/>
      <c r="F20" s="2">
        <f>E20+'17'!F20</f>
        <v>27</v>
      </c>
      <c r="G20" s="2"/>
      <c r="H20" s="2">
        <f>G20+'17'!H20</f>
        <v>406</v>
      </c>
      <c r="I20" s="2"/>
      <c r="J20" s="2">
        <f>I20+'17'!J20</f>
        <v>1286</v>
      </c>
      <c r="K20" s="2"/>
      <c r="L20" s="2">
        <f>K20+'17'!L20</f>
        <v>0</v>
      </c>
      <c r="M20" s="2"/>
      <c r="N20" s="2">
        <f>M20+'17'!N20</f>
        <v>0</v>
      </c>
      <c r="O20" s="2"/>
      <c r="P20" s="2">
        <f>O20+'17'!P20</f>
        <v>0</v>
      </c>
      <c r="Q20" s="4">
        <f t="shared" si="4"/>
        <v>0</v>
      </c>
      <c r="R20" s="4">
        <f>Q20+'17'!R20</f>
        <v>1719</v>
      </c>
      <c r="S20" s="27">
        <f t="shared" si="5"/>
        <v>0.41773997569866345</v>
      </c>
      <c r="T20" s="12"/>
      <c r="U20" s="12">
        <f>T20+'17'!U20</f>
        <v>405</v>
      </c>
      <c r="V20" s="12"/>
      <c r="W20" s="12">
        <f>V20+'17'!W20</f>
        <v>144</v>
      </c>
      <c r="X20" s="12"/>
      <c r="Y20" s="12">
        <f>X20+'17'!Y20</f>
        <v>0</v>
      </c>
      <c r="AB20" s="5">
        <v>10</v>
      </c>
      <c r="AC20" s="26" t="str">
        <f>'17'!AC20</f>
        <v>قويســـــــــنا البلد</v>
      </c>
      <c r="AD20" s="28">
        <f>'17'!AI20</f>
        <v>185</v>
      </c>
      <c r="AE20" s="3"/>
      <c r="AF20" s="28">
        <f>AE20+'17'!AF20</f>
        <v>360</v>
      </c>
      <c r="AG20" s="4"/>
      <c r="AH20" s="28">
        <f>AG20+'17'!AH20</f>
        <v>175</v>
      </c>
      <c r="AI20" s="4">
        <f t="shared" si="6"/>
        <v>185</v>
      </c>
      <c r="AJ20" s="11" t="e">
        <f t="shared" si="0"/>
        <v>#DIV/0!</v>
      </c>
      <c r="AK20" s="53">
        <f t="shared" si="1"/>
        <v>9.8228571428571421</v>
      </c>
      <c r="AW20" s="26" t="str">
        <f>'17'!AW20</f>
        <v>قويســـــــــنا البلد</v>
      </c>
      <c r="AX20" s="12">
        <f>'17'!AX20</f>
        <v>2</v>
      </c>
      <c r="AY20" s="12">
        <f>'17'!AY20</f>
        <v>1539</v>
      </c>
      <c r="AZ20" s="12"/>
      <c r="BA20" s="12"/>
      <c r="BB20" s="12">
        <f>BA20+'17'!BB20</f>
        <v>1355</v>
      </c>
      <c r="BC20" s="30">
        <f t="shared" si="2"/>
        <v>0.88044184535412606</v>
      </c>
      <c r="BD20" s="12">
        <f>'17'!BD20</f>
        <v>7</v>
      </c>
      <c r="BE20" s="12">
        <f>'17'!BE20</f>
        <v>580</v>
      </c>
      <c r="BF20" s="12"/>
      <c r="BG20" s="12"/>
      <c r="BH20" s="12">
        <f>BG20+'17'!BH20</f>
        <v>204</v>
      </c>
      <c r="BI20" s="30">
        <f t="shared" si="3"/>
        <v>0.35172413793103446</v>
      </c>
    </row>
    <row r="21" spans="1:61" ht="41.5" customHeight="1" x14ac:dyDescent="0.35">
      <c r="A21" s="5">
        <v>11</v>
      </c>
      <c r="B21" s="26" t="str">
        <f>'17'!B21</f>
        <v>بجيرم</v>
      </c>
      <c r="C21" s="26">
        <f>'17'!C21</f>
        <v>1782</v>
      </c>
      <c r="D21" s="26"/>
      <c r="E21" s="12"/>
      <c r="F21" s="2">
        <f>E21+'17'!F21</f>
        <v>8</v>
      </c>
      <c r="G21" s="2"/>
      <c r="H21" s="2">
        <f>G21+'17'!H21</f>
        <v>406</v>
      </c>
      <c r="I21" s="2"/>
      <c r="J21" s="2">
        <f>I21+'17'!J21</f>
        <v>755</v>
      </c>
      <c r="K21" s="2"/>
      <c r="L21" s="2">
        <f>K21+'17'!L21</f>
        <v>0</v>
      </c>
      <c r="M21" s="2"/>
      <c r="N21" s="2">
        <f>M21+'17'!N21</f>
        <v>0</v>
      </c>
      <c r="O21" s="2"/>
      <c r="P21" s="2">
        <f>O21+'17'!P21</f>
        <v>0</v>
      </c>
      <c r="Q21" s="4">
        <f t="shared" si="4"/>
        <v>0</v>
      </c>
      <c r="R21" s="4">
        <f>Q21+'17'!R21</f>
        <v>1169</v>
      </c>
      <c r="S21" s="27">
        <f t="shared" si="5"/>
        <v>0.65600448933782263</v>
      </c>
      <c r="T21" s="12"/>
      <c r="U21" s="12">
        <f>T21+'17'!U21</f>
        <v>126</v>
      </c>
      <c r="V21" s="12"/>
      <c r="W21" s="12">
        <f>V21+'17'!W21</f>
        <v>44</v>
      </c>
      <c r="X21" s="12"/>
      <c r="Y21" s="12">
        <f>X21+'17'!Y21</f>
        <v>0</v>
      </c>
      <c r="AB21" s="5">
        <v>11</v>
      </c>
      <c r="AC21" s="26" t="str">
        <f>'17'!AC21</f>
        <v>بجيرم</v>
      </c>
      <c r="AD21" s="28">
        <f>'17'!AI21</f>
        <v>37</v>
      </c>
      <c r="AE21" s="3"/>
      <c r="AF21" s="28">
        <f>AE21+'17'!AF21</f>
        <v>157</v>
      </c>
      <c r="AG21" s="4"/>
      <c r="AH21" s="28">
        <f>AG21+'17'!AH21</f>
        <v>120</v>
      </c>
      <c r="AI21" s="4">
        <f t="shared" si="6"/>
        <v>37</v>
      </c>
      <c r="AJ21" s="11" t="e">
        <f t="shared" si="0"/>
        <v>#DIV/0!</v>
      </c>
      <c r="AK21" s="53">
        <f t="shared" si="1"/>
        <v>9.7416666666666671</v>
      </c>
      <c r="AW21" s="26" t="str">
        <f>'17'!AW21</f>
        <v>بجيرم</v>
      </c>
      <c r="AX21" s="12">
        <f>'17'!AX21</f>
        <v>4</v>
      </c>
      <c r="AY21" s="12">
        <f>'17'!AY21</f>
        <v>946</v>
      </c>
      <c r="AZ21" s="12"/>
      <c r="BA21" s="12"/>
      <c r="BB21" s="12">
        <f>BA21+'17'!BB21</f>
        <v>823</v>
      </c>
      <c r="BC21" s="30">
        <f t="shared" si="2"/>
        <v>0.86997885835095135</v>
      </c>
      <c r="BD21" s="12">
        <f>'17'!BD21</f>
        <v>4</v>
      </c>
      <c r="BE21" s="12">
        <f>'17'!BE21</f>
        <v>99</v>
      </c>
      <c r="BF21" s="12"/>
      <c r="BG21" s="12"/>
      <c r="BH21" s="12">
        <f>BG21+'17'!BH21</f>
        <v>99</v>
      </c>
      <c r="BI21" s="30">
        <f t="shared" si="3"/>
        <v>1</v>
      </c>
    </row>
    <row r="22" spans="1:61" ht="30" customHeight="1" x14ac:dyDescent="0.35">
      <c r="A22" s="5">
        <v>12</v>
      </c>
      <c r="B22" s="26" t="str">
        <f>'17'!B22</f>
        <v>كفر بنى غريـــان</v>
      </c>
      <c r="C22" s="26">
        <f>'17'!C22</f>
        <v>2184</v>
      </c>
      <c r="D22" s="26"/>
      <c r="E22" s="12"/>
      <c r="F22" s="2">
        <f>E22+'17'!F22</f>
        <v>12</v>
      </c>
      <c r="G22" s="2"/>
      <c r="H22" s="2">
        <f>G22+'17'!H22</f>
        <v>471</v>
      </c>
      <c r="I22" s="2"/>
      <c r="J22" s="2">
        <f>I22+'17'!J22</f>
        <v>971</v>
      </c>
      <c r="K22" s="2"/>
      <c r="L22" s="2">
        <f>K22+'17'!L22</f>
        <v>0</v>
      </c>
      <c r="M22" s="2"/>
      <c r="N22" s="2">
        <f>M22+'17'!N22</f>
        <v>0</v>
      </c>
      <c r="O22" s="2"/>
      <c r="P22" s="2">
        <f>O22+'17'!P22</f>
        <v>0</v>
      </c>
      <c r="Q22" s="4">
        <f t="shared" si="4"/>
        <v>0</v>
      </c>
      <c r="R22" s="4">
        <f>Q22+'17'!R22</f>
        <v>1454</v>
      </c>
      <c r="S22" s="27">
        <f t="shared" si="5"/>
        <v>0.66575091575091572</v>
      </c>
      <c r="T22" s="12"/>
      <c r="U22" s="12">
        <f>T22+'17'!U22</f>
        <v>174</v>
      </c>
      <c r="V22" s="12"/>
      <c r="W22" s="12">
        <f>V22+'17'!W22</f>
        <v>7</v>
      </c>
      <c r="X22" s="12"/>
      <c r="Y22" s="12">
        <f>X22+'17'!Y22</f>
        <v>0</v>
      </c>
      <c r="AB22" s="5">
        <v>12</v>
      </c>
      <c r="AC22" s="26" t="str">
        <f>'17'!AC22</f>
        <v>كفر بنى غريـــان</v>
      </c>
      <c r="AD22" s="28">
        <f>'17'!AI22</f>
        <v>42</v>
      </c>
      <c r="AE22" s="3"/>
      <c r="AF22" s="28">
        <f>AE22+'17'!AF22</f>
        <v>192</v>
      </c>
      <c r="AG22" s="4"/>
      <c r="AH22" s="28">
        <f>AG22+'17'!AH22</f>
        <v>150</v>
      </c>
      <c r="AI22" s="4">
        <f t="shared" si="6"/>
        <v>42</v>
      </c>
      <c r="AJ22" s="11" t="e">
        <f t="shared" si="0"/>
        <v>#DIV/0!</v>
      </c>
      <c r="AK22" s="53">
        <f t="shared" si="1"/>
        <v>9.6933333333333334</v>
      </c>
      <c r="AW22" s="26" t="str">
        <f>'17'!AW22</f>
        <v>كفر بنى غريـــان</v>
      </c>
      <c r="AX22" s="12">
        <f>'17'!AX22</f>
        <v>3</v>
      </c>
      <c r="AY22" s="12">
        <f>'17'!AY22</f>
        <v>1327</v>
      </c>
      <c r="AZ22" s="12"/>
      <c r="BA22" s="12"/>
      <c r="BB22" s="12">
        <f>BA22+'17'!BB22</f>
        <v>994</v>
      </c>
      <c r="BC22" s="30">
        <f t="shared" si="2"/>
        <v>0.74905802562170309</v>
      </c>
      <c r="BD22" s="12">
        <f>'17'!BD22</f>
        <v>9</v>
      </c>
      <c r="BE22" s="12">
        <f>'17'!BE22</f>
        <v>381</v>
      </c>
      <c r="BF22" s="12"/>
      <c r="BG22" s="12"/>
      <c r="BH22" s="12">
        <f>BG22+'17'!BH22</f>
        <v>387</v>
      </c>
      <c r="BI22" s="30">
        <f t="shared" si="3"/>
        <v>1.015748031496063</v>
      </c>
    </row>
    <row r="23" spans="1:61" ht="30" customHeight="1" x14ac:dyDescent="0.35">
      <c r="A23" s="5">
        <v>13</v>
      </c>
      <c r="B23" s="26" t="str">
        <f>'17'!B23</f>
        <v>بــقســـــــــــــــــا</v>
      </c>
      <c r="C23" s="26">
        <f>'17'!C23</f>
        <v>862</v>
      </c>
      <c r="D23" s="26"/>
      <c r="E23" s="12"/>
      <c r="F23" s="2">
        <f>E23+'17'!F23</f>
        <v>8</v>
      </c>
      <c r="G23" s="2"/>
      <c r="H23" s="2">
        <f>G23+'17'!H23</f>
        <v>160</v>
      </c>
      <c r="I23" s="2"/>
      <c r="J23" s="2">
        <f>I23+'17'!J23</f>
        <v>359</v>
      </c>
      <c r="K23" s="2"/>
      <c r="L23" s="2">
        <f>K23+'17'!L23</f>
        <v>0</v>
      </c>
      <c r="M23" s="2"/>
      <c r="N23" s="2">
        <f>M23+'17'!N23</f>
        <v>0</v>
      </c>
      <c r="O23" s="2"/>
      <c r="P23" s="2">
        <f>O23+'17'!P23</f>
        <v>0</v>
      </c>
      <c r="Q23" s="4">
        <f t="shared" si="4"/>
        <v>0</v>
      </c>
      <c r="R23" s="4">
        <f>Q23+'17'!R23</f>
        <v>527</v>
      </c>
      <c r="S23" s="27">
        <f t="shared" si="5"/>
        <v>0.61136890951276102</v>
      </c>
      <c r="T23" s="12"/>
      <c r="U23" s="12">
        <f>T23+'17'!U23</f>
        <v>36</v>
      </c>
      <c r="V23" s="12"/>
      <c r="W23" s="12">
        <f>V23+'17'!W23</f>
        <v>14</v>
      </c>
      <c r="X23" s="12"/>
      <c r="Y23" s="12">
        <f>X23+'17'!Y23</f>
        <v>0</v>
      </c>
      <c r="AB23" s="5">
        <v>13</v>
      </c>
      <c r="AC23" s="26" t="str">
        <f>'17'!AC23</f>
        <v>بــقســـــــــــــــــا</v>
      </c>
      <c r="AD23" s="28">
        <f>'17'!AI23</f>
        <v>22</v>
      </c>
      <c r="AE23" s="3"/>
      <c r="AF23" s="28">
        <f>AE23+'17'!AF23</f>
        <v>75</v>
      </c>
      <c r="AG23" s="4"/>
      <c r="AH23" s="28">
        <f>AG23+'17'!AH23</f>
        <v>53</v>
      </c>
      <c r="AI23" s="4">
        <f t="shared" si="6"/>
        <v>22</v>
      </c>
      <c r="AJ23" s="11" t="e">
        <f t="shared" si="0"/>
        <v>#DIV/0!</v>
      </c>
      <c r="AK23" s="53">
        <f t="shared" si="1"/>
        <v>9.9433962264150946</v>
      </c>
      <c r="AW23" s="26" t="str">
        <f>'17'!AW23</f>
        <v>بــقســـــــــــــــــا</v>
      </c>
      <c r="AX23" s="12">
        <f>'17'!AX23</f>
        <v>1</v>
      </c>
      <c r="AY23" s="12">
        <f>'17'!AY23</f>
        <v>311</v>
      </c>
      <c r="AZ23" s="12"/>
      <c r="BA23" s="12"/>
      <c r="BB23" s="12">
        <f>BA23+'17'!BB23</f>
        <v>297</v>
      </c>
      <c r="BC23" s="30">
        <f t="shared" si="2"/>
        <v>0.954983922829582</v>
      </c>
      <c r="BD23" s="12">
        <f>'17'!BD23</f>
        <v>1</v>
      </c>
      <c r="BE23" s="12">
        <f>'17'!BE23</f>
        <v>40</v>
      </c>
      <c r="BF23" s="12"/>
      <c r="BG23" s="12"/>
      <c r="BH23" s="12">
        <f>BG23+'17'!BH23</f>
        <v>30</v>
      </c>
      <c r="BI23" s="30">
        <f t="shared" si="3"/>
        <v>0.75</v>
      </c>
    </row>
    <row r="24" spans="1:61" ht="37.15" customHeight="1" x14ac:dyDescent="0.35">
      <c r="A24" s="5">
        <v>14</v>
      </c>
      <c r="B24" s="26" t="str">
        <f>'17'!B24</f>
        <v>كفــــــــر الأكرم</v>
      </c>
      <c r="C24" s="26">
        <f>'17'!C24</f>
        <v>918</v>
      </c>
      <c r="D24" s="26"/>
      <c r="E24" s="12"/>
      <c r="F24" s="2">
        <f>E24+'17'!F24</f>
        <v>3</v>
      </c>
      <c r="G24" s="2"/>
      <c r="H24" s="2">
        <f>G24+'17'!H24</f>
        <v>233</v>
      </c>
      <c r="I24" s="2"/>
      <c r="J24" s="2">
        <f>I24+'17'!J24</f>
        <v>392</v>
      </c>
      <c r="K24" s="2"/>
      <c r="L24" s="2">
        <f>K24+'17'!L24</f>
        <v>0</v>
      </c>
      <c r="M24" s="2"/>
      <c r="N24" s="2">
        <f>M24+'17'!N24</f>
        <v>0</v>
      </c>
      <c r="O24" s="2"/>
      <c r="P24" s="2">
        <f>O24+'17'!P24</f>
        <v>0</v>
      </c>
      <c r="Q24" s="4">
        <f t="shared" si="4"/>
        <v>0</v>
      </c>
      <c r="R24" s="4">
        <f>Q24+'17'!R24</f>
        <v>628</v>
      </c>
      <c r="S24" s="27">
        <f t="shared" si="5"/>
        <v>0.68409586056644878</v>
      </c>
      <c r="T24" s="12"/>
      <c r="U24" s="12">
        <f>T24+'17'!U24</f>
        <v>87</v>
      </c>
      <c r="V24" s="12"/>
      <c r="W24" s="12">
        <f>V24+'17'!W24</f>
        <v>9</v>
      </c>
      <c r="X24" s="12"/>
      <c r="Y24" s="12">
        <f>X24+'17'!Y24</f>
        <v>0</v>
      </c>
      <c r="AB24" s="5">
        <v>14</v>
      </c>
      <c r="AC24" s="26" t="str">
        <f>'17'!AC24</f>
        <v>كفــــــــر الأكرم</v>
      </c>
      <c r="AD24" s="28">
        <f>'17'!AI24</f>
        <v>15</v>
      </c>
      <c r="AE24" s="3"/>
      <c r="AF24" s="28">
        <f>AE24+'17'!AF24</f>
        <v>80</v>
      </c>
      <c r="AG24" s="4"/>
      <c r="AH24" s="28">
        <f>AG24+'17'!AH24</f>
        <v>65</v>
      </c>
      <c r="AI24" s="4">
        <f t="shared" si="6"/>
        <v>15</v>
      </c>
      <c r="AJ24" s="11" t="e">
        <f t="shared" si="0"/>
        <v>#DIV/0!</v>
      </c>
      <c r="AK24" s="53">
        <f t="shared" si="1"/>
        <v>9.661538461538461</v>
      </c>
      <c r="AW24" s="26" t="str">
        <f>'17'!AW24</f>
        <v>كفــــــــر الأكرم</v>
      </c>
      <c r="AX24" s="12">
        <f>'17'!AX24</f>
        <v>2</v>
      </c>
      <c r="AY24" s="12">
        <f>'17'!AY24</f>
        <v>540</v>
      </c>
      <c r="AZ24" s="12"/>
      <c r="BA24" s="12"/>
      <c r="BB24" s="12">
        <f>BA24+'17'!BB24</f>
        <v>380</v>
      </c>
      <c r="BC24" s="30">
        <f t="shared" si="2"/>
        <v>0.70370370370370372</v>
      </c>
      <c r="BD24" s="12">
        <f>'17'!BD24</f>
        <v>2</v>
      </c>
      <c r="BE24" s="12">
        <f>'17'!BE24</f>
        <v>115</v>
      </c>
      <c r="BF24" s="12"/>
      <c r="BG24" s="12"/>
      <c r="BH24" s="12">
        <f>BG24+'17'!BH24</f>
        <v>160</v>
      </c>
      <c r="BI24" s="30">
        <f t="shared" si="3"/>
        <v>1.3913043478260869</v>
      </c>
    </row>
    <row r="25" spans="1:61" ht="28.9" customHeight="1" x14ac:dyDescent="0.35">
      <c r="A25" s="5">
        <v>15</v>
      </c>
      <c r="B25" s="26" t="str">
        <f>'17'!B25</f>
        <v>كفـــــــــر إبنهس</v>
      </c>
      <c r="C25" s="26">
        <f>'17'!C25</f>
        <v>2072</v>
      </c>
      <c r="D25" s="26"/>
      <c r="E25" s="12"/>
      <c r="F25" s="2">
        <f>E25+'17'!F25</f>
        <v>6</v>
      </c>
      <c r="G25" s="2"/>
      <c r="H25" s="2">
        <f>G25+'17'!H25</f>
        <v>345</v>
      </c>
      <c r="I25" s="2"/>
      <c r="J25" s="2">
        <f>I25+'17'!J25</f>
        <v>974</v>
      </c>
      <c r="K25" s="2"/>
      <c r="L25" s="2">
        <f>K25+'17'!L25</f>
        <v>0</v>
      </c>
      <c r="M25" s="2"/>
      <c r="N25" s="2">
        <f>M25+'17'!N25</f>
        <v>0</v>
      </c>
      <c r="O25" s="2"/>
      <c r="P25" s="2">
        <f>O25+'17'!P25</f>
        <v>0</v>
      </c>
      <c r="Q25" s="4">
        <f t="shared" si="4"/>
        <v>0</v>
      </c>
      <c r="R25" s="4">
        <f>Q25+'17'!R25</f>
        <v>1325</v>
      </c>
      <c r="S25" s="27">
        <f t="shared" si="5"/>
        <v>0.63947876447876451</v>
      </c>
      <c r="T25" s="12"/>
      <c r="U25" s="12">
        <f>T25+'17'!U25</f>
        <v>173</v>
      </c>
      <c r="V25" s="12"/>
      <c r="W25" s="12">
        <f>V25+'17'!W25</f>
        <v>50</v>
      </c>
      <c r="X25" s="12"/>
      <c r="Y25" s="12">
        <f>X25+'17'!Y25</f>
        <v>0</v>
      </c>
      <c r="AB25" s="5">
        <v>15</v>
      </c>
      <c r="AC25" s="26" t="str">
        <f>'17'!AC25</f>
        <v>كفـــــــــر إبنهس</v>
      </c>
      <c r="AD25" s="28">
        <f>'17'!AI25</f>
        <v>31</v>
      </c>
      <c r="AE25" s="3"/>
      <c r="AF25" s="28">
        <f>AE25+'17'!AF25</f>
        <v>180</v>
      </c>
      <c r="AG25" s="4"/>
      <c r="AH25" s="28">
        <f>AG25+'17'!AH25</f>
        <v>149</v>
      </c>
      <c r="AI25" s="4">
        <f t="shared" si="6"/>
        <v>31</v>
      </c>
      <c r="AJ25" s="11" t="e">
        <f t="shared" si="0"/>
        <v>#DIV/0!</v>
      </c>
      <c r="AK25" s="53">
        <f t="shared" si="1"/>
        <v>8.8926174496644297</v>
      </c>
      <c r="AW25" s="26" t="str">
        <f>'17'!AW25</f>
        <v>كفـــــــــر إبنهس</v>
      </c>
      <c r="AX25" s="12">
        <f>'17'!AX25</f>
        <v>3</v>
      </c>
      <c r="AY25" s="12">
        <f>'17'!AY25</f>
        <v>1013</v>
      </c>
      <c r="AZ25" s="12"/>
      <c r="BA25" s="12"/>
      <c r="BB25" s="12">
        <f>BA25+'17'!BB25</f>
        <v>838</v>
      </c>
      <c r="BC25" s="30">
        <f t="shared" si="2"/>
        <v>0.82724580454096741</v>
      </c>
      <c r="BD25" s="12">
        <f>'17'!BD25</f>
        <v>4</v>
      </c>
      <c r="BE25" s="12">
        <f>'17'!BE25</f>
        <v>620</v>
      </c>
      <c r="BF25" s="12"/>
      <c r="BG25" s="12"/>
      <c r="BH25" s="12">
        <f>BG25+'17'!BH25</f>
        <v>507</v>
      </c>
      <c r="BI25" s="30">
        <f t="shared" si="3"/>
        <v>0.81774193548387097</v>
      </c>
    </row>
    <row r="26" spans="1:61" ht="28.9" customHeight="1" x14ac:dyDescent="0.35">
      <c r="A26" s="5">
        <v>16</v>
      </c>
      <c r="B26" s="26" t="str">
        <f>'17'!B26</f>
        <v>الرمــــــــــــــالى</v>
      </c>
      <c r="C26" s="26">
        <f>'17'!C26</f>
        <v>2699</v>
      </c>
      <c r="D26" s="26"/>
      <c r="E26" s="12"/>
      <c r="F26" s="2">
        <f>E26+'17'!F26</f>
        <v>27</v>
      </c>
      <c r="G26" s="2"/>
      <c r="H26" s="2">
        <f>G26+'17'!H26</f>
        <v>312</v>
      </c>
      <c r="I26" s="2"/>
      <c r="J26" s="2">
        <f>I26+'17'!J26</f>
        <v>993</v>
      </c>
      <c r="K26" s="2"/>
      <c r="L26" s="2">
        <f>K26+'17'!L26</f>
        <v>0</v>
      </c>
      <c r="M26" s="2"/>
      <c r="N26" s="2">
        <f>M26+'17'!N26</f>
        <v>0</v>
      </c>
      <c r="O26" s="2"/>
      <c r="P26" s="2">
        <f>O26+'17'!P26</f>
        <v>0</v>
      </c>
      <c r="Q26" s="4">
        <f t="shared" si="4"/>
        <v>0</v>
      </c>
      <c r="R26" s="4">
        <f>Q26+'17'!R26</f>
        <v>1332</v>
      </c>
      <c r="S26" s="27">
        <f t="shared" si="5"/>
        <v>0.49351611708040016</v>
      </c>
      <c r="T26" s="12"/>
      <c r="U26" s="12">
        <f>T26+'17'!U26</f>
        <v>114</v>
      </c>
      <c r="V26" s="12"/>
      <c r="W26" s="12">
        <f>V26+'17'!W26</f>
        <v>108</v>
      </c>
      <c r="X26" s="12"/>
      <c r="Y26" s="12">
        <f>X26+'17'!Y26</f>
        <v>1</v>
      </c>
      <c r="Z26" s="38"/>
      <c r="AB26" s="5">
        <v>16</v>
      </c>
      <c r="AC26" s="26" t="str">
        <f>'17'!AC26</f>
        <v>الرمــــــــــــــالى</v>
      </c>
      <c r="AD26" s="28">
        <f>'17'!AI26</f>
        <v>96</v>
      </c>
      <c r="AE26" s="3"/>
      <c r="AF26" s="28">
        <f>AE26+'17'!AF26</f>
        <v>235</v>
      </c>
      <c r="AG26" s="4"/>
      <c r="AH26" s="28">
        <f>AG26+'17'!AH26</f>
        <v>139</v>
      </c>
      <c r="AI26" s="4">
        <f t="shared" si="6"/>
        <v>96</v>
      </c>
      <c r="AJ26" s="11" t="e">
        <f t="shared" si="0"/>
        <v>#DIV/0!</v>
      </c>
      <c r="AK26" s="53">
        <f t="shared" si="1"/>
        <v>9.5827338129496411</v>
      </c>
      <c r="AV26" s="38"/>
      <c r="AW26" s="26" t="str">
        <f>'17'!AW26</f>
        <v>الرمــــــــــــــالى</v>
      </c>
      <c r="AX26" s="12">
        <f>'17'!AX26</f>
        <v>3</v>
      </c>
      <c r="AY26" s="12">
        <f>'17'!AY26</f>
        <v>1486</v>
      </c>
      <c r="AZ26" s="12"/>
      <c r="BA26" s="12"/>
      <c r="BB26" s="12">
        <f>BA26+'17'!BB26</f>
        <v>1149</v>
      </c>
      <c r="BC26" s="30">
        <f t="shared" si="2"/>
        <v>0.77321668909825036</v>
      </c>
      <c r="BD26" s="12">
        <f>'17'!BD26</f>
        <v>3</v>
      </c>
      <c r="BE26" s="12">
        <f>'17'!BE26</f>
        <v>98</v>
      </c>
      <c r="BF26" s="12"/>
      <c r="BG26" s="12"/>
      <c r="BH26" s="12">
        <f>BG26+'17'!BH26</f>
        <v>0</v>
      </c>
      <c r="BI26" s="30">
        <f t="shared" si="3"/>
        <v>0</v>
      </c>
    </row>
    <row r="27" spans="1:61" ht="28.9" customHeight="1" x14ac:dyDescent="0.35">
      <c r="A27" s="5">
        <v>17</v>
      </c>
      <c r="B27" s="26" t="str">
        <f>'17'!B27</f>
        <v>مصطــــــــــــاى</v>
      </c>
      <c r="C27" s="26">
        <f>'17'!C27</f>
        <v>2666</v>
      </c>
      <c r="D27" s="26"/>
      <c r="E27" s="12"/>
      <c r="F27" s="2">
        <f>E27+'17'!F27</f>
        <v>54</v>
      </c>
      <c r="G27" s="2"/>
      <c r="H27" s="2">
        <f>G27+'17'!H27</f>
        <v>364</v>
      </c>
      <c r="I27" s="2"/>
      <c r="J27" s="2">
        <f>I27+'17'!J27</f>
        <v>1154</v>
      </c>
      <c r="K27" s="2"/>
      <c r="L27" s="2">
        <f>K27+'17'!L27</f>
        <v>0</v>
      </c>
      <c r="M27" s="2"/>
      <c r="N27" s="2">
        <f>M27+'17'!N27</f>
        <v>0</v>
      </c>
      <c r="O27" s="2"/>
      <c r="P27" s="2">
        <f>O27+'17'!P27</f>
        <v>0</v>
      </c>
      <c r="Q27" s="4">
        <f t="shared" si="4"/>
        <v>0</v>
      </c>
      <c r="R27" s="4">
        <f>Q27+'17'!R27</f>
        <v>1572</v>
      </c>
      <c r="S27" s="27">
        <f t="shared" si="5"/>
        <v>0.58964741185296321</v>
      </c>
      <c r="T27" s="12"/>
      <c r="U27" s="12">
        <f>T27+'17'!U27</f>
        <v>45</v>
      </c>
      <c r="V27" s="12"/>
      <c r="W27" s="12">
        <f>V27+'17'!W27</f>
        <v>15</v>
      </c>
      <c r="X27" s="12"/>
      <c r="Y27" s="12">
        <f>X27+'17'!Y27</f>
        <v>0</v>
      </c>
      <c r="AB27" s="5">
        <v>17</v>
      </c>
      <c r="AC27" s="26" t="str">
        <f>'17'!AC27</f>
        <v>مصطــــــــــــاى</v>
      </c>
      <c r="AD27" s="28">
        <f>'17'!AI27</f>
        <v>74</v>
      </c>
      <c r="AE27" s="3"/>
      <c r="AF27" s="28">
        <f>AE27+'17'!AF27</f>
        <v>234</v>
      </c>
      <c r="AG27" s="4"/>
      <c r="AH27" s="28">
        <f>AG27+'17'!AH27</f>
        <v>160</v>
      </c>
      <c r="AI27" s="4">
        <f t="shared" si="6"/>
        <v>74</v>
      </c>
      <c r="AJ27" s="11" t="e">
        <f t="shared" si="0"/>
        <v>#DIV/0!</v>
      </c>
      <c r="AK27" s="53">
        <f t="shared" si="1"/>
        <v>9.8249999999999993</v>
      </c>
      <c r="AW27" s="26" t="str">
        <f>'17'!AW27</f>
        <v>مصطــــــــــــاى</v>
      </c>
      <c r="AX27" s="12">
        <f>'17'!AX27</f>
        <v>3</v>
      </c>
      <c r="AY27" s="12">
        <f>'17'!AY27</f>
        <v>1709</v>
      </c>
      <c r="AZ27" s="12"/>
      <c r="BA27" s="12"/>
      <c r="BB27" s="12">
        <f>BA27+'17'!BB27</f>
        <v>1252</v>
      </c>
      <c r="BC27" s="30">
        <f t="shared" si="2"/>
        <v>0.73259215915740195</v>
      </c>
      <c r="BD27" s="12">
        <f>'17'!BD27</f>
        <v>6</v>
      </c>
      <c r="BE27" s="12">
        <f>'17'!BE27</f>
        <v>696</v>
      </c>
      <c r="BF27" s="12"/>
      <c r="BG27" s="12"/>
      <c r="BH27" s="12">
        <f>BG27+'17'!BH27</f>
        <v>120</v>
      </c>
      <c r="BI27" s="30">
        <f t="shared" si="3"/>
        <v>0.17241379310344829</v>
      </c>
    </row>
    <row r="28" spans="1:61" ht="28.9" customHeight="1" x14ac:dyDescent="0.35">
      <c r="A28" s="5">
        <v>18</v>
      </c>
      <c r="B28" s="26" t="str">
        <f>'17'!B28</f>
        <v>كفر طـــــــه شبرا</v>
      </c>
      <c r="C28" s="26">
        <f>'17'!C28</f>
        <v>1795</v>
      </c>
      <c r="D28" s="26"/>
      <c r="E28" s="12"/>
      <c r="F28" s="2">
        <f>E28+'17'!F28</f>
        <v>8</v>
      </c>
      <c r="G28" s="2"/>
      <c r="H28" s="2">
        <f>G28+'17'!H28</f>
        <v>294</v>
      </c>
      <c r="I28" s="2"/>
      <c r="J28" s="2">
        <f>I28+'17'!J28</f>
        <v>940</v>
      </c>
      <c r="K28" s="2"/>
      <c r="L28" s="2">
        <f>K28+'17'!L28</f>
        <v>0</v>
      </c>
      <c r="M28" s="2"/>
      <c r="N28" s="2">
        <f>M28+'17'!N28</f>
        <v>0</v>
      </c>
      <c r="O28" s="2"/>
      <c r="P28" s="2">
        <f>O28+'17'!P28</f>
        <v>0</v>
      </c>
      <c r="Q28" s="4">
        <f t="shared" si="4"/>
        <v>0</v>
      </c>
      <c r="R28" s="4">
        <f>Q28+'17'!R28</f>
        <v>1242</v>
      </c>
      <c r="S28" s="27">
        <f t="shared" si="5"/>
        <v>0.69192200557103067</v>
      </c>
      <c r="T28" s="12"/>
      <c r="U28" s="12">
        <f>T28+'17'!U28</f>
        <v>136</v>
      </c>
      <c r="V28" s="12"/>
      <c r="W28" s="12">
        <f>V28+'17'!W28</f>
        <v>33</v>
      </c>
      <c r="X28" s="12"/>
      <c r="Y28" s="12">
        <f>X28+'17'!Y28</f>
        <v>0</v>
      </c>
      <c r="AB28" s="5">
        <v>18</v>
      </c>
      <c r="AC28" s="26" t="str">
        <f>'17'!AC28</f>
        <v>كفر طـــــــه شبرا</v>
      </c>
      <c r="AD28" s="28">
        <f>'17'!AI28</f>
        <v>28</v>
      </c>
      <c r="AE28" s="3"/>
      <c r="AF28" s="28">
        <f>AE28+'17'!AF28</f>
        <v>158</v>
      </c>
      <c r="AG28" s="4"/>
      <c r="AH28" s="28">
        <f>AG28+'17'!AH28</f>
        <v>130</v>
      </c>
      <c r="AI28" s="4">
        <f t="shared" si="6"/>
        <v>28</v>
      </c>
      <c r="AJ28" s="11" t="e">
        <f t="shared" si="0"/>
        <v>#DIV/0!</v>
      </c>
      <c r="AK28" s="53">
        <f t="shared" si="1"/>
        <v>9.5538461538461537</v>
      </c>
      <c r="AW28" s="26" t="str">
        <f>'17'!AW28</f>
        <v>كفر طـــــــه شبرا</v>
      </c>
      <c r="AX28" s="12">
        <f>'17'!AX28</f>
        <v>4</v>
      </c>
      <c r="AY28" s="12">
        <f>'17'!AY28</f>
        <v>948</v>
      </c>
      <c r="AZ28" s="12"/>
      <c r="BA28" s="12"/>
      <c r="BB28" s="12">
        <f>BA28+'17'!BB28</f>
        <v>827</v>
      </c>
      <c r="BC28" s="30">
        <f t="shared" si="2"/>
        <v>0.87236286919831219</v>
      </c>
      <c r="BD28" s="12">
        <f>'17'!BD28</f>
        <v>7</v>
      </c>
      <c r="BE28" s="12">
        <f>'17'!BE28</f>
        <v>300</v>
      </c>
      <c r="BF28" s="12"/>
      <c r="BG28" s="12"/>
      <c r="BH28" s="12">
        <f>BG28+'17'!BH28</f>
        <v>403</v>
      </c>
      <c r="BI28" s="30">
        <f t="shared" si="3"/>
        <v>1.3433333333333333</v>
      </c>
    </row>
    <row r="29" spans="1:61" ht="28.9" customHeight="1" x14ac:dyDescent="0.35">
      <c r="A29" s="5">
        <v>19</v>
      </c>
      <c r="B29" s="26" t="str">
        <f>'17'!B29</f>
        <v>كفر أبـــو الحسن</v>
      </c>
      <c r="C29" s="26">
        <f>'17'!C29</f>
        <v>1397</v>
      </c>
      <c r="D29" s="26"/>
      <c r="E29" s="12"/>
      <c r="F29" s="2">
        <f>E29+'17'!F29</f>
        <v>4</v>
      </c>
      <c r="G29" s="2"/>
      <c r="H29" s="2">
        <f>G29+'17'!H29</f>
        <v>238</v>
      </c>
      <c r="I29" s="2"/>
      <c r="J29" s="2">
        <f>I29+'17'!J29</f>
        <v>841</v>
      </c>
      <c r="K29" s="2"/>
      <c r="L29" s="2">
        <f>K29+'17'!L29</f>
        <v>0</v>
      </c>
      <c r="M29" s="2"/>
      <c r="N29" s="2">
        <f>M29+'17'!N29</f>
        <v>0</v>
      </c>
      <c r="O29" s="2"/>
      <c r="P29" s="2">
        <f>O29+'17'!P29</f>
        <v>0</v>
      </c>
      <c r="Q29" s="4">
        <f t="shared" si="4"/>
        <v>0</v>
      </c>
      <c r="R29" s="4">
        <f>Q29+'17'!R29</f>
        <v>1083</v>
      </c>
      <c r="S29" s="27">
        <f t="shared" si="5"/>
        <v>0.77523264137437364</v>
      </c>
      <c r="T29" s="12"/>
      <c r="U29" s="12">
        <f>T29+'17'!U29</f>
        <v>205</v>
      </c>
      <c r="V29" s="12"/>
      <c r="W29" s="12">
        <f>V29+'17'!W29</f>
        <v>18</v>
      </c>
      <c r="X29" s="12"/>
      <c r="Y29" s="12">
        <f>X29+'17'!Y29</f>
        <v>0</v>
      </c>
      <c r="AB29" s="5">
        <v>19</v>
      </c>
      <c r="AC29" s="26" t="str">
        <f>'17'!AC29</f>
        <v>كفر أبـــو الحسن</v>
      </c>
      <c r="AD29" s="28">
        <f>'17'!AI29</f>
        <v>22</v>
      </c>
      <c r="AE29" s="3"/>
      <c r="AF29" s="28">
        <f>AE29+'17'!AF29</f>
        <v>133</v>
      </c>
      <c r="AG29" s="4"/>
      <c r="AH29" s="28">
        <f>AG29+'17'!AH29</f>
        <v>111</v>
      </c>
      <c r="AI29" s="4">
        <f t="shared" si="6"/>
        <v>22</v>
      </c>
      <c r="AJ29" s="11" t="e">
        <f t="shared" si="0"/>
        <v>#DIV/0!</v>
      </c>
      <c r="AK29" s="53">
        <f t="shared" si="1"/>
        <v>9.7567567567567561</v>
      </c>
      <c r="AW29" s="26" t="str">
        <f>'17'!AW29</f>
        <v>كفر أبـــو الحسن</v>
      </c>
      <c r="AX29" s="12">
        <f>'17'!AX29</f>
        <v>3</v>
      </c>
      <c r="AY29" s="12">
        <f>'17'!AY29</f>
        <v>912</v>
      </c>
      <c r="AZ29" s="12"/>
      <c r="BA29" s="12"/>
      <c r="BB29" s="12">
        <f>BA29+'17'!BB29</f>
        <v>760</v>
      </c>
      <c r="BC29" s="30">
        <f t="shared" si="2"/>
        <v>0.83333333333333337</v>
      </c>
      <c r="BD29" s="12">
        <f>'17'!BD29</f>
        <v>9</v>
      </c>
      <c r="BE29" s="12">
        <f>'17'!BE29</f>
        <v>258</v>
      </c>
      <c r="BF29" s="12"/>
      <c r="BG29" s="12"/>
      <c r="BH29" s="12">
        <f>BG29+'17'!BH29</f>
        <v>351</v>
      </c>
      <c r="BI29" s="30">
        <f t="shared" si="3"/>
        <v>1.3604651162790697</v>
      </c>
    </row>
    <row r="30" spans="1:61" ht="28.9" customHeight="1" x14ac:dyDescent="0.35">
      <c r="A30" s="5">
        <v>20</v>
      </c>
      <c r="B30" s="26" t="str">
        <f>'17'!B30</f>
        <v>ميت أبـــــوشيخه</v>
      </c>
      <c r="C30" s="26">
        <f>'17'!C30</f>
        <v>1134</v>
      </c>
      <c r="D30" s="26"/>
      <c r="E30" s="12"/>
      <c r="F30" s="2">
        <f>E30+'17'!F30</f>
        <v>10</v>
      </c>
      <c r="G30" s="2"/>
      <c r="H30" s="2">
        <f>G30+'17'!H30</f>
        <v>144</v>
      </c>
      <c r="I30" s="2"/>
      <c r="J30" s="2">
        <f>I30+'17'!J30</f>
        <v>435</v>
      </c>
      <c r="K30" s="2"/>
      <c r="L30" s="2">
        <f>K30+'17'!L30</f>
        <v>0</v>
      </c>
      <c r="M30" s="2"/>
      <c r="N30" s="2">
        <f>M30+'17'!N30</f>
        <v>0</v>
      </c>
      <c r="O30" s="2"/>
      <c r="P30" s="2">
        <f>O30+'17'!P30</f>
        <v>0</v>
      </c>
      <c r="Q30" s="4">
        <f t="shared" si="4"/>
        <v>0</v>
      </c>
      <c r="R30" s="4">
        <f>Q30+'17'!R30</f>
        <v>589</v>
      </c>
      <c r="S30" s="27">
        <f t="shared" si="5"/>
        <v>0.51940035273368612</v>
      </c>
      <c r="T30" s="12"/>
      <c r="U30" s="12">
        <f>T30+'17'!U30</f>
        <v>68</v>
      </c>
      <c r="V30" s="12"/>
      <c r="W30" s="12">
        <f>V30+'17'!W30</f>
        <v>10</v>
      </c>
      <c r="X30" s="12"/>
      <c r="Y30" s="12">
        <f>X30+'17'!Y30</f>
        <v>0</v>
      </c>
      <c r="AB30" s="5">
        <v>20</v>
      </c>
      <c r="AC30" s="26" t="str">
        <f>'17'!AC30</f>
        <v>ميت أبـــــوشيخه</v>
      </c>
      <c r="AD30" s="28">
        <f>'17'!AI30</f>
        <v>40</v>
      </c>
      <c r="AE30" s="3"/>
      <c r="AF30" s="28">
        <f>AE30+'17'!AF30</f>
        <v>100</v>
      </c>
      <c r="AG30" s="4"/>
      <c r="AH30" s="28">
        <f>AG30+'17'!AH30</f>
        <v>60</v>
      </c>
      <c r="AI30" s="4">
        <f t="shared" si="6"/>
        <v>40</v>
      </c>
      <c r="AJ30" s="11" t="e">
        <f t="shared" si="0"/>
        <v>#DIV/0!</v>
      </c>
      <c r="AK30" s="53">
        <f t="shared" si="1"/>
        <v>9.8166666666666664</v>
      </c>
      <c r="AW30" s="26" t="str">
        <f>'17'!AW30</f>
        <v>ميت أبـــــوشيخه</v>
      </c>
      <c r="AX30" s="12">
        <f>'17'!AX30</f>
        <v>2</v>
      </c>
      <c r="AY30" s="12">
        <f>'17'!AY30</f>
        <v>560</v>
      </c>
      <c r="AZ30" s="12"/>
      <c r="BA30" s="12"/>
      <c r="BB30" s="12">
        <f>BA30+'17'!BB30</f>
        <v>459</v>
      </c>
      <c r="BC30" s="30">
        <f t="shared" si="2"/>
        <v>0.81964285714285712</v>
      </c>
      <c r="BD30" s="12">
        <f>'17'!BD30</f>
        <v>2</v>
      </c>
      <c r="BE30" s="12">
        <f>'17'!BE30</f>
        <v>107</v>
      </c>
      <c r="BF30" s="12"/>
      <c r="BG30" s="12"/>
      <c r="BH30" s="12">
        <f>BG30+'17'!BH30</f>
        <v>85</v>
      </c>
      <c r="BI30" s="30">
        <f t="shared" si="3"/>
        <v>0.79439252336448596</v>
      </c>
    </row>
    <row r="31" spans="1:61" ht="28.9" customHeight="1" x14ac:dyDescent="0.35">
      <c r="A31" s="5">
        <v>21</v>
      </c>
      <c r="B31" s="26" t="str">
        <f>'17'!B31</f>
        <v>طــــــــــــه شبرا</v>
      </c>
      <c r="C31" s="26">
        <f>'17'!C31</f>
        <v>5149</v>
      </c>
      <c r="D31" s="26"/>
      <c r="E31" s="12"/>
      <c r="F31" s="2">
        <f>E31+'17'!F31</f>
        <v>22</v>
      </c>
      <c r="G31" s="2"/>
      <c r="H31" s="2">
        <f>G31+'17'!H31</f>
        <v>967</v>
      </c>
      <c r="I31" s="2"/>
      <c r="J31" s="2">
        <f>I31+'17'!J31</f>
        <v>1288</v>
      </c>
      <c r="K31" s="2"/>
      <c r="L31" s="2">
        <f>K31+'17'!L31</f>
        <v>0</v>
      </c>
      <c r="M31" s="2"/>
      <c r="N31" s="2">
        <f>M31+'17'!N31</f>
        <v>0</v>
      </c>
      <c r="O31" s="2"/>
      <c r="P31" s="2">
        <f>O31+'17'!P31</f>
        <v>0</v>
      </c>
      <c r="Q31" s="4">
        <f t="shared" si="4"/>
        <v>0</v>
      </c>
      <c r="R31" s="4">
        <f>Q31+'17'!R31</f>
        <v>2277</v>
      </c>
      <c r="S31" s="27">
        <f t="shared" si="5"/>
        <v>0.442221790638959</v>
      </c>
      <c r="T31" s="12"/>
      <c r="U31" s="12">
        <f>T31+'17'!U31</f>
        <v>277</v>
      </c>
      <c r="V31" s="12"/>
      <c r="W31" s="12">
        <f>V31+'17'!W31</f>
        <v>3</v>
      </c>
      <c r="X31" s="12"/>
      <c r="Y31" s="12">
        <f>X31+'17'!Y31</f>
        <v>0</v>
      </c>
      <c r="AB31" s="5">
        <v>21</v>
      </c>
      <c r="AC31" s="26" t="str">
        <f>'17'!AC31</f>
        <v>طــــــــــــه شبرا</v>
      </c>
      <c r="AD31" s="28">
        <f>'17'!AI31</f>
        <v>216</v>
      </c>
      <c r="AE31" s="3"/>
      <c r="AF31" s="28">
        <f>AE31+'17'!AF31</f>
        <v>452</v>
      </c>
      <c r="AG31" s="4"/>
      <c r="AH31" s="28">
        <f>AG31+'17'!AH31</f>
        <v>236</v>
      </c>
      <c r="AI31" s="4">
        <f t="shared" si="6"/>
        <v>216</v>
      </c>
      <c r="AJ31" s="11" t="e">
        <f t="shared" si="0"/>
        <v>#DIV/0!</v>
      </c>
      <c r="AK31" s="53">
        <f t="shared" si="1"/>
        <v>9.648305084745763</v>
      </c>
      <c r="AW31" s="26" t="str">
        <f>'17'!AW31</f>
        <v>طــــــــــــه شبرا</v>
      </c>
      <c r="AX31" s="12">
        <f>'17'!AX31</f>
        <v>6</v>
      </c>
      <c r="AY31" s="12">
        <f>'17'!AY31</f>
        <v>2219</v>
      </c>
      <c r="AZ31" s="12"/>
      <c r="BA31" s="12"/>
      <c r="BB31" s="12">
        <f>BA31+'17'!BB31</f>
        <v>1367</v>
      </c>
      <c r="BC31" s="30">
        <f t="shared" si="2"/>
        <v>0.61604326273095988</v>
      </c>
      <c r="BD31" s="12">
        <f>'17'!BD31</f>
        <v>8</v>
      </c>
      <c r="BE31" s="12">
        <f>'17'!BE31</f>
        <v>748</v>
      </c>
      <c r="BF31" s="12"/>
      <c r="BG31" s="12"/>
      <c r="BH31" s="12">
        <f>BG31+'17'!BH31</f>
        <v>690</v>
      </c>
      <c r="BI31" s="30">
        <f t="shared" si="3"/>
        <v>0.92245989304812837</v>
      </c>
    </row>
    <row r="32" spans="1:61" ht="28.9" customHeight="1" x14ac:dyDescent="0.35">
      <c r="A32" s="5">
        <v>22</v>
      </c>
      <c r="B32" s="26" t="str">
        <f>'17'!B32</f>
        <v>أشـــــــــــــــــليم</v>
      </c>
      <c r="C32" s="26">
        <f>'17'!C32</f>
        <v>2638</v>
      </c>
      <c r="D32" s="26"/>
      <c r="E32" s="12"/>
      <c r="F32" s="2">
        <f>E32+'17'!F32</f>
        <v>19</v>
      </c>
      <c r="G32" s="2"/>
      <c r="H32" s="2">
        <f>G32+'17'!H32</f>
        <v>606</v>
      </c>
      <c r="I32" s="2"/>
      <c r="J32" s="2">
        <f>I32+'17'!J32</f>
        <v>1522</v>
      </c>
      <c r="K32" s="2"/>
      <c r="L32" s="2">
        <f>K32+'17'!L32</f>
        <v>0</v>
      </c>
      <c r="M32" s="2"/>
      <c r="N32" s="2">
        <f>M32+'17'!N32</f>
        <v>0</v>
      </c>
      <c r="O32" s="2"/>
      <c r="P32" s="2">
        <f>O32+'17'!P32</f>
        <v>0</v>
      </c>
      <c r="Q32" s="4">
        <f t="shared" si="4"/>
        <v>0</v>
      </c>
      <c r="R32" s="4">
        <f>Q32+'17'!R32</f>
        <v>2147</v>
      </c>
      <c r="S32" s="27">
        <f t="shared" si="5"/>
        <v>0.81387414708112205</v>
      </c>
      <c r="T32" s="12"/>
      <c r="U32" s="12">
        <f>T32+'17'!U32</f>
        <v>149</v>
      </c>
      <c r="V32" s="12"/>
      <c r="W32" s="12">
        <f>V32+'17'!W32</f>
        <v>119</v>
      </c>
      <c r="X32" s="12"/>
      <c r="Y32" s="12">
        <f>X32+'17'!Y32</f>
        <v>0</v>
      </c>
      <c r="AB32" s="5">
        <v>22</v>
      </c>
      <c r="AC32" s="26" t="str">
        <f>'17'!AC32</f>
        <v>أشـــــــــــــــــليم</v>
      </c>
      <c r="AD32" s="28">
        <f>'17'!AI32</f>
        <v>31</v>
      </c>
      <c r="AE32" s="3"/>
      <c r="AF32" s="28">
        <f>AE32+'17'!AF32</f>
        <v>252</v>
      </c>
      <c r="AG32" s="4"/>
      <c r="AH32" s="28">
        <f>AG32+'17'!AH32</f>
        <v>221</v>
      </c>
      <c r="AI32" s="4">
        <f t="shared" si="6"/>
        <v>31</v>
      </c>
      <c r="AJ32" s="11" t="e">
        <f t="shared" si="0"/>
        <v>#DIV/0!</v>
      </c>
      <c r="AK32" s="53">
        <f t="shared" si="1"/>
        <v>9.7149321266968318</v>
      </c>
      <c r="AW32" s="26" t="str">
        <f>'17'!AW32</f>
        <v>أشـــــــــــــــــليم</v>
      </c>
      <c r="AX32" s="12">
        <f>'17'!AX32</f>
        <v>8</v>
      </c>
      <c r="AY32" s="12">
        <f>'17'!AY32</f>
        <v>1819</v>
      </c>
      <c r="AZ32" s="12"/>
      <c r="BA32" s="12"/>
      <c r="BB32" s="12">
        <f>BA32+'17'!BB32</f>
        <v>1506</v>
      </c>
      <c r="BC32" s="30">
        <f t="shared" si="2"/>
        <v>0.82792743265530511</v>
      </c>
      <c r="BD32" s="12">
        <f>'17'!BD32</f>
        <v>7</v>
      </c>
      <c r="BE32" s="12">
        <f>'17'!BE32</f>
        <v>176</v>
      </c>
      <c r="BF32" s="12"/>
      <c r="BG32" s="12"/>
      <c r="BH32" s="12">
        <f>BG32+'17'!BH32</f>
        <v>531</v>
      </c>
      <c r="BI32" s="30">
        <f t="shared" si="3"/>
        <v>3.0170454545454546</v>
      </c>
    </row>
    <row r="33" spans="1:61" ht="28.9" customHeight="1" x14ac:dyDescent="0.35">
      <c r="A33" s="5">
        <v>23</v>
      </c>
      <c r="B33" s="26" t="str">
        <f>'17'!B33</f>
        <v>شبرا قبالــــــــــه</v>
      </c>
      <c r="C33" s="26">
        <f>'17'!C33</f>
        <v>2050</v>
      </c>
      <c r="D33" s="26"/>
      <c r="E33" s="12"/>
      <c r="F33" s="2">
        <f>E33+'17'!F33</f>
        <v>23</v>
      </c>
      <c r="G33" s="2"/>
      <c r="H33" s="2">
        <f>G33+'17'!H33</f>
        <v>644</v>
      </c>
      <c r="I33" s="2"/>
      <c r="J33" s="2">
        <f>I33+'17'!J33</f>
        <v>773</v>
      </c>
      <c r="K33" s="2"/>
      <c r="L33" s="2">
        <f>K33+'17'!L33</f>
        <v>0</v>
      </c>
      <c r="M33" s="2"/>
      <c r="N33" s="2">
        <f>M33+'17'!N33</f>
        <v>0</v>
      </c>
      <c r="O33" s="2"/>
      <c r="P33" s="2">
        <f>O33+'17'!P33</f>
        <v>0</v>
      </c>
      <c r="Q33" s="4">
        <f t="shared" si="4"/>
        <v>0</v>
      </c>
      <c r="R33" s="4">
        <f>Q33+'17'!R33</f>
        <v>1440</v>
      </c>
      <c r="S33" s="27">
        <f t="shared" si="5"/>
        <v>0.70243902439024386</v>
      </c>
      <c r="T33" s="12"/>
      <c r="U33" s="12">
        <f>T33+'17'!U33</f>
        <v>96</v>
      </c>
      <c r="V33" s="12"/>
      <c r="W33" s="12">
        <f>V33+'17'!W33</f>
        <v>64</v>
      </c>
      <c r="X33" s="12"/>
      <c r="Y33" s="12">
        <f>X33+'17'!Y33</f>
        <v>0</v>
      </c>
      <c r="AB33" s="5">
        <v>23</v>
      </c>
      <c r="AC33" s="26" t="str">
        <f>'17'!AC33</f>
        <v>شبرا قبالــــــــــه</v>
      </c>
      <c r="AD33" s="28">
        <f>'17'!AI33</f>
        <v>36</v>
      </c>
      <c r="AE33" s="3"/>
      <c r="AF33" s="28">
        <f>AE33+'17'!AF33</f>
        <v>180</v>
      </c>
      <c r="AG33" s="4"/>
      <c r="AH33" s="28">
        <f>AG33+'17'!AH33</f>
        <v>144</v>
      </c>
      <c r="AI33" s="4">
        <f t="shared" si="6"/>
        <v>36</v>
      </c>
      <c r="AJ33" s="11" t="e">
        <f t="shared" si="0"/>
        <v>#DIV/0!</v>
      </c>
      <c r="AK33" s="53">
        <f t="shared" si="1"/>
        <v>10</v>
      </c>
      <c r="AW33" s="26" t="str">
        <f>'17'!AW33</f>
        <v>شبرا قبالــــــــــه</v>
      </c>
      <c r="AX33" s="12">
        <f>'17'!AX33</f>
        <v>1</v>
      </c>
      <c r="AY33" s="12">
        <f>'17'!AY33</f>
        <v>918</v>
      </c>
      <c r="AZ33" s="12"/>
      <c r="BA33" s="12"/>
      <c r="BB33" s="12">
        <f>BA33+'17'!BB33</f>
        <v>780</v>
      </c>
      <c r="BC33" s="30">
        <f t="shared" si="2"/>
        <v>0.84967320261437906</v>
      </c>
      <c r="BD33" s="12">
        <f>'17'!BD33</f>
        <v>5</v>
      </c>
      <c r="BE33" s="12">
        <f>'17'!BE33</f>
        <v>375</v>
      </c>
      <c r="BF33" s="12"/>
      <c r="BG33" s="12"/>
      <c r="BH33" s="12">
        <f>BG33+'17'!BH33</f>
        <v>430</v>
      </c>
      <c r="BI33" s="30">
        <f t="shared" si="3"/>
        <v>1.1466666666666667</v>
      </c>
    </row>
    <row r="34" spans="1:61" ht="28.9" customHeight="1" x14ac:dyDescent="0.35">
      <c r="A34" s="5">
        <v>24</v>
      </c>
      <c r="B34" s="26" t="str">
        <f>'17'!B34</f>
        <v>عرب الرمـــــــل</v>
      </c>
      <c r="C34" s="26">
        <f>'17'!C34</f>
        <v>5755</v>
      </c>
      <c r="D34" s="26"/>
      <c r="E34" s="12"/>
      <c r="F34" s="2">
        <f>E34+'17'!F34</f>
        <v>22</v>
      </c>
      <c r="G34" s="2"/>
      <c r="H34" s="2">
        <f>G34+'17'!H34</f>
        <v>1011</v>
      </c>
      <c r="I34" s="2"/>
      <c r="J34" s="2">
        <f>I34+'17'!J34</f>
        <v>1364</v>
      </c>
      <c r="K34" s="2"/>
      <c r="L34" s="2">
        <f>K34+'17'!L34</f>
        <v>0</v>
      </c>
      <c r="M34" s="2"/>
      <c r="N34" s="2">
        <f>M34+'17'!N34</f>
        <v>0</v>
      </c>
      <c r="O34" s="2"/>
      <c r="P34" s="2">
        <f>O34+'17'!P34</f>
        <v>0</v>
      </c>
      <c r="Q34" s="4">
        <f t="shared" si="4"/>
        <v>0</v>
      </c>
      <c r="R34" s="4">
        <f>Q34+'17'!R34</f>
        <v>2397</v>
      </c>
      <c r="S34" s="27">
        <f t="shared" si="5"/>
        <v>0.41650738488271066</v>
      </c>
      <c r="T34" s="12"/>
      <c r="U34" s="12">
        <f>T34+'17'!U34</f>
        <v>562</v>
      </c>
      <c r="V34" s="12"/>
      <c r="W34" s="12">
        <f>V34+'17'!W34</f>
        <v>41</v>
      </c>
      <c r="X34" s="12"/>
      <c r="Y34" s="12">
        <f>X34+'17'!Y34</f>
        <v>0</v>
      </c>
      <c r="AB34" s="5">
        <v>24</v>
      </c>
      <c r="AC34" s="26" t="str">
        <f>'17'!AC34</f>
        <v>عرب الرمـــــــل</v>
      </c>
      <c r="AD34" s="28">
        <f>'17'!AI34</f>
        <v>263</v>
      </c>
      <c r="AE34" s="3"/>
      <c r="AF34" s="28">
        <f>AE34+'17'!AF34</f>
        <v>505</v>
      </c>
      <c r="AG34" s="4"/>
      <c r="AH34" s="28">
        <f>AG34+'17'!AH34</f>
        <v>242</v>
      </c>
      <c r="AI34" s="4">
        <f t="shared" si="6"/>
        <v>263</v>
      </c>
      <c r="AJ34" s="11" t="e">
        <f t="shared" si="0"/>
        <v>#DIV/0!</v>
      </c>
      <c r="AK34" s="53">
        <f t="shared" si="1"/>
        <v>9.9049586776859506</v>
      </c>
      <c r="AW34" s="26" t="str">
        <f>'17'!AW34</f>
        <v>عرب الرمـــــــل</v>
      </c>
      <c r="AX34" s="12">
        <f>'17'!AX34</f>
        <v>6</v>
      </c>
      <c r="AY34" s="12">
        <f>'17'!AY34</f>
        <v>2210</v>
      </c>
      <c r="AZ34" s="12"/>
      <c r="BA34" s="12"/>
      <c r="BB34" s="12">
        <f>BA34+'17'!BB34</f>
        <v>1456</v>
      </c>
      <c r="BC34" s="30">
        <f t="shared" si="2"/>
        <v>0.6588235294117647</v>
      </c>
      <c r="BD34" s="12">
        <f>'17'!BD34</f>
        <v>9</v>
      </c>
      <c r="BE34" s="12">
        <f>'17'!BE34</f>
        <v>932</v>
      </c>
      <c r="BF34" s="12"/>
      <c r="BG34" s="12"/>
      <c r="BH34" s="12">
        <f>BG34+'17'!BH34</f>
        <v>941</v>
      </c>
      <c r="BI34" s="30">
        <f t="shared" si="3"/>
        <v>1.0096566523605151</v>
      </c>
    </row>
    <row r="35" spans="1:61" ht="28.9" customHeight="1" x14ac:dyDescent="0.35">
      <c r="A35" s="5">
        <v>25</v>
      </c>
      <c r="B35" s="26" t="str">
        <f>'17'!B35</f>
        <v>كفر ميت سراج</v>
      </c>
      <c r="C35" s="26">
        <f>'17'!C35</f>
        <v>1840</v>
      </c>
      <c r="D35" s="26"/>
      <c r="E35" s="12"/>
      <c r="F35" s="2">
        <f>E35+'17'!F35</f>
        <v>8</v>
      </c>
      <c r="G35" s="2"/>
      <c r="H35" s="2">
        <f>G35+'17'!H35</f>
        <v>386</v>
      </c>
      <c r="I35" s="2"/>
      <c r="J35" s="2">
        <f>I35+'17'!J35</f>
        <v>773</v>
      </c>
      <c r="K35" s="2"/>
      <c r="L35" s="2">
        <f>K35+'17'!L35</f>
        <v>0</v>
      </c>
      <c r="M35" s="2"/>
      <c r="N35" s="2">
        <f>M35+'17'!N35</f>
        <v>0</v>
      </c>
      <c r="O35" s="2"/>
      <c r="P35" s="2">
        <f>O35+'17'!P35</f>
        <v>0</v>
      </c>
      <c r="Q35" s="4">
        <f t="shared" si="4"/>
        <v>0</v>
      </c>
      <c r="R35" s="4">
        <f>Q35+'17'!R35</f>
        <v>1167</v>
      </c>
      <c r="S35" s="27">
        <f t="shared" si="5"/>
        <v>0.63423913043478264</v>
      </c>
      <c r="T35" s="12"/>
      <c r="U35" s="12">
        <f>T35+'17'!U35</f>
        <v>174</v>
      </c>
      <c r="V35" s="12"/>
      <c r="W35" s="12">
        <f>V35+'17'!W35</f>
        <v>11</v>
      </c>
      <c r="X35" s="12"/>
      <c r="Y35" s="12">
        <f>X35+'17'!Y35</f>
        <v>0</v>
      </c>
      <c r="AB35" s="5">
        <v>25</v>
      </c>
      <c r="AC35" s="26" t="str">
        <f>'17'!AC35</f>
        <v>كفر ميت سراج</v>
      </c>
      <c r="AD35" s="28">
        <f>'17'!AI35</f>
        <v>41</v>
      </c>
      <c r="AE35" s="3"/>
      <c r="AF35" s="28">
        <f>AE35+'17'!AF35</f>
        <v>162</v>
      </c>
      <c r="AG35" s="4"/>
      <c r="AH35" s="28">
        <f>AG35+'17'!AH35</f>
        <v>121</v>
      </c>
      <c r="AI35" s="4">
        <f t="shared" si="6"/>
        <v>41</v>
      </c>
      <c r="AJ35" s="11" t="e">
        <f t="shared" si="0"/>
        <v>#DIV/0!</v>
      </c>
      <c r="AK35" s="53">
        <f t="shared" si="1"/>
        <v>9.6446280991735538</v>
      </c>
      <c r="AW35" s="26" t="str">
        <f>'17'!AW35</f>
        <v>كفر ميت سراج</v>
      </c>
      <c r="AX35" s="12">
        <f>'17'!AX35</f>
        <v>3</v>
      </c>
      <c r="AY35" s="12">
        <f>'17'!AY35</f>
        <v>1011</v>
      </c>
      <c r="AZ35" s="12"/>
      <c r="BA35" s="12"/>
      <c r="BB35" s="12">
        <f>BA35+'17'!BB35</f>
        <v>773</v>
      </c>
      <c r="BC35" s="30">
        <f t="shared" si="2"/>
        <v>0.76458951533135511</v>
      </c>
      <c r="BD35" s="12">
        <f>'17'!BD35</f>
        <v>4</v>
      </c>
      <c r="BE35" s="12">
        <f>'17'!BE35</f>
        <v>413</v>
      </c>
      <c r="BF35" s="12"/>
      <c r="BG35" s="12"/>
      <c r="BH35" s="12">
        <f>BG35+'17'!BH35</f>
        <v>232</v>
      </c>
      <c r="BI35" s="30">
        <f t="shared" si="3"/>
        <v>0.56174334140435833</v>
      </c>
    </row>
    <row r="36" spans="1:61" ht="28.9" customHeight="1" x14ac:dyDescent="0.35">
      <c r="A36" s="5">
        <v>26</v>
      </c>
      <c r="B36" s="26" t="str">
        <f>'17'!B36</f>
        <v>كفر أبشيش</v>
      </c>
      <c r="C36" s="26">
        <f>'17'!C36</f>
        <v>1345</v>
      </c>
      <c r="D36" s="26"/>
      <c r="E36" s="12"/>
      <c r="F36" s="2">
        <f>E36+'17'!F36</f>
        <v>14</v>
      </c>
      <c r="G36" s="2"/>
      <c r="H36" s="2">
        <f>G36+'17'!H36</f>
        <v>207</v>
      </c>
      <c r="I36" s="2"/>
      <c r="J36" s="2">
        <f>I36+'17'!J36</f>
        <v>725</v>
      </c>
      <c r="K36" s="2"/>
      <c r="L36" s="2">
        <f>K36+'17'!L36</f>
        <v>0</v>
      </c>
      <c r="M36" s="2"/>
      <c r="N36" s="2">
        <f>M36+'17'!N36</f>
        <v>0</v>
      </c>
      <c r="O36" s="2"/>
      <c r="P36" s="2">
        <f>O36+'17'!P36</f>
        <v>0</v>
      </c>
      <c r="Q36" s="4">
        <f t="shared" si="4"/>
        <v>0</v>
      </c>
      <c r="R36" s="4">
        <f>Q36+'17'!R36</f>
        <v>946</v>
      </c>
      <c r="S36" s="27">
        <f t="shared" si="5"/>
        <v>0.70334572490706315</v>
      </c>
      <c r="T36" s="12"/>
      <c r="U36" s="12">
        <f>T36+'17'!U36</f>
        <v>113</v>
      </c>
      <c r="V36" s="12"/>
      <c r="W36" s="12">
        <f>V36+'17'!W36</f>
        <v>4</v>
      </c>
      <c r="X36" s="12"/>
      <c r="Y36" s="12">
        <f>X36+'17'!Y36</f>
        <v>0</v>
      </c>
      <c r="AB36" s="5">
        <v>26</v>
      </c>
      <c r="AC36" s="26" t="str">
        <f>'17'!AC36</f>
        <v>كفر أبشيش</v>
      </c>
      <c r="AD36" s="28">
        <f>'17'!AI36</f>
        <v>24</v>
      </c>
      <c r="AE36" s="3"/>
      <c r="AF36" s="28">
        <f>AE36+'17'!AF36</f>
        <v>119</v>
      </c>
      <c r="AG36" s="4"/>
      <c r="AH36" s="28">
        <f>AG36+'17'!AH36</f>
        <v>95</v>
      </c>
      <c r="AI36" s="4">
        <f t="shared" si="6"/>
        <v>24</v>
      </c>
      <c r="AJ36" s="11" t="e">
        <f t="shared" si="0"/>
        <v>#DIV/0!</v>
      </c>
      <c r="AK36" s="53">
        <f t="shared" si="1"/>
        <v>9.9578947368421051</v>
      </c>
      <c r="AW36" s="26" t="str">
        <f>'17'!AW36</f>
        <v>كفر أبشيش</v>
      </c>
      <c r="AX36" s="12">
        <f>'17'!AX36</f>
        <v>1</v>
      </c>
      <c r="AY36" s="12">
        <f>'17'!AY36</f>
        <v>860</v>
      </c>
      <c r="AZ36" s="12"/>
      <c r="BA36" s="12"/>
      <c r="BB36" s="12">
        <f>BA36+'17'!BB36</f>
        <v>730</v>
      </c>
      <c r="BC36" s="30">
        <f t="shared" si="2"/>
        <v>0.84883720930232553</v>
      </c>
      <c r="BD36" s="12">
        <f>'17'!BD36</f>
        <v>4</v>
      </c>
      <c r="BE36" s="12">
        <f>'17'!BE36</f>
        <v>194</v>
      </c>
      <c r="BF36" s="12"/>
      <c r="BG36" s="12"/>
      <c r="BH36" s="12">
        <f>BG36+'17'!BH36</f>
        <v>0</v>
      </c>
      <c r="BI36" s="30">
        <f t="shared" si="3"/>
        <v>0</v>
      </c>
    </row>
    <row r="37" spans="1:61" ht="28.9" customHeight="1" x14ac:dyDescent="0.35">
      <c r="A37" s="5">
        <v>27</v>
      </c>
      <c r="B37" s="26" t="str">
        <f>'17'!B37</f>
        <v>كفر ميت العبسى</v>
      </c>
      <c r="C37" s="26">
        <f>'17'!C37</f>
        <v>1180</v>
      </c>
      <c r="D37" s="26"/>
      <c r="E37" s="12"/>
      <c r="F37" s="2">
        <f>E37+'17'!F37</f>
        <v>12</v>
      </c>
      <c r="G37" s="2"/>
      <c r="H37" s="2">
        <f>G37+'17'!H37</f>
        <v>248</v>
      </c>
      <c r="I37" s="2"/>
      <c r="J37" s="2">
        <f>I37+'17'!J37</f>
        <v>443</v>
      </c>
      <c r="K37" s="2"/>
      <c r="L37" s="2">
        <f>K37+'17'!L37</f>
        <v>0</v>
      </c>
      <c r="M37" s="2"/>
      <c r="N37" s="2">
        <f>M37+'17'!N37</f>
        <v>0</v>
      </c>
      <c r="O37" s="2"/>
      <c r="P37" s="2">
        <f>O37+'17'!P37</f>
        <v>0</v>
      </c>
      <c r="Q37" s="4">
        <f t="shared" si="4"/>
        <v>0</v>
      </c>
      <c r="R37" s="4">
        <f>Q37+'17'!R37</f>
        <v>703</v>
      </c>
      <c r="S37" s="27">
        <f t="shared" si="5"/>
        <v>0.59576271186440677</v>
      </c>
      <c r="T37" s="12"/>
      <c r="U37" s="12">
        <f>T37+'17'!U37</f>
        <v>53</v>
      </c>
      <c r="V37" s="12"/>
      <c r="W37" s="12">
        <f>V37+'17'!W37</f>
        <v>11</v>
      </c>
      <c r="X37" s="12"/>
      <c r="Y37" s="12">
        <f>X37+'17'!Y37</f>
        <v>0</v>
      </c>
      <c r="AB37" s="5">
        <v>27</v>
      </c>
      <c r="AC37" s="26" t="str">
        <f>'17'!AC37</f>
        <v>كفر ميت العبسى</v>
      </c>
      <c r="AD37" s="28">
        <f>'17'!AI37</f>
        <v>33</v>
      </c>
      <c r="AE37" s="3"/>
      <c r="AF37" s="28">
        <f>AE37+'17'!AF37</f>
        <v>104</v>
      </c>
      <c r="AG37" s="4"/>
      <c r="AH37" s="28">
        <f>AG37+'17'!AH37</f>
        <v>71</v>
      </c>
      <c r="AI37" s="4">
        <f t="shared" si="6"/>
        <v>33</v>
      </c>
      <c r="AJ37" s="11" t="e">
        <f t="shared" si="0"/>
        <v>#DIV/0!</v>
      </c>
      <c r="AK37" s="53">
        <f t="shared" si="1"/>
        <v>9.9014084507042259</v>
      </c>
      <c r="AW37" s="26" t="str">
        <f>'17'!AW37</f>
        <v>كفر ميت العبسى</v>
      </c>
      <c r="AX37" s="12">
        <f>'17'!AX37</f>
        <v>2</v>
      </c>
      <c r="AY37" s="12">
        <f>'17'!AY37</f>
        <v>494</v>
      </c>
      <c r="AZ37" s="12"/>
      <c r="BA37" s="12"/>
      <c r="BB37" s="12">
        <f>BA37+'17'!BB37</f>
        <v>418</v>
      </c>
      <c r="BC37" s="30">
        <f t="shared" si="2"/>
        <v>0.84615384615384615</v>
      </c>
      <c r="BD37" s="12">
        <f>'17'!BD37</f>
        <v>4</v>
      </c>
      <c r="BE37" s="12">
        <f>'17'!BE37</f>
        <v>114</v>
      </c>
      <c r="BF37" s="12"/>
      <c r="BG37" s="12"/>
      <c r="BH37" s="12">
        <f>BG37+'17'!BH37</f>
        <v>73</v>
      </c>
      <c r="BI37" s="30">
        <f t="shared" si="3"/>
        <v>0.64035087719298245</v>
      </c>
    </row>
    <row r="38" spans="1:61" ht="28.9" customHeight="1" x14ac:dyDescent="0.35">
      <c r="A38" s="5">
        <v>28</v>
      </c>
      <c r="B38" s="26" t="str">
        <f>'17'!B38</f>
        <v>كفر وهــــــــــب</v>
      </c>
      <c r="C38" s="26">
        <f>'17'!C38</f>
        <v>1854.9999999999998</v>
      </c>
      <c r="D38" s="26"/>
      <c r="E38" s="12"/>
      <c r="F38" s="2">
        <f>E38+'17'!F38</f>
        <v>7</v>
      </c>
      <c r="G38" s="2"/>
      <c r="H38" s="2">
        <f>G38+'17'!H38</f>
        <v>265</v>
      </c>
      <c r="I38" s="2"/>
      <c r="J38" s="2">
        <f>I38+'17'!J38</f>
        <v>618</v>
      </c>
      <c r="K38" s="2"/>
      <c r="L38" s="2">
        <f>K38+'17'!L38</f>
        <v>0</v>
      </c>
      <c r="M38" s="2"/>
      <c r="N38" s="2">
        <f>M38+'17'!N38</f>
        <v>0</v>
      </c>
      <c r="O38" s="2"/>
      <c r="P38" s="2">
        <f>O38+'17'!P38</f>
        <v>0</v>
      </c>
      <c r="Q38" s="4">
        <f t="shared" si="4"/>
        <v>0</v>
      </c>
      <c r="R38" s="4">
        <f>Q38+'17'!R38</f>
        <v>890</v>
      </c>
      <c r="S38" s="27">
        <f t="shared" si="5"/>
        <v>0.47978436657681944</v>
      </c>
      <c r="T38" s="12"/>
      <c r="U38" s="12">
        <f>T38+'17'!U38</f>
        <v>123</v>
      </c>
      <c r="V38" s="12"/>
      <c r="W38" s="12">
        <f>V38+'17'!W38</f>
        <v>7</v>
      </c>
      <c r="X38" s="12"/>
      <c r="Y38" s="12">
        <f>X38+'17'!Y38</f>
        <v>0</v>
      </c>
      <c r="AB38" s="5">
        <v>28</v>
      </c>
      <c r="AC38" s="26" t="str">
        <f>'17'!AC38</f>
        <v>كفر وهــــــــــب</v>
      </c>
      <c r="AD38" s="28">
        <f>'17'!AI38</f>
        <v>72</v>
      </c>
      <c r="AE38" s="3"/>
      <c r="AF38" s="28">
        <f>AE38+'17'!AF38</f>
        <v>163</v>
      </c>
      <c r="AG38" s="4"/>
      <c r="AH38" s="28">
        <f>AG38+'17'!AH38</f>
        <v>91</v>
      </c>
      <c r="AI38" s="4">
        <f t="shared" si="6"/>
        <v>72</v>
      </c>
      <c r="AJ38" s="11" t="e">
        <f t="shared" si="0"/>
        <v>#DIV/0!</v>
      </c>
      <c r="AK38" s="53">
        <f t="shared" si="1"/>
        <v>9.780219780219781</v>
      </c>
      <c r="AW38" s="26" t="str">
        <f>'17'!AW38</f>
        <v>كفر وهــــــــــب</v>
      </c>
      <c r="AX38" s="12">
        <f>'17'!AX38</f>
        <v>2</v>
      </c>
      <c r="AY38" s="12">
        <f>'17'!AY38</f>
        <v>793</v>
      </c>
      <c r="AZ38" s="12"/>
      <c r="BA38" s="12"/>
      <c r="BB38" s="12">
        <f>BA38+'17'!BB38</f>
        <v>623</v>
      </c>
      <c r="BC38" s="30">
        <f t="shared" si="2"/>
        <v>0.78562421185372</v>
      </c>
      <c r="BD38" s="12">
        <f>'17'!BD38</f>
        <v>3</v>
      </c>
      <c r="BE38" s="12">
        <f>'17'!BE38</f>
        <v>180</v>
      </c>
      <c r="BF38" s="12"/>
      <c r="BG38" s="12"/>
      <c r="BH38" s="12">
        <f>BG38+'17'!BH38</f>
        <v>160</v>
      </c>
      <c r="BI38" s="30">
        <f t="shared" si="3"/>
        <v>0.88888888888888884</v>
      </c>
    </row>
    <row r="39" spans="1:61" ht="28.9" customHeight="1" x14ac:dyDescent="0.35">
      <c r="A39" s="5">
        <v>29</v>
      </c>
      <c r="B39" s="26" t="str">
        <f>'17'!B39</f>
        <v>دمــــــــــــــهوج</v>
      </c>
      <c r="C39" s="26">
        <f>'17'!C39</f>
        <v>2738</v>
      </c>
      <c r="D39" s="26"/>
      <c r="E39" s="12"/>
      <c r="F39" s="2">
        <f>E39+'17'!F39</f>
        <v>11</v>
      </c>
      <c r="G39" s="2"/>
      <c r="H39" s="2">
        <f>G39+'17'!H39</f>
        <v>437</v>
      </c>
      <c r="I39" s="2"/>
      <c r="J39" s="2">
        <f>I39+'17'!J39</f>
        <v>832</v>
      </c>
      <c r="K39" s="2"/>
      <c r="L39" s="2">
        <f>K39+'17'!L39</f>
        <v>0</v>
      </c>
      <c r="M39" s="2"/>
      <c r="N39" s="2">
        <f>M39+'17'!N39</f>
        <v>0</v>
      </c>
      <c r="O39" s="2"/>
      <c r="P39" s="2">
        <f>O39+'17'!P39</f>
        <v>0</v>
      </c>
      <c r="Q39" s="4">
        <f t="shared" si="4"/>
        <v>0</v>
      </c>
      <c r="R39" s="4">
        <f>Q39+'17'!R39</f>
        <v>1280</v>
      </c>
      <c r="S39" s="27">
        <f t="shared" si="5"/>
        <v>0.46749452154857563</v>
      </c>
      <c r="T39" s="12"/>
      <c r="U39" s="12">
        <f>T39+'17'!U39</f>
        <v>158</v>
      </c>
      <c r="V39" s="12"/>
      <c r="W39" s="12">
        <f>V39+'17'!W39</f>
        <v>7</v>
      </c>
      <c r="X39" s="12"/>
      <c r="Y39" s="12">
        <f>X39+'17'!Y39</f>
        <v>0</v>
      </c>
      <c r="AB39" s="5">
        <v>29</v>
      </c>
      <c r="AC39" s="26" t="str">
        <f>'17'!AC39</f>
        <v>دمــــــــــــــهوج</v>
      </c>
      <c r="AD39" s="28">
        <f>'17'!AI39</f>
        <v>109</v>
      </c>
      <c r="AE39" s="3"/>
      <c r="AF39" s="28">
        <f>AE39+'17'!AF39</f>
        <v>240</v>
      </c>
      <c r="AG39" s="4"/>
      <c r="AH39" s="28">
        <f>AG39+'17'!AH39</f>
        <v>131</v>
      </c>
      <c r="AI39" s="4">
        <f t="shared" si="6"/>
        <v>109</v>
      </c>
      <c r="AJ39" s="11" t="e">
        <f t="shared" si="0"/>
        <v>#DIV/0!</v>
      </c>
      <c r="AK39" s="53">
        <f t="shared" si="1"/>
        <v>9.770992366412214</v>
      </c>
      <c r="AW39" s="26" t="str">
        <f>'17'!AW39</f>
        <v>دمــــــــــــــهوج</v>
      </c>
      <c r="AX39" s="12">
        <f>'17'!AX39</f>
        <v>2</v>
      </c>
      <c r="AY39" s="12">
        <f>'17'!AY39</f>
        <v>1086</v>
      </c>
      <c r="AZ39" s="12"/>
      <c r="BA39" s="12"/>
      <c r="BB39" s="12">
        <f>BA39+'17'!BB39</f>
        <v>834</v>
      </c>
      <c r="BC39" s="30">
        <f t="shared" si="2"/>
        <v>0.76795580110497241</v>
      </c>
      <c r="BD39" s="12">
        <f>'17'!BD39</f>
        <v>10</v>
      </c>
      <c r="BE39" s="12">
        <f>'17'!BE39</f>
        <v>455</v>
      </c>
      <c r="BF39" s="12"/>
      <c r="BG39" s="12"/>
      <c r="BH39" s="12">
        <f>BG39+'17'!BH39</f>
        <v>439</v>
      </c>
      <c r="BI39" s="30">
        <f t="shared" si="3"/>
        <v>0.96483516483516485</v>
      </c>
    </row>
    <row r="40" spans="1:61" ht="28.9" customHeight="1" x14ac:dyDescent="0.35">
      <c r="A40" s="5">
        <v>30</v>
      </c>
      <c r="B40" s="26" t="str">
        <f>'17'!B40</f>
        <v>كفر زين الدين</v>
      </c>
      <c r="C40" s="26">
        <f>'17'!C40</f>
        <v>819</v>
      </c>
      <c r="D40" s="26"/>
      <c r="E40" s="12"/>
      <c r="F40" s="2">
        <f>E40+'17'!F40</f>
        <v>9</v>
      </c>
      <c r="G40" s="2"/>
      <c r="H40" s="2">
        <f>G40+'17'!H40</f>
        <v>266</v>
      </c>
      <c r="I40" s="2"/>
      <c r="J40" s="2">
        <f>I40+'17'!J40</f>
        <v>430</v>
      </c>
      <c r="K40" s="2"/>
      <c r="L40" s="2">
        <f>K40+'17'!L40</f>
        <v>0</v>
      </c>
      <c r="M40" s="2"/>
      <c r="N40" s="2">
        <f>M40+'17'!N40</f>
        <v>0</v>
      </c>
      <c r="O40" s="2"/>
      <c r="P40" s="2">
        <f>O40+'17'!P40</f>
        <v>0</v>
      </c>
      <c r="Q40" s="4">
        <f t="shared" si="4"/>
        <v>0</v>
      </c>
      <c r="R40" s="4">
        <f>Q40+'17'!R40</f>
        <v>705</v>
      </c>
      <c r="S40" s="27">
        <f t="shared" si="5"/>
        <v>0.86080586080586086</v>
      </c>
      <c r="T40" s="12"/>
      <c r="U40" s="12">
        <f>T40+'17'!U40</f>
        <v>76</v>
      </c>
      <c r="V40" s="12"/>
      <c r="W40" s="12">
        <f>V40+'17'!W40</f>
        <v>26</v>
      </c>
      <c r="X40" s="12"/>
      <c r="Y40" s="12">
        <f>X40+'17'!Y40</f>
        <v>0</v>
      </c>
      <c r="AB40" s="5">
        <v>30</v>
      </c>
      <c r="AC40" s="26" t="str">
        <f>'17'!AC40</f>
        <v>كفر زين الدين</v>
      </c>
      <c r="AD40" s="28">
        <f>'17'!AI40</f>
        <v>9</v>
      </c>
      <c r="AE40" s="3"/>
      <c r="AF40" s="28">
        <f>AE40+'17'!AF40</f>
        <v>80</v>
      </c>
      <c r="AG40" s="4"/>
      <c r="AH40" s="28">
        <f>AG40+'17'!AH40</f>
        <v>71</v>
      </c>
      <c r="AI40" s="4">
        <f t="shared" si="6"/>
        <v>9</v>
      </c>
      <c r="AJ40" s="11" t="e">
        <f t="shared" si="0"/>
        <v>#DIV/0!</v>
      </c>
      <c r="AK40" s="53">
        <f t="shared" si="1"/>
        <v>9.929577464788732</v>
      </c>
      <c r="AW40" s="26" t="str">
        <f>'17'!AW40</f>
        <v>كفر زين الدين</v>
      </c>
      <c r="AX40" s="12">
        <f>'17'!AX40</f>
        <v>1</v>
      </c>
      <c r="AY40" s="12">
        <f>'17'!AY40</f>
        <v>563</v>
      </c>
      <c r="AZ40" s="12"/>
      <c r="BA40" s="12"/>
      <c r="BB40" s="12">
        <f>BA40+'17'!BB40</f>
        <v>364</v>
      </c>
      <c r="BC40" s="30">
        <f t="shared" si="2"/>
        <v>0.64653641207815271</v>
      </c>
      <c r="BD40" s="12">
        <f>'17'!BD40</f>
        <v>2</v>
      </c>
      <c r="BE40" s="12">
        <f>'17'!BE40</f>
        <v>87</v>
      </c>
      <c r="BF40" s="12"/>
      <c r="BG40" s="12"/>
      <c r="BH40" s="12">
        <f>BG40+'17'!BH40</f>
        <v>166</v>
      </c>
      <c r="BI40" s="30">
        <f t="shared" si="3"/>
        <v>1.9080459770114941</v>
      </c>
    </row>
    <row r="41" spans="1:61" ht="28.9" customHeight="1" x14ac:dyDescent="0.35">
      <c r="A41" s="5">
        <v>31</v>
      </c>
      <c r="B41" s="26" t="str">
        <f>'17'!B41</f>
        <v>عزبــة أبوالنصر</v>
      </c>
      <c r="C41" s="26">
        <f>'17'!C41</f>
        <v>410</v>
      </c>
      <c r="D41" s="26"/>
      <c r="E41" s="12"/>
      <c r="F41" s="2">
        <f>E41+'17'!F41</f>
        <v>10</v>
      </c>
      <c r="G41" s="2"/>
      <c r="H41" s="2">
        <f>G41+'17'!H41</f>
        <v>229</v>
      </c>
      <c r="I41" s="2"/>
      <c r="J41" s="2">
        <f>I41+'17'!J41</f>
        <v>120</v>
      </c>
      <c r="K41" s="2"/>
      <c r="L41" s="2">
        <f>K41+'17'!L41</f>
        <v>0</v>
      </c>
      <c r="M41" s="2"/>
      <c r="N41" s="2">
        <f>M41+'17'!N41</f>
        <v>0</v>
      </c>
      <c r="O41" s="2"/>
      <c r="P41" s="2">
        <f>O41+'17'!P41</f>
        <v>0</v>
      </c>
      <c r="Q41" s="4">
        <f t="shared" si="4"/>
        <v>0</v>
      </c>
      <c r="R41" s="4">
        <f>Q41+'17'!R41</f>
        <v>359</v>
      </c>
      <c r="S41" s="27">
        <f t="shared" si="5"/>
        <v>0.87560975609756098</v>
      </c>
      <c r="T41" s="12"/>
      <c r="U41" s="12">
        <f>T41+'17'!U41</f>
        <v>0</v>
      </c>
      <c r="V41" s="12"/>
      <c r="W41" s="12">
        <f>V41+'17'!W41</f>
        <v>0</v>
      </c>
      <c r="X41" s="12"/>
      <c r="Y41" s="12">
        <f>X41+'17'!Y41</f>
        <v>0</v>
      </c>
      <c r="AB41" s="5">
        <v>31</v>
      </c>
      <c r="AC41" s="26" t="str">
        <f>'17'!AC41</f>
        <v>عزبــة أبوالنصر</v>
      </c>
      <c r="AD41" s="28">
        <f>'17'!AI41</f>
        <v>4</v>
      </c>
      <c r="AE41" s="3"/>
      <c r="AF41" s="28">
        <f>AE41+'17'!AF41</f>
        <v>41</v>
      </c>
      <c r="AG41" s="4"/>
      <c r="AH41" s="28">
        <f>AG41+'17'!AH41</f>
        <v>37</v>
      </c>
      <c r="AI41" s="4">
        <f t="shared" si="6"/>
        <v>4</v>
      </c>
      <c r="AJ41" s="11" t="e">
        <f t="shared" si="0"/>
        <v>#DIV/0!</v>
      </c>
      <c r="AK41" s="53">
        <f t="shared" si="1"/>
        <v>9.7027027027027035</v>
      </c>
      <c r="AW41" s="26" t="str">
        <f>'17'!AW41</f>
        <v>عزبــة أبوالنصر</v>
      </c>
      <c r="AX41" s="12">
        <f>'17'!AX41</f>
        <v>2</v>
      </c>
      <c r="AY41" s="12">
        <f>'17'!AY41</f>
        <v>70</v>
      </c>
      <c r="AZ41" s="12"/>
      <c r="BA41" s="12"/>
      <c r="BB41" s="12">
        <f>BA41+'17'!BB41</f>
        <v>65</v>
      </c>
      <c r="BC41" s="30">
        <f t="shared" si="2"/>
        <v>0.9285714285714286</v>
      </c>
      <c r="BD41" s="12">
        <f>'17'!BD41</f>
        <v>3</v>
      </c>
      <c r="BE41" s="12">
        <f>'17'!BE41</f>
        <v>75</v>
      </c>
      <c r="BF41" s="12"/>
      <c r="BG41" s="12"/>
      <c r="BH41" s="12">
        <f>BG41+'17'!BH41</f>
        <v>36</v>
      </c>
      <c r="BI41" s="30">
        <f t="shared" si="3"/>
        <v>0.48</v>
      </c>
    </row>
    <row r="42" spans="1:61" ht="28.9" customHeight="1" x14ac:dyDescent="0.35">
      <c r="A42" s="5">
        <v>32</v>
      </c>
      <c r="B42" s="26" t="str">
        <f>'17'!B42</f>
        <v>شمنديــــــــــــــل</v>
      </c>
      <c r="C42" s="26">
        <f>'17'!C42</f>
        <v>880</v>
      </c>
      <c r="D42" s="26"/>
      <c r="E42" s="12"/>
      <c r="F42" s="2">
        <f>E42+'17'!F42</f>
        <v>7</v>
      </c>
      <c r="G42" s="2"/>
      <c r="H42" s="2">
        <f>G42+'17'!H42</f>
        <v>219</v>
      </c>
      <c r="I42" s="2"/>
      <c r="J42" s="2">
        <f>I42+'17'!J42</f>
        <v>421</v>
      </c>
      <c r="K42" s="2"/>
      <c r="L42" s="2">
        <f>K42+'17'!L42</f>
        <v>0</v>
      </c>
      <c r="M42" s="2"/>
      <c r="N42" s="2">
        <f>M42+'17'!N42</f>
        <v>0</v>
      </c>
      <c r="O42" s="2"/>
      <c r="P42" s="2">
        <f>O42+'17'!P42</f>
        <v>0</v>
      </c>
      <c r="Q42" s="4">
        <f t="shared" si="4"/>
        <v>0</v>
      </c>
      <c r="R42" s="4">
        <f>Q42+'17'!R42</f>
        <v>647</v>
      </c>
      <c r="S42" s="27">
        <f t="shared" si="5"/>
        <v>0.73522727272727273</v>
      </c>
      <c r="T42" s="12"/>
      <c r="U42" s="12">
        <f>T42+'17'!U42</f>
        <v>69</v>
      </c>
      <c r="V42" s="12"/>
      <c r="W42" s="12">
        <f>V42+'17'!W42</f>
        <v>11</v>
      </c>
      <c r="X42" s="12"/>
      <c r="Y42" s="12">
        <f>X42+'17'!Y42</f>
        <v>0</v>
      </c>
      <c r="AB42" s="5">
        <v>32</v>
      </c>
      <c r="AC42" s="26" t="str">
        <f>'17'!AC42</f>
        <v>شمنديــــــــــــــل</v>
      </c>
      <c r="AD42" s="28">
        <f>'17'!AI42</f>
        <v>9</v>
      </c>
      <c r="AE42" s="3"/>
      <c r="AF42" s="28">
        <f>AE42+'17'!AF42</f>
        <v>78</v>
      </c>
      <c r="AG42" s="4"/>
      <c r="AH42" s="28">
        <f>AG42+'17'!AH42</f>
        <v>69</v>
      </c>
      <c r="AI42" s="4">
        <f t="shared" si="6"/>
        <v>9</v>
      </c>
      <c r="AJ42" s="11" t="e">
        <f t="shared" si="0"/>
        <v>#DIV/0!</v>
      </c>
      <c r="AK42" s="53">
        <f t="shared" si="1"/>
        <v>9.3768115942028984</v>
      </c>
      <c r="AW42" s="26" t="str">
        <f>'17'!AW42</f>
        <v>شمنديــــــــــــــل</v>
      </c>
      <c r="AX42" s="12">
        <f>'17'!AX42</f>
        <v>2</v>
      </c>
      <c r="AY42" s="12">
        <f>'17'!AY42</f>
        <v>569</v>
      </c>
      <c r="AZ42" s="12"/>
      <c r="BA42" s="12"/>
      <c r="BB42" s="12">
        <f>BA42+'17'!BB42</f>
        <v>453</v>
      </c>
      <c r="BC42" s="30">
        <f t="shared" si="2"/>
        <v>0.79613356766256593</v>
      </c>
      <c r="BD42" s="12">
        <f>'17'!BD42</f>
        <v>1</v>
      </c>
      <c r="BE42" s="12">
        <f>'17'!BE42</f>
        <v>39</v>
      </c>
      <c r="BF42" s="12"/>
      <c r="BG42" s="12"/>
      <c r="BH42" s="12">
        <f>BG42+'17'!BH42</f>
        <v>82</v>
      </c>
      <c r="BI42" s="30">
        <f t="shared" si="3"/>
        <v>2.1025641025641026</v>
      </c>
    </row>
    <row r="43" spans="1:61" ht="28.9" customHeight="1" x14ac:dyDescent="0.35">
      <c r="A43" s="5">
        <v>33</v>
      </c>
      <c r="B43" s="26" t="str">
        <f>'17'!B43</f>
        <v>كفور الرمل</v>
      </c>
      <c r="C43" s="26">
        <f>'17'!C43</f>
        <v>1721</v>
      </c>
      <c r="D43" s="26"/>
      <c r="E43" s="12"/>
      <c r="F43" s="2">
        <f>E43+'17'!F43</f>
        <v>17</v>
      </c>
      <c r="G43" s="2"/>
      <c r="H43" s="2">
        <f>G43+'17'!H43</f>
        <v>505</v>
      </c>
      <c r="I43" s="2"/>
      <c r="J43" s="2">
        <f>I43+'17'!J43</f>
        <v>718</v>
      </c>
      <c r="K43" s="2"/>
      <c r="L43" s="2">
        <f>K43+'17'!L43</f>
        <v>0</v>
      </c>
      <c r="M43" s="2"/>
      <c r="N43" s="2">
        <f>M43+'17'!N43</f>
        <v>0</v>
      </c>
      <c r="O43" s="2"/>
      <c r="P43" s="2">
        <f>O43+'17'!P43</f>
        <v>0</v>
      </c>
      <c r="Q43" s="4">
        <f t="shared" si="4"/>
        <v>0</v>
      </c>
      <c r="R43" s="4">
        <f>Q43+'17'!R43</f>
        <v>1240</v>
      </c>
      <c r="S43" s="27">
        <f t="shared" si="5"/>
        <v>0.72051133062173156</v>
      </c>
      <c r="T43" s="12"/>
      <c r="U43" s="12">
        <f>T43+'17'!U43</f>
        <v>192</v>
      </c>
      <c r="V43" s="12"/>
      <c r="W43" s="12">
        <f>V43+'17'!W43</f>
        <v>100</v>
      </c>
      <c r="X43" s="12"/>
      <c r="Y43" s="12">
        <f>X43+'17'!Y43</f>
        <v>0</v>
      </c>
      <c r="AB43" s="5">
        <v>33</v>
      </c>
      <c r="AC43" s="26" t="str">
        <f>'17'!AC43</f>
        <v>كفور الرمل</v>
      </c>
      <c r="AD43" s="28">
        <f>'17'!AI43</f>
        <v>15</v>
      </c>
      <c r="AE43" s="3"/>
      <c r="AF43" s="28">
        <f>AE43+'17'!AF43</f>
        <v>150</v>
      </c>
      <c r="AG43" s="4"/>
      <c r="AH43" s="28">
        <f>AG43+'17'!AH43</f>
        <v>135</v>
      </c>
      <c r="AI43" s="4">
        <f t="shared" si="6"/>
        <v>15</v>
      </c>
      <c r="AJ43" s="11" t="e">
        <f t="shared" si="0"/>
        <v>#DIV/0!</v>
      </c>
      <c r="AK43" s="53">
        <f t="shared" si="1"/>
        <v>9.1851851851851851</v>
      </c>
      <c r="AW43" s="26" t="str">
        <f>'17'!AW43</f>
        <v>كفور الرمل</v>
      </c>
      <c r="AX43" s="12">
        <f>'17'!AX43</f>
        <v>4</v>
      </c>
      <c r="AY43" s="12">
        <f>'17'!AY43</f>
        <v>1335</v>
      </c>
      <c r="AZ43" s="12"/>
      <c r="BA43" s="12"/>
      <c r="BB43" s="12">
        <f>BA43+'17'!BB43</f>
        <v>918</v>
      </c>
      <c r="BC43" s="30">
        <f t="shared" si="2"/>
        <v>0.68764044943820224</v>
      </c>
      <c r="BD43" s="12">
        <f>'17'!BD43</f>
        <v>7</v>
      </c>
      <c r="BE43" s="12">
        <f>'17'!BE43</f>
        <v>753</v>
      </c>
      <c r="BF43" s="12"/>
      <c r="BG43" s="12"/>
      <c r="BH43" s="12">
        <f>BG43+'17'!BH43</f>
        <v>414</v>
      </c>
      <c r="BI43" s="30">
        <f t="shared" si="3"/>
        <v>0.54980079681274896</v>
      </c>
    </row>
    <row r="44" spans="1:61" ht="28.9" customHeight="1" x14ac:dyDescent="0.35">
      <c r="A44" s="5">
        <v>34</v>
      </c>
      <c r="B44" s="26" t="str">
        <f>'17'!B44</f>
        <v>منشأة أم خنان</v>
      </c>
      <c r="C44" s="26">
        <f>'17'!C44</f>
        <v>510</v>
      </c>
      <c r="D44" s="26"/>
      <c r="E44" s="12"/>
      <c r="F44" s="2">
        <f>E44+'17'!F44</f>
        <v>12</v>
      </c>
      <c r="G44" s="2"/>
      <c r="H44" s="2">
        <f>G44+'17'!H44</f>
        <v>194</v>
      </c>
      <c r="I44" s="2"/>
      <c r="J44" s="2">
        <f>I44+'17'!J44</f>
        <v>291</v>
      </c>
      <c r="K44" s="2"/>
      <c r="L44" s="2">
        <f>K44+'17'!L44</f>
        <v>0</v>
      </c>
      <c r="M44" s="2"/>
      <c r="N44" s="2">
        <f>M44+'17'!N44</f>
        <v>0</v>
      </c>
      <c r="O44" s="2"/>
      <c r="P44" s="2">
        <f>O44+'17'!P44</f>
        <v>0</v>
      </c>
      <c r="Q44" s="4">
        <f t="shared" si="4"/>
        <v>0</v>
      </c>
      <c r="R44" s="4">
        <f>Q44+'17'!R44</f>
        <v>497</v>
      </c>
      <c r="S44" s="27">
        <f t="shared" si="5"/>
        <v>0.97450980392156861</v>
      </c>
      <c r="T44" s="12"/>
      <c r="U44" s="12">
        <f>T44+'17'!U44</f>
        <v>11</v>
      </c>
      <c r="V44" s="12"/>
      <c r="W44" s="12">
        <f>V44+'17'!W44</f>
        <v>7</v>
      </c>
      <c r="X44" s="12"/>
      <c r="Y44" s="12">
        <f>X44+'17'!Y44</f>
        <v>0</v>
      </c>
      <c r="AB44" s="5">
        <v>34</v>
      </c>
      <c r="AC44" s="26" t="str">
        <f>'17'!AC44</f>
        <v>منشأة أم خنان</v>
      </c>
      <c r="AD44" s="28">
        <f>'17'!AI44</f>
        <v>4</v>
      </c>
      <c r="AE44" s="3"/>
      <c r="AF44" s="28">
        <f>AE44+'17'!AF44</f>
        <v>55</v>
      </c>
      <c r="AG44" s="4"/>
      <c r="AH44" s="28">
        <f>AG44+'17'!AH44</f>
        <v>51</v>
      </c>
      <c r="AI44" s="4">
        <f t="shared" si="6"/>
        <v>4</v>
      </c>
      <c r="AJ44" s="11" t="e">
        <f t="shared" si="0"/>
        <v>#DIV/0!</v>
      </c>
      <c r="AK44" s="53">
        <f t="shared" si="1"/>
        <v>9.7450980392156854</v>
      </c>
      <c r="AW44" s="26" t="str">
        <f>'17'!AW44</f>
        <v>منشأة أم خنان</v>
      </c>
      <c r="AX44" s="12">
        <f>'17'!AX44</f>
        <v>1</v>
      </c>
      <c r="AY44" s="12">
        <f>'17'!AY44</f>
        <v>277</v>
      </c>
      <c r="AZ44" s="12"/>
      <c r="BA44" s="12"/>
      <c r="BB44" s="12">
        <f>BA44+'17'!BB44</f>
        <v>269</v>
      </c>
      <c r="BC44" s="30">
        <f t="shared" si="2"/>
        <v>0.97111913357400725</v>
      </c>
      <c r="BD44" s="12">
        <f>'17'!BD44</f>
        <v>3</v>
      </c>
      <c r="BE44" s="12">
        <f>'17'!BE44</f>
        <v>170</v>
      </c>
      <c r="BF44" s="12"/>
      <c r="BG44" s="12"/>
      <c r="BH44" s="12">
        <f>BG44+'17'!BH44</f>
        <v>115</v>
      </c>
      <c r="BI44" s="30">
        <f t="shared" si="3"/>
        <v>0.67647058823529416</v>
      </c>
    </row>
    <row r="45" spans="1:61" ht="28.9" customHeight="1" x14ac:dyDescent="0.35">
      <c r="A45" s="5">
        <v>35</v>
      </c>
      <c r="B45" s="26">
        <f>'17'!B45</f>
        <v>0</v>
      </c>
      <c r="C45" s="26">
        <f>'17'!C45</f>
        <v>0</v>
      </c>
      <c r="D45" s="26"/>
      <c r="E45" s="12"/>
      <c r="F45" s="2">
        <f>E45+'17'!F45</f>
        <v>0</v>
      </c>
      <c r="G45" s="2"/>
      <c r="H45" s="2">
        <f>G45+'17'!H45</f>
        <v>0</v>
      </c>
      <c r="I45" s="2"/>
      <c r="J45" s="2">
        <f>I45+'17'!J45</f>
        <v>0</v>
      </c>
      <c r="K45" s="2"/>
      <c r="L45" s="2">
        <f>K45+'17'!L45</f>
        <v>0</v>
      </c>
      <c r="M45" s="2"/>
      <c r="N45" s="2">
        <f>M45+'17'!N45</f>
        <v>0</v>
      </c>
      <c r="O45" s="2"/>
      <c r="P45" s="2">
        <f>O45+'17'!P45</f>
        <v>0</v>
      </c>
      <c r="Q45" s="4">
        <f t="shared" si="4"/>
        <v>0</v>
      </c>
      <c r="R45" s="4">
        <f>Q45+'17'!R45</f>
        <v>0</v>
      </c>
      <c r="S45" s="27" t="e">
        <f t="shared" si="5"/>
        <v>#DIV/0!</v>
      </c>
      <c r="T45" s="12"/>
      <c r="U45" s="12">
        <f>T45+'17'!U45</f>
        <v>0</v>
      </c>
      <c r="V45" s="12"/>
      <c r="W45" s="12">
        <f>V45+'17'!W45</f>
        <v>0</v>
      </c>
      <c r="X45" s="12"/>
      <c r="Y45" s="12">
        <f>X45+'17'!Y45</f>
        <v>0</v>
      </c>
      <c r="AB45" s="5">
        <v>35</v>
      </c>
      <c r="AC45" s="26">
        <f>'17'!AC45</f>
        <v>0</v>
      </c>
      <c r="AD45" s="28">
        <f>'17'!AI45</f>
        <v>0</v>
      </c>
      <c r="AE45" s="3"/>
      <c r="AF45" s="28">
        <f>AE45+'17'!AF45</f>
        <v>0</v>
      </c>
      <c r="AG45" s="4"/>
      <c r="AH45" s="28">
        <f>AG45+'17'!AH45</f>
        <v>0</v>
      </c>
      <c r="AI45" s="4">
        <f t="shared" si="6"/>
        <v>0</v>
      </c>
      <c r="AJ45" s="11" t="e">
        <f t="shared" si="0"/>
        <v>#DIV/0!</v>
      </c>
      <c r="AK45" s="53" t="e">
        <f t="shared" si="1"/>
        <v>#DIV/0!</v>
      </c>
      <c r="AW45" s="26">
        <f>'17'!AW45</f>
        <v>0</v>
      </c>
      <c r="AX45" s="12">
        <f>'17'!AX45</f>
        <v>0</v>
      </c>
      <c r="AY45" s="12">
        <f>'17'!AY45</f>
        <v>0</v>
      </c>
      <c r="AZ45" s="12"/>
      <c r="BA45" s="12"/>
      <c r="BB45" s="12">
        <f>BA45+'17'!BB45</f>
        <v>0</v>
      </c>
      <c r="BC45" s="30" t="e">
        <f t="shared" si="2"/>
        <v>#DIV/0!</v>
      </c>
      <c r="BD45" s="12">
        <f>'17'!BD45</f>
        <v>0</v>
      </c>
      <c r="BE45" s="12">
        <f>'17'!BE45</f>
        <v>0</v>
      </c>
      <c r="BF45" s="12"/>
      <c r="BG45" s="12"/>
      <c r="BH45" s="12">
        <f>BG45+'17'!BH45</f>
        <v>0</v>
      </c>
      <c r="BI45" s="30" t="e">
        <f t="shared" si="3"/>
        <v>#DIV/0!</v>
      </c>
    </row>
    <row r="46" spans="1:61" ht="28.9" customHeight="1" x14ac:dyDescent="0.35">
      <c r="A46" s="5">
        <v>36</v>
      </c>
      <c r="B46" s="26">
        <f>'17'!B46</f>
        <v>0</v>
      </c>
      <c r="C46" s="26">
        <f>'17'!C46</f>
        <v>0</v>
      </c>
      <c r="D46" s="26"/>
      <c r="E46" s="12"/>
      <c r="F46" s="2">
        <f>E46+'17'!F46</f>
        <v>0</v>
      </c>
      <c r="G46" s="2"/>
      <c r="H46" s="2">
        <f>G46+'17'!H46</f>
        <v>0</v>
      </c>
      <c r="I46" s="2"/>
      <c r="J46" s="2">
        <f>I46+'17'!J46</f>
        <v>0</v>
      </c>
      <c r="K46" s="2"/>
      <c r="L46" s="2">
        <f>K46+'17'!L46</f>
        <v>0</v>
      </c>
      <c r="M46" s="2"/>
      <c r="N46" s="2">
        <f>M46+'17'!N46</f>
        <v>0</v>
      </c>
      <c r="O46" s="2"/>
      <c r="P46" s="2">
        <f>O46+'17'!P46</f>
        <v>0</v>
      </c>
      <c r="Q46" s="4">
        <f t="shared" si="4"/>
        <v>0</v>
      </c>
      <c r="R46" s="4">
        <f>Q46+'17'!R46</f>
        <v>0</v>
      </c>
      <c r="S46" s="27" t="e">
        <f t="shared" si="5"/>
        <v>#DIV/0!</v>
      </c>
      <c r="T46" s="12"/>
      <c r="U46" s="12">
        <f>T46+'17'!U46</f>
        <v>0</v>
      </c>
      <c r="V46" s="12"/>
      <c r="W46" s="12">
        <f>V46+'17'!W46</f>
        <v>0</v>
      </c>
      <c r="X46" s="12"/>
      <c r="Y46" s="12">
        <f>X46+'17'!Y46</f>
        <v>0</v>
      </c>
      <c r="AB46" s="5">
        <v>36</v>
      </c>
      <c r="AC46" s="26">
        <f>'17'!AC46</f>
        <v>0</v>
      </c>
      <c r="AD46" s="28">
        <f>'17'!AI46</f>
        <v>0</v>
      </c>
      <c r="AE46" s="3"/>
      <c r="AF46" s="28">
        <f>AE46+'17'!AF46</f>
        <v>0</v>
      </c>
      <c r="AG46" s="4"/>
      <c r="AH46" s="28">
        <f>AG46+'17'!AH46</f>
        <v>0</v>
      </c>
      <c r="AI46" s="4">
        <f t="shared" si="6"/>
        <v>0</v>
      </c>
      <c r="AJ46" s="11" t="e">
        <f t="shared" si="0"/>
        <v>#DIV/0!</v>
      </c>
      <c r="AK46" s="53" t="e">
        <f t="shared" si="1"/>
        <v>#DIV/0!</v>
      </c>
      <c r="AW46" s="26">
        <f>'17'!AW46</f>
        <v>0</v>
      </c>
      <c r="AX46" s="12">
        <f>'17'!AX46</f>
        <v>0</v>
      </c>
      <c r="AY46" s="12">
        <f>'17'!AY46</f>
        <v>0</v>
      </c>
      <c r="AZ46" s="12"/>
      <c r="BA46" s="12"/>
      <c r="BB46" s="12">
        <f>BA46+'17'!BB46</f>
        <v>0</v>
      </c>
      <c r="BC46" s="30" t="e">
        <f t="shared" si="2"/>
        <v>#DIV/0!</v>
      </c>
      <c r="BD46" s="12">
        <f>'17'!BD46</f>
        <v>0</v>
      </c>
      <c r="BE46" s="12">
        <f>'17'!BE46</f>
        <v>0</v>
      </c>
      <c r="BF46" s="12"/>
      <c r="BG46" s="12"/>
      <c r="BH46" s="12">
        <f>BG46+'17'!BH46</f>
        <v>0</v>
      </c>
      <c r="BI46" s="30" t="e">
        <f t="shared" si="3"/>
        <v>#DIV/0!</v>
      </c>
    </row>
    <row r="47" spans="1:61" ht="28.9" customHeight="1" x14ac:dyDescent="0.35">
      <c r="A47" s="5">
        <v>37</v>
      </c>
      <c r="B47" s="26">
        <f>'17'!B47</f>
        <v>0</v>
      </c>
      <c r="C47" s="26">
        <f>'17'!C47</f>
        <v>0</v>
      </c>
      <c r="D47" s="26"/>
      <c r="E47" s="12"/>
      <c r="F47" s="2">
        <f>E47+'17'!F47</f>
        <v>0</v>
      </c>
      <c r="G47" s="2"/>
      <c r="H47" s="2">
        <f>G47+'17'!H47</f>
        <v>0</v>
      </c>
      <c r="I47" s="2"/>
      <c r="J47" s="2">
        <f>I47+'17'!J47</f>
        <v>0</v>
      </c>
      <c r="K47" s="2"/>
      <c r="L47" s="2">
        <f>K47+'17'!L47</f>
        <v>0</v>
      </c>
      <c r="M47" s="2"/>
      <c r="N47" s="2">
        <f>M47+'17'!N47</f>
        <v>0</v>
      </c>
      <c r="O47" s="2"/>
      <c r="P47" s="2">
        <f>O47+'17'!P47</f>
        <v>0</v>
      </c>
      <c r="Q47" s="4">
        <f t="shared" si="4"/>
        <v>0</v>
      </c>
      <c r="R47" s="4">
        <f>Q47+'17'!R47</f>
        <v>0</v>
      </c>
      <c r="S47" s="27" t="e">
        <f t="shared" si="5"/>
        <v>#DIV/0!</v>
      </c>
      <c r="T47" s="12"/>
      <c r="U47" s="12">
        <f>T47+'17'!U47</f>
        <v>0</v>
      </c>
      <c r="V47" s="12"/>
      <c r="W47" s="12">
        <f>V47+'17'!W47</f>
        <v>0</v>
      </c>
      <c r="X47" s="12"/>
      <c r="Y47" s="12">
        <f>X47+'17'!Y47</f>
        <v>0</v>
      </c>
      <c r="AB47" s="5">
        <v>37</v>
      </c>
      <c r="AC47" s="26">
        <f>'17'!AC47</f>
        <v>0</v>
      </c>
      <c r="AD47" s="28">
        <f>'17'!AI47</f>
        <v>0</v>
      </c>
      <c r="AE47" s="3"/>
      <c r="AF47" s="28">
        <f>AE47+'17'!AF47</f>
        <v>0</v>
      </c>
      <c r="AG47" s="4"/>
      <c r="AH47" s="28">
        <f>AG47+'17'!AH47</f>
        <v>0</v>
      </c>
      <c r="AI47" s="4">
        <f t="shared" si="6"/>
        <v>0</v>
      </c>
      <c r="AJ47" s="11" t="e">
        <f t="shared" si="0"/>
        <v>#DIV/0!</v>
      </c>
      <c r="AK47" s="53" t="e">
        <f t="shared" si="1"/>
        <v>#DIV/0!</v>
      </c>
      <c r="AW47" s="26">
        <f>'17'!AW47</f>
        <v>0</v>
      </c>
      <c r="AX47" s="12">
        <f>'17'!AX47</f>
        <v>0</v>
      </c>
      <c r="AY47" s="12">
        <f>'17'!AY47</f>
        <v>0</v>
      </c>
      <c r="AZ47" s="12"/>
      <c r="BA47" s="12"/>
      <c r="BB47" s="12">
        <f>BA47+'17'!BB47</f>
        <v>0</v>
      </c>
      <c r="BC47" s="30" t="e">
        <f t="shared" si="2"/>
        <v>#DIV/0!</v>
      </c>
      <c r="BD47" s="12">
        <f>'17'!BD47</f>
        <v>0</v>
      </c>
      <c r="BE47" s="12">
        <f>'17'!BE47</f>
        <v>0</v>
      </c>
      <c r="BF47" s="12"/>
      <c r="BG47" s="12"/>
      <c r="BH47" s="12">
        <f>BG47+'17'!BH47</f>
        <v>0</v>
      </c>
      <c r="BI47" s="30" t="e">
        <f t="shared" si="3"/>
        <v>#DIV/0!</v>
      </c>
    </row>
    <row r="48" spans="1:61" ht="28.9" customHeight="1" x14ac:dyDescent="0.35">
      <c r="A48" s="5">
        <v>38</v>
      </c>
      <c r="B48" s="26">
        <f>'17'!B48</f>
        <v>0</v>
      </c>
      <c r="C48" s="26">
        <f>'17'!C48</f>
        <v>0</v>
      </c>
      <c r="D48" s="26"/>
      <c r="E48" s="12"/>
      <c r="F48" s="2">
        <f>E48+'17'!F48</f>
        <v>0</v>
      </c>
      <c r="G48" s="2"/>
      <c r="H48" s="2">
        <f>G48+'17'!H48</f>
        <v>0</v>
      </c>
      <c r="I48" s="2"/>
      <c r="J48" s="2">
        <f>I48+'17'!J48</f>
        <v>0</v>
      </c>
      <c r="K48" s="2"/>
      <c r="L48" s="2">
        <f>K48+'17'!L48</f>
        <v>0</v>
      </c>
      <c r="M48" s="2"/>
      <c r="N48" s="2">
        <f>M48+'17'!N48</f>
        <v>0</v>
      </c>
      <c r="O48" s="2"/>
      <c r="P48" s="2">
        <f>O48+'17'!P48</f>
        <v>0</v>
      </c>
      <c r="Q48" s="4">
        <f t="shared" si="4"/>
        <v>0</v>
      </c>
      <c r="R48" s="4">
        <f>Q48+'17'!R48</f>
        <v>0</v>
      </c>
      <c r="S48" s="27" t="e">
        <f t="shared" si="5"/>
        <v>#DIV/0!</v>
      </c>
      <c r="T48" s="12"/>
      <c r="U48" s="12">
        <f>T48+'17'!U48</f>
        <v>0</v>
      </c>
      <c r="V48" s="12"/>
      <c r="W48" s="12">
        <f>V48+'17'!W48</f>
        <v>0</v>
      </c>
      <c r="X48" s="12"/>
      <c r="Y48" s="12">
        <f>X48+'17'!Y48</f>
        <v>0</v>
      </c>
      <c r="AB48" s="5">
        <v>38</v>
      </c>
      <c r="AC48" s="26">
        <f>'17'!AC48</f>
        <v>0</v>
      </c>
      <c r="AD48" s="28">
        <f>'17'!AI48</f>
        <v>0</v>
      </c>
      <c r="AE48" s="3"/>
      <c r="AF48" s="28">
        <f>AE48+'17'!AF48</f>
        <v>0</v>
      </c>
      <c r="AG48" s="4"/>
      <c r="AH48" s="28">
        <f>AG48+'17'!AH48</f>
        <v>0</v>
      </c>
      <c r="AI48" s="4">
        <f t="shared" si="6"/>
        <v>0</v>
      </c>
      <c r="AJ48" s="11" t="e">
        <f t="shared" si="0"/>
        <v>#DIV/0!</v>
      </c>
      <c r="AK48" s="53" t="e">
        <f t="shared" si="1"/>
        <v>#DIV/0!</v>
      </c>
      <c r="AW48" s="26">
        <f>'17'!AW48</f>
        <v>0</v>
      </c>
      <c r="AX48" s="12">
        <f>'17'!AX48</f>
        <v>0</v>
      </c>
      <c r="AY48" s="12">
        <f>'17'!AY48</f>
        <v>0</v>
      </c>
      <c r="AZ48" s="12"/>
      <c r="BA48" s="12"/>
      <c r="BB48" s="12">
        <f>BA48+'17'!BB48</f>
        <v>0</v>
      </c>
      <c r="BC48" s="30" t="e">
        <f t="shared" si="2"/>
        <v>#DIV/0!</v>
      </c>
      <c r="BD48" s="12">
        <f>'17'!BD48</f>
        <v>0</v>
      </c>
      <c r="BE48" s="12">
        <f>'17'!BE48</f>
        <v>0</v>
      </c>
      <c r="BF48" s="12"/>
      <c r="BG48" s="12"/>
      <c r="BH48" s="12">
        <f>BG48+'17'!BH48</f>
        <v>0</v>
      </c>
      <c r="BI48" s="30" t="e">
        <f t="shared" si="3"/>
        <v>#DIV/0!</v>
      </c>
    </row>
    <row r="49" spans="1:61" ht="28.9" customHeight="1" x14ac:dyDescent="0.35">
      <c r="A49" s="5">
        <v>39</v>
      </c>
      <c r="B49" s="26">
        <f>'17'!B49</f>
        <v>0</v>
      </c>
      <c r="C49" s="26">
        <f>'17'!C49</f>
        <v>0</v>
      </c>
      <c r="D49" s="26"/>
      <c r="E49" s="12"/>
      <c r="F49" s="2">
        <f>E49+'17'!F49</f>
        <v>0</v>
      </c>
      <c r="G49" s="2"/>
      <c r="H49" s="2">
        <f>G49+'17'!H49</f>
        <v>0</v>
      </c>
      <c r="I49" s="2"/>
      <c r="J49" s="2">
        <f>I49+'17'!J49</f>
        <v>0</v>
      </c>
      <c r="K49" s="2"/>
      <c r="L49" s="2">
        <f>K49+'17'!L49</f>
        <v>0</v>
      </c>
      <c r="M49" s="2"/>
      <c r="N49" s="2">
        <f>M49+'17'!N49</f>
        <v>0</v>
      </c>
      <c r="O49" s="2"/>
      <c r="P49" s="2">
        <f>O49+'17'!P49</f>
        <v>0</v>
      </c>
      <c r="Q49" s="4">
        <f t="shared" si="4"/>
        <v>0</v>
      </c>
      <c r="R49" s="4">
        <f>Q49+'17'!R49</f>
        <v>0</v>
      </c>
      <c r="S49" s="27" t="e">
        <f t="shared" si="5"/>
        <v>#DIV/0!</v>
      </c>
      <c r="T49" s="12"/>
      <c r="U49" s="12">
        <f>T49+'17'!U49</f>
        <v>0</v>
      </c>
      <c r="V49" s="12"/>
      <c r="W49" s="12">
        <f>V49+'17'!W49</f>
        <v>0</v>
      </c>
      <c r="X49" s="12"/>
      <c r="Y49" s="12">
        <f>X49+'17'!Y49</f>
        <v>0</v>
      </c>
      <c r="AB49" s="5">
        <v>39</v>
      </c>
      <c r="AC49" s="26">
        <f>'17'!AC49</f>
        <v>0</v>
      </c>
      <c r="AD49" s="28">
        <f>'17'!AI49</f>
        <v>0</v>
      </c>
      <c r="AE49" s="3"/>
      <c r="AF49" s="28">
        <f>AE49+'17'!AF49</f>
        <v>0</v>
      </c>
      <c r="AG49" s="4"/>
      <c r="AH49" s="28">
        <f>AG49+'17'!AH49</f>
        <v>0</v>
      </c>
      <c r="AI49" s="4">
        <f t="shared" si="6"/>
        <v>0</v>
      </c>
      <c r="AJ49" s="11" t="e">
        <f t="shared" si="0"/>
        <v>#DIV/0!</v>
      </c>
      <c r="AK49" s="53" t="e">
        <f t="shared" si="1"/>
        <v>#DIV/0!</v>
      </c>
      <c r="AW49" s="26">
        <f>'17'!AW49</f>
        <v>0</v>
      </c>
      <c r="AX49" s="12">
        <f>'17'!AX49</f>
        <v>0</v>
      </c>
      <c r="AY49" s="12">
        <f>'17'!AY49</f>
        <v>0</v>
      </c>
      <c r="AZ49" s="12"/>
      <c r="BA49" s="12"/>
      <c r="BB49" s="12">
        <f>BA49+'17'!BB49</f>
        <v>0</v>
      </c>
      <c r="BC49" s="30" t="e">
        <f t="shared" si="2"/>
        <v>#DIV/0!</v>
      </c>
      <c r="BD49" s="12">
        <f>'17'!BD49</f>
        <v>0</v>
      </c>
      <c r="BE49" s="12">
        <f>'17'!BE49</f>
        <v>0</v>
      </c>
      <c r="BF49" s="12"/>
      <c r="BG49" s="12"/>
      <c r="BH49" s="12">
        <f>BG49+'17'!BH49</f>
        <v>0</v>
      </c>
      <c r="BI49" s="30" t="e">
        <f t="shared" si="3"/>
        <v>#DIV/0!</v>
      </c>
    </row>
    <row r="50" spans="1:61" ht="28.9" customHeight="1" x14ac:dyDescent="0.35">
      <c r="A50" s="5">
        <v>40</v>
      </c>
      <c r="B50" s="26">
        <f>'17'!B50</f>
        <v>0</v>
      </c>
      <c r="C50" s="26">
        <f>'17'!C50</f>
        <v>0</v>
      </c>
      <c r="D50" s="26"/>
      <c r="E50" s="12"/>
      <c r="F50" s="2">
        <f>E50+'17'!F50</f>
        <v>0</v>
      </c>
      <c r="G50" s="2"/>
      <c r="H50" s="2">
        <f>G50+'17'!H50</f>
        <v>0</v>
      </c>
      <c r="I50" s="2"/>
      <c r="J50" s="2">
        <f>I50+'17'!J50</f>
        <v>0</v>
      </c>
      <c r="K50" s="2"/>
      <c r="L50" s="2">
        <f>K50+'17'!L50</f>
        <v>0</v>
      </c>
      <c r="M50" s="2"/>
      <c r="N50" s="2">
        <f>M50+'17'!N50</f>
        <v>0</v>
      </c>
      <c r="O50" s="2"/>
      <c r="P50" s="2">
        <f>O50+'17'!P50</f>
        <v>0</v>
      </c>
      <c r="Q50" s="4">
        <f t="shared" si="4"/>
        <v>0</v>
      </c>
      <c r="R50" s="4">
        <f>Q50+'17'!R50</f>
        <v>0</v>
      </c>
      <c r="S50" s="27" t="e">
        <f t="shared" si="5"/>
        <v>#DIV/0!</v>
      </c>
      <c r="T50" s="12"/>
      <c r="U50" s="12">
        <f>T50+'17'!U50</f>
        <v>0</v>
      </c>
      <c r="V50" s="12"/>
      <c r="W50" s="12">
        <f>V50+'17'!W50</f>
        <v>0</v>
      </c>
      <c r="X50" s="12"/>
      <c r="Y50" s="12">
        <f>X50+'17'!Y50</f>
        <v>0</v>
      </c>
      <c r="AB50" s="5">
        <v>40</v>
      </c>
      <c r="AC50" s="26">
        <f>'17'!AC50</f>
        <v>0</v>
      </c>
      <c r="AD50" s="28">
        <f>'17'!AI50</f>
        <v>0</v>
      </c>
      <c r="AE50" s="3"/>
      <c r="AF50" s="28">
        <f>AE50+'17'!AF50</f>
        <v>0</v>
      </c>
      <c r="AG50" s="4"/>
      <c r="AH50" s="28">
        <f>AG50+'17'!AH50</f>
        <v>0</v>
      </c>
      <c r="AI50" s="4">
        <f t="shared" si="6"/>
        <v>0</v>
      </c>
      <c r="AJ50" s="11" t="e">
        <f t="shared" si="0"/>
        <v>#DIV/0!</v>
      </c>
      <c r="AK50" s="53" t="e">
        <f t="shared" si="1"/>
        <v>#DIV/0!</v>
      </c>
      <c r="AW50" s="26">
        <f>'17'!AW50</f>
        <v>0</v>
      </c>
      <c r="AX50" s="12">
        <f>'17'!AX50</f>
        <v>0</v>
      </c>
      <c r="AY50" s="12">
        <f>'17'!AY50</f>
        <v>0</v>
      </c>
      <c r="AZ50" s="12"/>
      <c r="BA50" s="12"/>
      <c r="BB50" s="12">
        <f>BA50+'17'!BB50</f>
        <v>0</v>
      </c>
      <c r="BC50" s="30" t="e">
        <f t="shared" si="2"/>
        <v>#DIV/0!</v>
      </c>
      <c r="BD50" s="12">
        <f>'17'!BD50</f>
        <v>0</v>
      </c>
      <c r="BE50" s="12">
        <f>'17'!BE50</f>
        <v>0</v>
      </c>
      <c r="BF50" s="12"/>
      <c r="BG50" s="12"/>
      <c r="BH50" s="12">
        <f>BG50+'17'!BH50</f>
        <v>0</v>
      </c>
      <c r="BI50" s="30" t="e">
        <f t="shared" si="3"/>
        <v>#DIV/0!</v>
      </c>
    </row>
    <row r="51" spans="1:61" ht="25.5" thickBot="1" x14ac:dyDescent="0.4">
      <c r="A51" s="321" t="s">
        <v>26</v>
      </c>
      <c r="B51" s="321"/>
      <c r="C51" s="35">
        <f>SUM(C11:C50)</f>
        <v>97446</v>
      </c>
      <c r="D51" s="35">
        <f>SUM(D11:D50)</f>
        <v>0</v>
      </c>
      <c r="E51" s="6">
        <f>SUM(E11:E50)</f>
        <v>0</v>
      </c>
      <c r="F51" s="6">
        <f>SUM(F11:F50)</f>
        <v>533</v>
      </c>
      <c r="G51" s="6">
        <f t="shared" ref="G51:R51" si="8">SUM(G11:G50)</f>
        <v>0</v>
      </c>
      <c r="H51" s="6">
        <f t="shared" si="8"/>
        <v>14954</v>
      </c>
      <c r="I51" s="6">
        <f t="shared" si="8"/>
        <v>0</v>
      </c>
      <c r="J51" s="6">
        <f t="shared" si="8"/>
        <v>37926</v>
      </c>
      <c r="K51" s="6">
        <f t="shared" si="8"/>
        <v>0</v>
      </c>
      <c r="L51" s="6">
        <f t="shared" si="8"/>
        <v>0</v>
      </c>
      <c r="M51" s="6">
        <f t="shared" si="8"/>
        <v>0</v>
      </c>
      <c r="N51" s="6">
        <f t="shared" si="8"/>
        <v>0</v>
      </c>
      <c r="O51" s="6">
        <f t="shared" si="8"/>
        <v>0</v>
      </c>
      <c r="P51" s="6">
        <f t="shared" si="8"/>
        <v>0</v>
      </c>
      <c r="Q51" s="6">
        <f t="shared" si="8"/>
        <v>0</v>
      </c>
      <c r="R51" s="6">
        <f t="shared" si="8"/>
        <v>53413</v>
      </c>
      <c r="S51" s="10">
        <f>R51/C51</f>
        <v>0.54812922028610722</v>
      </c>
      <c r="T51" s="23">
        <f t="shared" ref="T51:Y51" si="9">SUM(T11:T50)</f>
        <v>0</v>
      </c>
      <c r="U51" s="23">
        <f t="shared" si="9"/>
        <v>7532</v>
      </c>
      <c r="V51" s="23">
        <f t="shared" si="9"/>
        <v>0</v>
      </c>
      <c r="W51" s="23">
        <f t="shared" si="9"/>
        <v>1107</v>
      </c>
      <c r="X51" s="23">
        <f t="shared" si="9"/>
        <v>0</v>
      </c>
      <c r="Y51" s="23">
        <f t="shared" si="9"/>
        <v>2</v>
      </c>
      <c r="AB51" s="37" t="s">
        <v>29</v>
      </c>
      <c r="AC51" s="37"/>
      <c r="AD51" s="34">
        <f t="shared" ref="AD51:AI51" si="10">SUM(AD11:AD50)</f>
        <v>3133</v>
      </c>
      <c r="AE51" s="23">
        <f t="shared" si="10"/>
        <v>0</v>
      </c>
      <c r="AF51" s="14">
        <f t="shared" si="10"/>
        <v>8632</v>
      </c>
      <c r="AG51" s="14">
        <f t="shared" si="10"/>
        <v>0</v>
      </c>
      <c r="AH51" s="14">
        <f t="shared" si="10"/>
        <v>5499</v>
      </c>
      <c r="AI51" s="14">
        <f t="shared" si="10"/>
        <v>3133</v>
      </c>
      <c r="AJ51" s="11" t="e">
        <f t="shared" si="0"/>
        <v>#DIV/0!</v>
      </c>
      <c r="AK51" s="53">
        <f t="shared" si="1"/>
        <v>9.713220585561011</v>
      </c>
      <c r="AW51" s="33" t="s">
        <v>26</v>
      </c>
      <c r="AX51" s="13">
        <f>SUM(AX11:AX50)</f>
        <v>121</v>
      </c>
      <c r="AY51" s="13">
        <f>SUM(AY11:AY50)</f>
        <v>50910</v>
      </c>
      <c r="AZ51" s="13">
        <f>SUM(AZ11:AZ50)</f>
        <v>0</v>
      </c>
      <c r="BA51" s="13">
        <f>SUM(BA11:BA50)</f>
        <v>0</v>
      </c>
      <c r="BB51" s="13">
        <f>SUM(BB11:BB50)</f>
        <v>39924</v>
      </c>
      <c r="BC51" s="31">
        <f t="shared" si="2"/>
        <v>0.78420742486741313</v>
      </c>
      <c r="BD51" s="32">
        <f>SUM(BD11:BD50)</f>
        <v>241</v>
      </c>
      <c r="BE51" s="32">
        <f>SUM(BE11:BE50)</f>
        <v>14990</v>
      </c>
      <c r="BF51" s="32">
        <f>SUM(BF11:BF50)</f>
        <v>0</v>
      </c>
      <c r="BG51" s="32">
        <f>SUM(BG11:BG50)</f>
        <v>0</v>
      </c>
      <c r="BH51" s="32">
        <f>SUM(BH11:BH50)</f>
        <v>9274</v>
      </c>
      <c r="BI51" s="31">
        <f t="shared" si="3"/>
        <v>0.61867911941294196</v>
      </c>
    </row>
    <row r="52" spans="1:61" ht="17.5" x14ac:dyDescent="0.35">
      <c r="AB52" s="36"/>
      <c r="AC52" s="36"/>
      <c r="AD52" s="36"/>
      <c r="AE52" s="36"/>
      <c r="AF52" s="40"/>
      <c r="AG52" s="40"/>
      <c r="AH52" s="40"/>
      <c r="AI52" s="41"/>
      <c r="AJ52" s="15"/>
      <c r="AK52" s="15"/>
    </row>
    <row r="54" spans="1:61" ht="18.5" x14ac:dyDescent="0.45">
      <c r="G54" s="322" t="s">
        <v>36</v>
      </c>
      <c r="H54" s="322"/>
      <c r="I54" s="322"/>
      <c r="J54" s="322"/>
      <c r="K54" s="322"/>
      <c r="L54" s="322"/>
      <c r="M54" s="322"/>
      <c r="N54" s="322"/>
      <c r="O54" s="322"/>
      <c r="P54" s="322"/>
      <c r="Q54" s="322"/>
      <c r="R54" s="322"/>
      <c r="S54" s="322"/>
      <c r="AB54" s="313" t="s">
        <v>44</v>
      </c>
      <c r="AC54" s="313"/>
      <c r="AD54" s="313"/>
      <c r="AE54" s="313"/>
      <c r="AF54" s="313"/>
      <c r="AG54" s="313"/>
      <c r="AH54" s="313"/>
      <c r="AI54" s="313"/>
      <c r="AJ54" s="313"/>
      <c r="AK54" s="313"/>
      <c r="AL54" s="313"/>
      <c r="AM54" s="313"/>
      <c r="AN54" s="313"/>
    </row>
    <row r="55" spans="1:61" ht="18.5" x14ac:dyDescent="0.45">
      <c r="AX55" s="313" t="s">
        <v>44</v>
      </c>
      <c r="AY55" s="313"/>
      <c r="AZ55" s="313"/>
      <c r="BA55" s="313"/>
      <c r="BB55" s="313"/>
      <c r="BC55" s="313"/>
      <c r="BD55" s="313"/>
      <c r="BE55" s="313"/>
      <c r="BF55" s="313"/>
      <c r="BG55" s="313"/>
      <c r="BH55" s="313"/>
      <c r="BI55" s="313"/>
    </row>
    <row r="56" spans="1:61" ht="15.5" x14ac:dyDescent="0.35">
      <c r="AG56" s="38"/>
      <c r="AH56" s="38"/>
      <c r="AI56" s="38"/>
    </row>
  </sheetData>
  <mergeCells count="56">
    <mergeCell ref="A6:Y6"/>
    <mergeCell ref="AF6:AN6"/>
    <mergeCell ref="AY6:BI6"/>
    <mergeCell ref="A7:Y7"/>
    <mergeCell ref="A8:A10"/>
    <mergeCell ref="B8:B10"/>
    <mergeCell ref="C8:C10"/>
    <mergeCell ref="D8:D10"/>
    <mergeCell ref="E8:J8"/>
    <mergeCell ref="K8:P8"/>
    <mergeCell ref="Q8:R9"/>
    <mergeCell ref="S8:S10"/>
    <mergeCell ref="T8:U9"/>
    <mergeCell ref="V8:W9"/>
    <mergeCell ref="X8:Y9"/>
    <mergeCell ref="AB8:AB10"/>
    <mergeCell ref="AN8:AN9"/>
    <mergeCell ref="AO8:AO9"/>
    <mergeCell ref="AP8:AQ8"/>
    <mergeCell ref="AR8:AS8"/>
    <mergeCell ref="AC8:AC10"/>
    <mergeCell ref="AD8:AD10"/>
    <mergeCell ref="AE8:AF9"/>
    <mergeCell ref="AG8:AH9"/>
    <mergeCell ref="AI8:AI10"/>
    <mergeCell ref="AJ8:AJ10"/>
    <mergeCell ref="AW8:AW10"/>
    <mergeCell ref="AX8:BC8"/>
    <mergeCell ref="BD8:BI8"/>
    <mergeCell ref="E9:F9"/>
    <mergeCell ref="G9:H9"/>
    <mergeCell ref="I9:J9"/>
    <mergeCell ref="K9:L9"/>
    <mergeCell ref="M9:N9"/>
    <mergeCell ref="AK8:AK10"/>
    <mergeCell ref="AM8:AM13"/>
    <mergeCell ref="BF9:BF10"/>
    <mergeCell ref="BG9:BG10"/>
    <mergeCell ref="BH9:BH10"/>
    <mergeCell ref="O9:P9"/>
    <mergeCell ref="AX9:AX10"/>
    <mergeCell ref="AY9:AY10"/>
    <mergeCell ref="AZ9:AZ10"/>
    <mergeCell ref="BA9:BA10"/>
    <mergeCell ref="BB9:BB10"/>
    <mergeCell ref="AT8:AT9"/>
    <mergeCell ref="AX55:BI55"/>
    <mergeCell ref="BI9:BI10"/>
    <mergeCell ref="AM14:AN14"/>
    <mergeCell ref="AO14:AS14"/>
    <mergeCell ref="A51:B51"/>
    <mergeCell ref="G54:S54"/>
    <mergeCell ref="AB54:AN54"/>
    <mergeCell ref="BC9:BC10"/>
    <mergeCell ref="BD9:BD10"/>
    <mergeCell ref="BE9:BE10"/>
  </mergeCells>
  <pageMargins left="0.7" right="0.7" top="0.75" bottom="0.75" header="0.3" footer="0.3"/>
  <pageSetup paperSize="9" scale="17" orientation="landscape" r:id="rId1"/>
  <colBreaks count="2" manualBreakCount="2">
    <brk id="26" max="55" man="1"/>
    <brk id="47" max="55" man="1"/>
  </colBrea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396CF-6EBD-42CA-AC11-9DE1C38A0787}">
  <dimension ref="A1:BJ56"/>
  <sheetViews>
    <sheetView rightToLeft="1" view="pageBreakPreview" topLeftCell="AF1" zoomScale="55" zoomScaleNormal="29" zoomScalePageLayoutView="40" workbookViewId="0">
      <selection activeCell="AQ17" sqref="AQ17"/>
    </sheetView>
  </sheetViews>
  <sheetFormatPr defaultRowHeight="14.5" x14ac:dyDescent="0.35"/>
  <cols>
    <col min="1" max="1" width="11.26953125" style="1" customWidth="1"/>
    <col min="2" max="4" width="18.7265625" style="1" customWidth="1"/>
    <col min="5" max="6" width="15.26953125" customWidth="1"/>
    <col min="7" max="7" width="18.453125" customWidth="1"/>
    <col min="8" max="8" width="16.81640625" customWidth="1"/>
    <col min="9" max="9" width="15.26953125" customWidth="1"/>
    <col min="10" max="10" width="15.54296875" customWidth="1"/>
    <col min="11" max="23" width="15.26953125" customWidth="1"/>
    <col min="24" max="25" width="12.54296875" customWidth="1"/>
    <col min="27" max="27" width="19.1796875" customWidth="1"/>
    <col min="28" max="30" width="15.26953125" customWidth="1"/>
    <col min="31" max="32" width="13.7265625" customWidth="1"/>
    <col min="33" max="33" width="14.1796875" customWidth="1"/>
    <col min="34" max="34" width="13" customWidth="1"/>
    <col min="35" max="35" width="18.26953125" customWidth="1"/>
    <col min="36" max="40" width="15" customWidth="1"/>
    <col min="41" max="41" width="16.7265625" customWidth="1"/>
    <col min="42" max="42" width="18" customWidth="1"/>
    <col min="43" max="46" width="15" customWidth="1"/>
    <col min="47" max="47" width="14" style="1" customWidth="1"/>
    <col min="49" max="49" width="15.1796875" customWidth="1"/>
    <col min="50" max="50" width="22.26953125" customWidth="1"/>
    <col min="51" max="51" width="16.26953125" customWidth="1"/>
    <col min="52" max="52" width="13.453125" customWidth="1"/>
    <col min="53" max="53" width="14" customWidth="1"/>
    <col min="54" max="54" width="11.7265625" customWidth="1"/>
    <col min="55" max="55" width="14.26953125" customWidth="1"/>
    <col min="56" max="56" width="17.7265625" customWidth="1"/>
    <col min="57" max="57" width="22.453125" customWidth="1"/>
    <col min="58" max="58" width="17.7265625" customWidth="1"/>
    <col min="59" max="59" width="11.7265625" customWidth="1"/>
    <col min="60" max="60" width="16.81640625" customWidth="1"/>
    <col min="61" max="61" width="12.81640625" customWidth="1"/>
    <col min="62" max="62" width="15.26953125" customWidth="1"/>
  </cols>
  <sheetData>
    <row r="1" spans="1:62" s="21" customFormat="1" ht="23.5" x14ac:dyDescent="0.55000000000000004">
      <c r="A1" s="22" t="s">
        <v>0</v>
      </c>
      <c r="B1" s="22"/>
      <c r="C1" s="22"/>
      <c r="D1" s="18"/>
      <c r="E1" s="18"/>
      <c r="F1" s="18"/>
      <c r="G1" s="18"/>
      <c r="H1" s="18"/>
      <c r="I1" s="18"/>
      <c r="J1" s="18"/>
      <c r="K1" s="18"/>
      <c r="L1" s="18"/>
      <c r="M1" s="18"/>
      <c r="N1" s="19"/>
      <c r="O1" s="19"/>
      <c r="P1" s="18"/>
      <c r="Q1" s="18"/>
      <c r="R1" s="18"/>
      <c r="S1" s="18"/>
      <c r="T1" s="18"/>
      <c r="U1" s="18"/>
      <c r="V1" s="18"/>
      <c r="W1" s="18"/>
      <c r="X1" s="18"/>
      <c r="Y1" s="18"/>
      <c r="AA1" s="29"/>
      <c r="AB1" s="22" t="s">
        <v>0</v>
      </c>
      <c r="AC1" s="22"/>
      <c r="AD1" s="29"/>
      <c r="AE1" s="29"/>
      <c r="AF1" s="29"/>
      <c r="AU1" s="54"/>
      <c r="AW1" s="22" t="s">
        <v>0</v>
      </c>
      <c r="AX1" s="22"/>
      <c r="AY1" s="22"/>
      <c r="AZ1" s="18"/>
      <c r="BA1" s="18"/>
      <c r="BB1" s="18"/>
      <c r="BC1" s="18"/>
      <c r="BD1" s="18"/>
      <c r="BE1" s="20"/>
      <c r="BF1" s="19"/>
      <c r="BI1" s="29"/>
      <c r="BJ1" s="29"/>
    </row>
    <row r="2" spans="1:62" s="21" customFormat="1" ht="23.5" x14ac:dyDescent="0.55000000000000004">
      <c r="A2" s="22" t="s">
        <v>21</v>
      </c>
      <c r="B2" s="22"/>
      <c r="C2" s="22"/>
      <c r="D2" s="18"/>
      <c r="E2" s="18"/>
      <c r="F2" s="18"/>
      <c r="G2" s="18"/>
      <c r="H2" s="18"/>
      <c r="I2" s="18"/>
      <c r="J2" s="18"/>
      <c r="K2" s="18"/>
      <c r="L2" s="18"/>
      <c r="M2" s="18"/>
      <c r="N2" s="19"/>
      <c r="O2" s="19"/>
      <c r="P2" s="18"/>
      <c r="Q2" s="18"/>
      <c r="R2" s="18"/>
      <c r="S2" s="18"/>
      <c r="T2" s="18"/>
      <c r="U2" s="18"/>
      <c r="V2" s="18"/>
      <c r="W2" s="18"/>
      <c r="X2" s="18"/>
      <c r="Y2" s="18"/>
      <c r="AA2" s="29"/>
      <c r="AB2" s="22" t="s">
        <v>21</v>
      </c>
      <c r="AC2" s="22"/>
      <c r="AD2" s="29"/>
      <c r="AE2" s="29"/>
      <c r="AF2" s="29"/>
      <c r="AU2" s="54"/>
      <c r="AW2" s="22" t="s">
        <v>21</v>
      </c>
      <c r="AX2" s="22"/>
      <c r="AY2" s="22"/>
      <c r="AZ2" s="18"/>
      <c r="BA2" s="18"/>
      <c r="BB2" s="18"/>
      <c r="BC2" s="18"/>
      <c r="BD2" s="18"/>
      <c r="BE2" s="20"/>
      <c r="BF2" s="19"/>
      <c r="BI2" s="29"/>
      <c r="BJ2" s="29"/>
    </row>
    <row r="3" spans="1:62" s="21" customFormat="1" ht="23.5" x14ac:dyDescent="0.55000000000000004">
      <c r="A3" s="22" t="s">
        <v>22</v>
      </c>
      <c r="B3" s="22"/>
      <c r="C3" s="22"/>
      <c r="D3" s="18"/>
      <c r="E3" s="18"/>
      <c r="F3" s="18"/>
      <c r="G3" s="18"/>
      <c r="H3" s="18"/>
      <c r="I3" s="18"/>
      <c r="J3" s="18"/>
      <c r="K3" s="18"/>
      <c r="L3" s="18"/>
      <c r="M3" s="18"/>
      <c r="N3" s="19"/>
      <c r="O3" s="19"/>
      <c r="P3" s="18"/>
      <c r="Q3" s="18"/>
      <c r="R3" s="18"/>
      <c r="S3" s="18"/>
      <c r="T3" s="18"/>
      <c r="U3" s="18"/>
      <c r="V3" s="18"/>
      <c r="W3" s="18"/>
      <c r="X3" s="18"/>
      <c r="Y3" s="18"/>
      <c r="AA3" s="29"/>
      <c r="AB3" s="22" t="s">
        <v>22</v>
      </c>
      <c r="AC3" s="22"/>
      <c r="AD3" s="29"/>
      <c r="AE3" s="29"/>
      <c r="AF3" s="29"/>
      <c r="AU3" s="54"/>
      <c r="AW3" s="22" t="s">
        <v>22</v>
      </c>
      <c r="AX3" s="22"/>
      <c r="AY3" s="22"/>
      <c r="AZ3" s="18"/>
      <c r="BA3" s="18"/>
      <c r="BB3" s="18"/>
      <c r="BC3" s="18"/>
      <c r="BD3" s="18"/>
      <c r="BE3" s="20"/>
      <c r="BF3" s="19"/>
      <c r="BI3" s="29"/>
      <c r="BJ3" s="29"/>
    </row>
    <row r="4" spans="1:62" s="21" customFormat="1" ht="23.5" x14ac:dyDescent="0.55000000000000004">
      <c r="A4" s="22" t="s">
        <v>23</v>
      </c>
      <c r="B4" s="22"/>
      <c r="C4" s="22"/>
      <c r="D4" s="19"/>
      <c r="E4" s="20"/>
      <c r="F4" s="20"/>
      <c r="G4" s="20"/>
      <c r="H4" s="20"/>
      <c r="I4" s="18"/>
      <c r="J4" s="18"/>
      <c r="K4" s="18"/>
      <c r="L4" s="18"/>
      <c r="M4" s="18"/>
      <c r="N4" s="19"/>
      <c r="O4" s="19"/>
      <c r="P4" s="18"/>
      <c r="Q4" s="18"/>
      <c r="R4" s="18"/>
      <c r="S4" s="18"/>
      <c r="T4" s="18"/>
      <c r="U4" s="18"/>
      <c r="V4" s="18"/>
      <c r="W4" s="18"/>
      <c r="X4" s="18"/>
      <c r="Y4" s="18"/>
      <c r="AB4" s="22" t="s">
        <v>23</v>
      </c>
      <c r="AC4" s="22"/>
      <c r="AU4" s="54"/>
      <c r="AW4" s="22" t="s">
        <v>23</v>
      </c>
      <c r="AX4" s="22"/>
      <c r="AY4" s="22"/>
      <c r="AZ4" s="19"/>
      <c r="BA4" s="18"/>
      <c r="BB4" s="18"/>
      <c r="BC4" s="18"/>
      <c r="BD4" s="18"/>
      <c r="BE4" s="20"/>
      <c r="BF4" s="19"/>
    </row>
    <row r="5" spans="1:62" s="21" customFormat="1" ht="23.5" x14ac:dyDescent="0.55000000000000004">
      <c r="A5" s="22" t="s">
        <v>1</v>
      </c>
      <c r="B5" s="22"/>
      <c r="C5" s="22"/>
      <c r="D5" s="19"/>
      <c r="E5" s="18"/>
      <c r="F5" s="18"/>
      <c r="G5" s="18"/>
      <c r="H5" s="18"/>
      <c r="I5" s="18"/>
      <c r="J5" s="18"/>
      <c r="K5" s="18"/>
      <c r="L5" s="18"/>
      <c r="M5" s="18"/>
      <c r="N5" s="19"/>
      <c r="O5" s="19"/>
      <c r="P5" s="18"/>
      <c r="Q5" s="18"/>
      <c r="R5" s="18"/>
      <c r="S5" s="18"/>
      <c r="T5" s="18"/>
      <c r="U5" s="18"/>
      <c r="V5" s="18"/>
      <c r="W5" s="18"/>
      <c r="X5" s="18"/>
      <c r="Y5" s="18"/>
      <c r="AB5" s="22" t="s">
        <v>1</v>
      </c>
      <c r="AC5" s="22"/>
      <c r="AU5" s="54"/>
      <c r="AW5" s="22" t="s">
        <v>1</v>
      </c>
      <c r="AX5" s="22"/>
      <c r="AY5" s="22"/>
      <c r="AZ5" s="19"/>
      <c r="BA5" s="18"/>
      <c r="BB5" s="18"/>
      <c r="BC5" s="18"/>
      <c r="BD5" s="18"/>
      <c r="BE5" s="20"/>
      <c r="BF5" s="19"/>
    </row>
    <row r="6" spans="1:62" ht="20" x14ac:dyDescent="0.4">
      <c r="A6" s="362" t="s">
        <v>18</v>
      </c>
      <c r="B6" s="362"/>
      <c r="C6" s="362"/>
      <c r="D6" s="362"/>
      <c r="E6" s="362"/>
      <c r="F6" s="362"/>
      <c r="G6" s="362"/>
      <c r="H6" s="362"/>
      <c r="I6" s="362"/>
      <c r="J6" s="362"/>
      <c r="K6" s="362"/>
      <c r="L6" s="362"/>
      <c r="M6" s="362"/>
      <c r="N6" s="362"/>
      <c r="O6" s="362"/>
      <c r="P6" s="362"/>
      <c r="Q6" s="362"/>
      <c r="R6" s="362"/>
      <c r="S6" s="362"/>
      <c r="T6" s="362"/>
      <c r="U6" s="362"/>
      <c r="V6" s="362"/>
      <c r="W6" s="362"/>
      <c r="X6" s="362"/>
      <c r="Y6" s="362"/>
      <c r="AF6" s="362" t="s">
        <v>16</v>
      </c>
      <c r="AG6" s="362"/>
      <c r="AH6" s="362"/>
      <c r="AI6" s="362"/>
      <c r="AJ6" s="362"/>
      <c r="AK6" s="362"/>
      <c r="AL6" s="362"/>
      <c r="AM6" s="362"/>
      <c r="AN6" s="362"/>
      <c r="AO6" s="24"/>
      <c r="AP6" s="24"/>
      <c r="AQ6" s="24"/>
      <c r="AR6" s="24"/>
      <c r="AS6" s="24"/>
      <c r="AT6" s="24"/>
      <c r="AY6" s="362" t="s">
        <v>30</v>
      </c>
      <c r="AZ6" s="362"/>
      <c r="BA6" s="362"/>
      <c r="BB6" s="362"/>
      <c r="BC6" s="362"/>
      <c r="BD6" s="362"/>
      <c r="BE6" s="362"/>
      <c r="BF6" s="362"/>
      <c r="BG6" s="362"/>
      <c r="BH6" s="362"/>
      <c r="BI6" s="362"/>
    </row>
    <row r="7" spans="1:62" ht="20.5" thickBot="1" x14ac:dyDescent="0.45">
      <c r="A7" s="363" t="s">
        <v>27</v>
      </c>
      <c r="B7" s="364"/>
      <c r="C7" s="364"/>
      <c r="D7" s="364"/>
      <c r="E7" s="363"/>
      <c r="F7" s="363"/>
      <c r="G7" s="363"/>
      <c r="H7" s="363"/>
      <c r="I7" s="363"/>
      <c r="J7" s="363"/>
      <c r="K7" s="363"/>
      <c r="L7" s="363"/>
      <c r="M7" s="363"/>
      <c r="N7" s="363"/>
      <c r="O7" s="363"/>
      <c r="P7" s="363"/>
      <c r="Q7" s="363"/>
      <c r="R7" s="363"/>
      <c r="S7" s="363"/>
      <c r="T7" s="364"/>
      <c r="U7" s="364"/>
      <c r="V7" s="364"/>
      <c r="W7" s="364"/>
      <c r="X7" s="364"/>
      <c r="Y7" s="364"/>
      <c r="AJ7" s="25" t="s">
        <v>31</v>
      </c>
      <c r="AK7" s="25"/>
      <c r="AL7" s="25"/>
      <c r="AN7" s="25"/>
      <c r="AO7" s="25"/>
      <c r="AP7" s="25"/>
      <c r="AQ7" s="25"/>
      <c r="AS7" s="25"/>
      <c r="AT7" s="25"/>
      <c r="BC7" s="25" t="s">
        <v>31</v>
      </c>
      <c r="BD7" s="25"/>
      <c r="BF7" s="25"/>
      <c r="BG7" s="25"/>
      <c r="BH7" s="25"/>
      <c r="BI7" s="25"/>
      <c r="BJ7" s="25"/>
    </row>
    <row r="8" spans="1:62" ht="41.5" customHeight="1" x14ac:dyDescent="0.35">
      <c r="A8" s="326" t="s">
        <v>24</v>
      </c>
      <c r="B8" s="365" t="s">
        <v>25</v>
      </c>
      <c r="C8" s="366" t="s">
        <v>11</v>
      </c>
      <c r="D8" s="366" t="s">
        <v>15</v>
      </c>
      <c r="E8" s="330" t="s">
        <v>5</v>
      </c>
      <c r="F8" s="330"/>
      <c r="G8" s="330"/>
      <c r="H8" s="330"/>
      <c r="I8" s="330"/>
      <c r="J8" s="330"/>
      <c r="K8" s="330" t="s">
        <v>7</v>
      </c>
      <c r="L8" s="330"/>
      <c r="M8" s="330"/>
      <c r="N8" s="330"/>
      <c r="O8" s="330"/>
      <c r="P8" s="330"/>
      <c r="Q8" s="356" t="s">
        <v>2</v>
      </c>
      <c r="R8" s="350"/>
      <c r="S8" s="358" t="s">
        <v>12</v>
      </c>
      <c r="T8" s="323" t="s">
        <v>8</v>
      </c>
      <c r="U8" s="323"/>
      <c r="V8" s="323" t="s">
        <v>9</v>
      </c>
      <c r="W8" s="323"/>
      <c r="X8" s="323" t="s">
        <v>20</v>
      </c>
      <c r="Y8" s="323"/>
      <c r="AB8" s="326" t="s">
        <v>24</v>
      </c>
      <c r="AC8" s="342" t="s">
        <v>28</v>
      </c>
      <c r="AD8" s="342" t="s">
        <v>14</v>
      </c>
      <c r="AE8" s="345" t="s">
        <v>45</v>
      </c>
      <c r="AF8" s="346"/>
      <c r="AG8" s="349" t="s">
        <v>10</v>
      </c>
      <c r="AH8" s="350"/>
      <c r="AI8" s="353" t="s">
        <v>46</v>
      </c>
      <c r="AJ8" s="336" t="s">
        <v>51</v>
      </c>
      <c r="AK8" s="336" t="s">
        <v>47</v>
      </c>
      <c r="AM8" s="339" t="s">
        <v>41</v>
      </c>
      <c r="AN8" s="341" t="s">
        <v>38</v>
      </c>
      <c r="AO8" s="341" t="s">
        <v>14</v>
      </c>
      <c r="AP8" s="341" t="s">
        <v>39</v>
      </c>
      <c r="AQ8" s="341"/>
      <c r="AR8" s="341" t="s">
        <v>50</v>
      </c>
      <c r="AS8" s="341"/>
      <c r="AT8" s="324" t="s">
        <v>40</v>
      </c>
      <c r="AU8" s="55"/>
      <c r="AW8" s="326" t="s">
        <v>28</v>
      </c>
      <c r="AX8" s="329" t="s">
        <v>48</v>
      </c>
      <c r="AY8" s="330"/>
      <c r="AZ8" s="330"/>
      <c r="BA8" s="330"/>
      <c r="BB8" s="330"/>
      <c r="BC8" s="331"/>
      <c r="BD8" s="332" t="s">
        <v>49</v>
      </c>
      <c r="BE8" s="330"/>
      <c r="BF8" s="330"/>
      <c r="BG8" s="330"/>
      <c r="BH8" s="330"/>
      <c r="BI8" s="331"/>
    </row>
    <row r="9" spans="1:62" ht="19.149999999999999" customHeight="1" x14ac:dyDescent="0.35">
      <c r="A9" s="327"/>
      <c r="B9" s="365"/>
      <c r="C9" s="366"/>
      <c r="D9" s="366"/>
      <c r="E9" s="333" t="s">
        <v>6</v>
      </c>
      <c r="F9" s="334"/>
      <c r="G9" s="335" t="s">
        <v>13</v>
      </c>
      <c r="H9" s="334"/>
      <c r="I9" s="323" t="s">
        <v>19</v>
      </c>
      <c r="J9" s="323"/>
      <c r="K9" s="333" t="s">
        <v>6</v>
      </c>
      <c r="L9" s="334"/>
      <c r="M9" s="335" t="s">
        <v>13</v>
      </c>
      <c r="N9" s="334"/>
      <c r="O9" s="323" t="s">
        <v>19</v>
      </c>
      <c r="P9" s="323"/>
      <c r="Q9" s="357"/>
      <c r="R9" s="352"/>
      <c r="S9" s="359"/>
      <c r="T9" s="323"/>
      <c r="U9" s="323"/>
      <c r="V9" s="323"/>
      <c r="W9" s="323"/>
      <c r="X9" s="323"/>
      <c r="Y9" s="323"/>
      <c r="AB9" s="327"/>
      <c r="AC9" s="343"/>
      <c r="AD9" s="343"/>
      <c r="AE9" s="347"/>
      <c r="AF9" s="348"/>
      <c r="AG9" s="351"/>
      <c r="AH9" s="352"/>
      <c r="AI9" s="354"/>
      <c r="AJ9" s="337"/>
      <c r="AK9" s="337"/>
      <c r="AM9" s="340"/>
      <c r="AN9" s="323"/>
      <c r="AO9" s="323"/>
      <c r="AP9" s="8" t="s">
        <v>3</v>
      </c>
      <c r="AQ9" s="8" t="s">
        <v>4</v>
      </c>
      <c r="AR9" s="43" t="s">
        <v>3</v>
      </c>
      <c r="AS9" s="43" t="s">
        <v>4</v>
      </c>
      <c r="AT9" s="325"/>
      <c r="AU9" s="55"/>
      <c r="AW9" s="327"/>
      <c r="AX9" s="314" t="s">
        <v>17</v>
      </c>
      <c r="AY9" s="314" t="s">
        <v>11</v>
      </c>
      <c r="AZ9" s="314" t="s">
        <v>32</v>
      </c>
      <c r="BA9" s="314" t="s">
        <v>37</v>
      </c>
      <c r="BB9" s="314" t="s">
        <v>34</v>
      </c>
      <c r="BC9" s="314" t="s">
        <v>12</v>
      </c>
      <c r="BD9" s="314" t="s">
        <v>33</v>
      </c>
      <c r="BE9" s="314" t="s">
        <v>11</v>
      </c>
      <c r="BF9" s="314" t="s">
        <v>35</v>
      </c>
      <c r="BG9" s="314" t="s">
        <v>37</v>
      </c>
      <c r="BH9" s="314" t="s">
        <v>34</v>
      </c>
      <c r="BI9" s="314" t="s">
        <v>12</v>
      </c>
    </row>
    <row r="10" spans="1:62" ht="53.5" customHeight="1" thickBot="1" x14ac:dyDescent="0.4">
      <c r="A10" s="328"/>
      <c r="B10" s="365"/>
      <c r="C10" s="366"/>
      <c r="D10" s="366"/>
      <c r="E10" s="7" t="s">
        <v>3</v>
      </c>
      <c r="F10" s="8" t="s">
        <v>4</v>
      </c>
      <c r="G10" s="7" t="s">
        <v>3</v>
      </c>
      <c r="H10" s="8" t="s">
        <v>4</v>
      </c>
      <c r="I10" s="8" t="s">
        <v>3</v>
      </c>
      <c r="J10" s="8" t="s">
        <v>4</v>
      </c>
      <c r="K10" s="7" t="s">
        <v>3</v>
      </c>
      <c r="L10" s="8" t="s">
        <v>4</v>
      </c>
      <c r="M10" s="7" t="s">
        <v>3</v>
      </c>
      <c r="N10" s="8" t="s">
        <v>4</v>
      </c>
      <c r="O10" s="8" t="s">
        <v>3</v>
      </c>
      <c r="P10" s="8" t="s">
        <v>4</v>
      </c>
      <c r="Q10" s="9" t="s">
        <v>3</v>
      </c>
      <c r="R10" s="9" t="s">
        <v>4</v>
      </c>
      <c r="S10" s="360"/>
      <c r="T10" s="8" t="s">
        <v>3</v>
      </c>
      <c r="U10" s="8" t="s">
        <v>4</v>
      </c>
      <c r="V10" s="8" t="s">
        <v>3</v>
      </c>
      <c r="W10" s="8" t="s">
        <v>4</v>
      </c>
      <c r="X10" s="8" t="s">
        <v>3</v>
      </c>
      <c r="Y10" s="8" t="s">
        <v>4</v>
      </c>
      <c r="AB10" s="361"/>
      <c r="AC10" s="344"/>
      <c r="AD10" s="344"/>
      <c r="AE10" s="49" t="s">
        <v>3</v>
      </c>
      <c r="AF10" s="50" t="s">
        <v>4</v>
      </c>
      <c r="AG10" s="51" t="s">
        <v>3</v>
      </c>
      <c r="AH10" s="52" t="s">
        <v>4</v>
      </c>
      <c r="AI10" s="355"/>
      <c r="AJ10" s="338"/>
      <c r="AK10" s="338"/>
      <c r="AM10" s="340"/>
      <c r="AN10" s="42" t="str">
        <f>'18'!AN10</f>
        <v>0124W120</v>
      </c>
      <c r="AO10" s="42">
        <f>'18'!AT10</f>
        <v>48</v>
      </c>
      <c r="AP10" s="42"/>
      <c r="AQ10" s="17">
        <f>AP10+'18'!AQ10</f>
        <v>73</v>
      </c>
      <c r="AR10" s="17"/>
      <c r="AS10" s="17">
        <f>AR10+'18'!AS10</f>
        <v>25</v>
      </c>
      <c r="AT10" s="44">
        <f>AO10+AP10-AR10</f>
        <v>48</v>
      </c>
      <c r="AU10" s="56"/>
      <c r="AW10" s="328"/>
      <c r="AX10" s="315"/>
      <c r="AY10" s="315"/>
      <c r="AZ10" s="315"/>
      <c r="BA10" s="315"/>
      <c r="BB10" s="315"/>
      <c r="BC10" s="315"/>
      <c r="BD10" s="315"/>
      <c r="BE10" s="315"/>
      <c r="BF10" s="315"/>
      <c r="BG10" s="315"/>
      <c r="BH10" s="315"/>
      <c r="BI10" s="315"/>
    </row>
    <row r="11" spans="1:62" ht="41.5" customHeight="1" x14ac:dyDescent="0.35">
      <c r="A11" s="5">
        <v>1</v>
      </c>
      <c r="B11" s="26" t="str">
        <f>'18'!B11</f>
        <v>مكتب الصحة</v>
      </c>
      <c r="C11" s="26">
        <f>'18'!C11</f>
        <v>12251</v>
      </c>
      <c r="D11" s="26"/>
      <c r="E11" s="12"/>
      <c r="F11" s="2">
        <f>E11+'18'!F11</f>
        <v>39</v>
      </c>
      <c r="G11" s="2"/>
      <c r="H11" s="2">
        <f>G11+'18'!H11</f>
        <v>1961</v>
      </c>
      <c r="I11" s="2"/>
      <c r="J11" s="2">
        <f>I11+'18'!J11</f>
        <v>5340</v>
      </c>
      <c r="K11" s="2"/>
      <c r="L11" s="2">
        <f>K11+'18'!L11</f>
        <v>0</v>
      </c>
      <c r="M11" s="2"/>
      <c r="N11" s="2">
        <f>M11+'18'!N11</f>
        <v>0</v>
      </c>
      <c r="O11" s="2"/>
      <c r="P11" s="2">
        <f>O11+'18'!P11</f>
        <v>0</v>
      </c>
      <c r="Q11" s="4">
        <f>O11+M11+K11+I11+G11+E11</f>
        <v>0</v>
      </c>
      <c r="R11" s="4">
        <f>Q11+'18'!R11</f>
        <v>7340</v>
      </c>
      <c r="S11" s="27">
        <f>R11/C11</f>
        <v>0.5991347645090197</v>
      </c>
      <c r="T11" s="12"/>
      <c r="U11" s="12">
        <f>T11+'18'!U11</f>
        <v>1397</v>
      </c>
      <c r="V11" s="12"/>
      <c r="W11" s="12">
        <f>V11+'18'!W11</f>
        <v>4</v>
      </c>
      <c r="X11" s="12"/>
      <c r="Y11" s="12">
        <f>X11+'18'!Y11</f>
        <v>1</v>
      </c>
      <c r="AB11" s="48">
        <v>1</v>
      </c>
      <c r="AC11" s="26" t="str">
        <f>'18'!AC11</f>
        <v>مكتب الصحة</v>
      </c>
      <c r="AD11" s="28">
        <f>'18'!AI11</f>
        <v>333</v>
      </c>
      <c r="AE11" s="3"/>
      <c r="AF11" s="28">
        <f>AE11+'18'!AF11</f>
        <v>1082</v>
      </c>
      <c r="AG11" s="4"/>
      <c r="AH11" s="28">
        <f>AG11+'18'!AH11</f>
        <v>749</v>
      </c>
      <c r="AI11" s="4">
        <f>AD11+AE11-AG11</f>
        <v>333</v>
      </c>
      <c r="AJ11" s="11" t="e">
        <f t="shared" ref="AJ11:AJ51" si="0">Q11/AG11</f>
        <v>#DIV/0!</v>
      </c>
      <c r="AK11" s="53">
        <f t="shared" ref="AK11:AK51" si="1">R11/AH11</f>
        <v>9.799732977303071</v>
      </c>
      <c r="AM11" s="340"/>
      <c r="AN11" s="42" t="str">
        <f>'18'!AN11</f>
        <v>420604325A</v>
      </c>
      <c r="AO11" s="42">
        <f>'18'!AT11</f>
        <v>3076</v>
      </c>
      <c r="AP11" s="16"/>
      <c r="AQ11" s="17">
        <f>AP11+'18'!AQ11</f>
        <v>8550</v>
      </c>
      <c r="AR11" s="16"/>
      <c r="AS11" s="17">
        <f>AR11+'18'!AS11</f>
        <v>5474</v>
      </c>
      <c r="AT11" s="44">
        <f>AO11+AP11-AR11</f>
        <v>3076</v>
      </c>
      <c r="AU11" s="56"/>
      <c r="AW11" s="26" t="str">
        <f>'18'!AW11</f>
        <v>مكتب الصحة</v>
      </c>
      <c r="AX11" s="12">
        <f>'18'!AX11</f>
        <v>11</v>
      </c>
      <c r="AY11" s="12">
        <f>'18'!AY11</f>
        <v>8411</v>
      </c>
      <c r="AZ11" s="12"/>
      <c r="BA11" s="12"/>
      <c r="BB11" s="12">
        <f>BA11+'18'!BB11</f>
        <v>5998</v>
      </c>
      <c r="BC11" s="30">
        <f t="shared" ref="BC11:BC51" si="2">BB11/AY11</f>
        <v>0.71311377957436695</v>
      </c>
      <c r="BD11" s="12">
        <f>'18'!BD11</f>
        <v>27</v>
      </c>
      <c r="BE11" s="12">
        <f>'18'!BE11</f>
        <v>1746</v>
      </c>
      <c r="BF11" s="12"/>
      <c r="BG11" s="12"/>
      <c r="BH11" s="12">
        <f>BG11+'18'!BH11</f>
        <v>477</v>
      </c>
      <c r="BI11" s="30">
        <f t="shared" ref="BI11:BI51" si="3">BH11/BE11</f>
        <v>0.27319587628865977</v>
      </c>
    </row>
    <row r="12" spans="1:62" ht="41.5" customHeight="1" x14ac:dyDescent="0.35">
      <c r="A12" s="5">
        <v>2</v>
      </c>
      <c r="B12" s="26" t="str">
        <f>'18'!B12</f>
        <v>شبرابخـــــــــــوم</v>
      </c>
      <c r="C12" s="26">
        <f>'18'!C12</f>
        <v>4445</v>
      </c>
      <c r="D12" s="26"/>
      <c r="E12" s="12"/>
      <c r="F12" s="2">
        <f>E12+'18'!F12</f>
        <v>14</v>
      </c>
      <c r="G12" s="2"/>
      <c r="H12" s="2">
        <f>G12+'18'!H12</f>
        <v>392</v>
      </c>
      <c r="I12" s="2"/>
      <c r="J12" s="2">
        <f>I12+'18'!J12</f>
        <v>1857</v>
      </c>
      <c r="K12" s="2"/>
      <c r="L12" s="2">
        <f>K12+'18'!L12</f>
        <v>0</v>
      </c>
      <c r="M12" s="2"/>
      <c r="N12" s="2">
        <f>M12+'18'!N12</f>
        <v>0</v>
      </c>
      <c r="O12" s="2"/>
      <c r="P12" s="2">
        <f>O12+'18'!P12</f>
        <v>0</v>
      </c>
      <c r="Q12" s="4">
        <f t="shared" ref="Q12:Q50" si="4">O12+M12+K12+I12+G12+E12</f>
        <v>0</v>
      </c>
      <c r="R12" s="4">
        <f>Q12+'18'!R12</f>
        <v>2263</v>
      </c>
      <c r="S12" s="27">
        <f t="shared" ref="S12:S50" si="5">R12/C12</f>
        <v>0.50911136107986499</v>
      </c>
      <c r="T12" s="12"/>
      <c r="U12" s="12">
        <f>T12+'18'!U12</f>
        <v>373</v>
      </c>
      <c r="V12" s="12"/>
      <c r="W12" s="12">
        <f>V12+'18'!W12</f>
        <v>15</v>
      </c>
      <c r="X12" s="12"/>
      <c r="Y12" s="12">
        <f>X12+'18'!Y12</f>
        <v>0</v>
      </c>
      <c r="AB12" s="5">
        <v>2</v>
      </c>
      <c r="AC12" s="26" t="str">
        <f>'18'!AC12</f>
        <v>شبرابخـــــــــــوم</v>
      </c>
      <c r="AD12" s="28">
        <f>'18'!AI12</f>
        <v>158</v>
      </c>
      <c r="AE12" s="3"/>
      <c r="AF12" s="28">
        <f>AE12+'18'!AF12</f>
        <v>390</v>
      </c>
      <c r="AG12" s="4"/>
      <c r="AH12" s="28">
        <f>AG12+'18'!AH12</f>
        <v>232</v>
      </c>
      <c r="AI12" s="4">
        <f>AD12+AE12-AG12</f>
        <v>158</v>
      </c>
      <c r="AJ12" s="11" t="e">
        <f t="shared" si="0"/>
        <v>#DIV/0!</v>
      </c>
      <c r="AK12" s="53">
        <f t="shared" si="1"/>
        <v>9.7543103448275854</v>
      </c>
      <c r="AM12" s="340"/>
      <c r="AN12" s="42" t="str">
        <f>'18'!AN12</f>
        <v>420604225A</v>
      </c>
      <c r="AO12" s="42">
        <f>'18'!AT12</f>
        <v>100</v>
      </c>
      <c r="AP12" s="16"/>
      <c r="AQ12" s="17">
        <f>AP12+'18'!AQ12</f>
        <v>100</v>
      </c>
      <c r="AR12" s="16"/>
      <c r="AS12" s="17">
        <f>AR12+'18'!AS12</f>
        <v>0</v>
      </c>
      <c r="AT12" s="44">
        <f>AO12+AP12-AR12</f>
        <v>100</v>
      </c>
      <c r="AU12" s="56"/>
      <c r="AW12" s="26" t="str">
        <f>'18'!AW12</f>
        <v>شبرابخـــــــــــوم</v>
      </c>
      <c r="AX12" s="12">
        <f>'18'!AX12</f>
        <v>6</v>
      </c>
      <c r="AY12" s="12">
        <f>'18'!AY12</f>
        <v>2215</v>
      </c>
      <c r="AZ12" s="12"/>
      <c r="BA12" s="12"/>
      <c r="BB12" s="12">
        <f>BA12+'18'!BB12</f>
        <v>2306</v>
      </c>
      <c r="BC12" s="30">
        <f t="shared" si="2"/>
        <v>1.0410835214446952</v>
      </c>
      <c r="BD12" s="12">
        <f>'18'!BD12</f>
        <v>16</v>
      </c>
      <c r="BE12" s="12">
        <f>'18'!BE12</f>
        <v>729</v>
      </c>
      <c r="BF12" s="12"/>
      <c r="BG12" s="12"/>
      <c r="BH12" s="12">
        <f>BG12+'18'!BH12</f>
        <v>224</v>
      </c>
      <c r="BI12" s="30">
        <f t="shared" si="3"/>
        <v>0.30727023319615915</v>
      </c>
    </row>
    <row r="13" spans="1:62" ht="41.5" customHeight="1" x14ac:dyDescent="0.35">
      <c r="A13" s="5">
        <v>3</v>
      </c>
      <c r="B13" s="26" t="str">
        <f>'18'!B13</f>
        <v>ميت بره</v>
      </c>
      <c r="C13" s="26">
        <f>'18'!C13</f>
        <v>11614</v>
      </c>
      <c r="D13" s="26"/>
      <c r="E13" s="12"/>
      <c r="F13" s="2">
        <f>E13+'18'!F13</f>
        <v>45</v>
      </c>
      <c r="G13" s="2"/>
      <c r="H13" s="2">
        <f>G13+'18'!H13</f>
        <v>465</v>
      </c>
      <c r="I13" s="2"/>
      <c r="J13" s="2">
        <f>I13+'18'!J13</f>
        <v>3703</v>
      </c>
      <c r="K13" s="2"/>
      <c r="L13" s="2">
        <f>K13+'18'!L13</f>
        <v>0</v>
      </c>
      <c r="M13" s="2"/>
      <c r="N13" s="2">
        <f>M13+'18'!N13</f>
        <v>0</v>
      </c>
      <c r="O13" s="2"/>
      <c r="P13" s="2">
        <f>O13+'18'!P13</f>
        <v>0</v>
      </c>
      <c r="Q13" s="4">
        <f t="shared" si="4"/>
        <v>0</v>
      </c>
      <c r="R13" s="4">
        <f>Q13+'18'!R13</f>
        <v>4213</v>
      </c>
      <c r="S13" s="27">
        <f t="shared" si="5"/>
        <v>0.36275185121405201</v>
      </c>
      <c r="T13" s="12"/>
      <c r="U13" s="12">
        <f>T13+'18'!U13</f>
        <v>641</v>
      </c>
      <c r="V13" s="12"/>
      <c r="W13" s="12">
        <f>V13+'18'!W13</f>
        <v>0</v>
      </c>
      <c r="X13" s="12"/>
      <c r="Y13" s="12">
        <f>X13+'18'!Y13</f>
        <v>0</v>
      </c>
      <c r="AB13" s="5">
        <v>3</v>
      </c>
      <c r="AC13" s="26" t="str">
        <f>'18'!AC13</f>
        <v>ميت بره</v>
      </c>
      <c r="AD13" s="28">
        <f>'18'!AI13</f>
        <v>584</v>
      </c>
      <c r="AE13" s="3"/>
      <c r="AF13" s="28">
        <f>AE13+'18'!AF13</f>
        <v>1020</v>
      </c>
      <c r="AG13" s="4"/>
      <c r="AH13" s="28">
        <f>AG13+'18'!AH13</f>
        <v>436</v>
      </c>
      <c r="AI13" s="4">
        <f t="shared" ref="AI13:AI50" si="6">AD13+AE13-AG13</f>
        <v>584</v>
      </c>
      <c r="AJ13" s="11" t="e">
        <f t="shared" si="0"/>
        <v>#DIV/0!</v>
      </c>
      <c r="AK13" s="53">
        <f t="shared" si="1"/>
        <v>9.6628440366972477</v>
      </c>
      <c r="AM13" s="340"/>
      <c r="AN13" s="46" t="s">
        <v>43</v>
      </c>
      <c r="AO13" s="45">
        <f t="shared" ref="AO13:AT13" si="7">SUM(AO10:AO12)</f>
        <v>3224</v>
      </c>
      <c r="AP13" s="45">
        <f t="shared" si="7"/>
        <v>0</v>
      </c>
      <c r="AQ13" s="45">
        <f t="shared" si="7"/>
        <v>8723</v>
      </c>
      <c r="AR13" s="45">
        <f t="shared" si="7"/>
        <v>0</v>
      </c>
      <c r="AS13" s="45">
        <f t="shared" si="7"/>
        <v>5499</v>
      </c>
      <c r="AT13" s="47">
        <f t="shared" si="7"/>
        <v>3224</v>
      </c>
      <c r="AU13" s="56"/>
      <c r="AW13" s="26" t="str">
        <f>'18'!AW13</f>
        <v>ميت بره</v>
      </c>
      <c r="AX13" s="12">
        <f>'18'!AX13</f>
        <v>8</v>
      </c>
      <c r="AY13" s="12">
        <f>'18'!AY13</f>
        <v>4849</v>
      </c>
      <c r="AZ13" s="12"/>
      <c r="BA13" s="12"/>
      <c r="BB13" s="12">
        <f>BA13+'18'!BB13</f>
        <v>4093</v>
      </c>
      <c r="BC13" s="30">
        <f t="shared" si="2"/>
        <v>0.84409156527118989</v>
      </c>
      <c r="BD13" s="12">
        <f>'18'!BD13</f>
        <v>21</v>
      </c>
      <c r="BE13" s="12">
        <f>'18'!BE13</f>
        <v>1129</v>
      </c>
      <c r="BF13" s="12"/>
      <c r="BG13" s="12"/>
      <c r="BH13" s="12">
        <f>BG13+'18'!BH13</f>
        <v>128</v>
      </c>
      <c r="BI13" s="30">
        <f t="shared" si="3"/>
        <v>0.11337466784765279</v>
      </c>
    </row>
    <row r="14" spans="1:62" ht="41.5" customHeight="1" thickBot="1" x14ac:dyDescent="0.4">
      <c r="A14" s="5">
        <v>4</v>
      </c>
      <c r="B14" s="26" t="str">
        <f>'18'!B14</f>
        <v>أبنــــــــــــــــهس</v>
      </c>
      <c r="C14" s="26">
        <f>'18'!C14</f>
        <v>5029</v>
      </c>
      <c r="D14" s="26"/>
      <c r="E14" s="12"/>
      <c r="F14" s="2">
        <f>E14+'18'!F14</f>
        <v>14</v>
      </c>
      <c r="G14" s="2"/>
      <c r="H14" s="2">
        <f>G14+'18'!H14</f>
        <v>349</v>
      </c>
      <c r="I14" s="2"/>
      <c r="J14" s="2">
        <f>I14+'18'!J14</f>
        <v>2016</v>
      </c>
      <c r="K14" s="2"/>
      <c r="L14" s="2">
        <f>K14+'18'!L14</f>
        <v>0</v>
      </c>
      <c r="M14" s="2"/>
      <c r="N14" s="2">
        <f>M14+'18'!N14</f>
        <v>0</v>
      </c>
      <c r="O14" s="2"/>
      <c r="P14" s="2">
        <f>O14+'18'!P14</f>
        <v>0</v>
      </c>
      <c r="Q14" s="4">
        <f t="shared" si="4"/>
        <v>0</v>
      </c>
      <c r="R14" s="4">
        <f>Q14+'18'!R14</f>
        <v>2379</v>
      </c>
      <c r="S14" s="27">
        <f t="shared" si="5"/>
        <v>0.47305627361304436</v>
      </c>
      <c r="T14" s="12"/>
      <c r="U14" s="12">
        <f>T14+'18'!U14</f>
        <v>341</v>
      </c>
      <c r="V14" s="12"/>
      <c r="W14" s="12">
        <f>V14+'18'!W14</f>
        <v>29</v>
      </c>
      <c r="X14" s="12"/>
      <c r="Y14" s="12">
        <f>X14+'18'!Y14</f>
        <v>0</v>
      </c>
      <c r="AB14" s="5">
        <v>4</v>
      </c>
      <c r="AC14" s="26" t="str">
        <f>'18'!AC14</f>
        <v>أبنــــــــــــــــهس</v>
      </c>
      <c r="AD14" s="28">
        <f>'18'!AI14</f>
        <v>196</v>
      </c>
      <c r="AE14" s="3"/>
      <c r="AF14" s="28">
        <f>AE14+'18'!AF14</f>
        <v>440</v>
      </c>
      <c r="AG14" s="4"/>
      <c r="AH14" s="28">
        <f>AG14+'18'!AH14</f>
        <v>244</v>
      </c>
      <c r="AI14" s="4">
        <f t="shared" si="6"/>
        <v>196</v>
      </c>
      <c r="AJ14" s="11" t="e">
        <f t="shared" si="0"/>
        <v>#DIV/0!</v>
      </c>
      <c r="AK14" s="53">
        <f t="shared" si="1"/>
        <v>9.75</v>
      </c>
      <c r="AM14" s="316" t="s">
        <v>42</v>
      </c>
      <c r="AN14" s="317"/>
      <c r="AO14" s="318"/>
      <c r="AP14" s="319"/>
      <c r="AQ14" s="319"/>
      <c r="AR14" s="319"/>
      <c r="AS14" s="320"/>
      <c r="AT14" s="39">
        <f>AT13+AI51</f>
        <v>6357</v>
      </c>
      <c r="AU14" s="57"/>
      <c r="AW14" s="26" t="str">
        <f>'18'!AW14</f>
        <v>أبنــــــــــــــــهس</v>
      </c>
      <c r="AX14" s="12">
        <f>'18'!AX14</f>
        <v>7</v>
      </c>
      <c r="AY14" s="12">
        <f>'18'!AY14</f>
        <v>2531</v>
      </c>
      <c r="AZ14" s="12"/>
      <c r="BA14" s="12"/>
      <c r="BB14" s="12">
        <f>BA14+'18'!BB14</f>
        <v>2092</v>
      </c>
      <c r="BC14" s="30">
        <f t="shared" si="2"/>
        <v>0.82655077044646386</v>
      </c>
      <c r="BD14" s="12">
        <f>'18'!BD14</f>
        <v>23</v>
      </c>
      <c r="BE14" s="12">
        <f>'18'!BE14</f>
        <v>921</v>
      </c>
      <c r="BF14" s="12"/>
      <c r="BG14" s="12"/>
      <c r="BH14" s="12">
        <f>BG14+'18'!BH14</f>
        <v>287</v>
      </c>
      <c r="BI14" s="30">
        <f t="shared" si="3"/>
        <v>0.31161780673181327</v>
      </c>
    </row>
    <row r="15" spans="1:62" ht="41.5" customHeight="1" x14ac:dyDescent="0.35">
      <c r="A15" s="5">
        <v>5</v>
      </c>
      <c r="B15" s="26" t="str">
        <f>'18'!B15</f>
        <v>ميت ســـــــــراج</v>
      </c>
      <c r="C15" s="26">
        <f>'18'!C15</f>
        <v>2369</v>
      </c>
      <c r="D15" s="26"/>
      <c r="E15" s="12"/>
      <c r="F15" s="2">
        <f>E15+'18'!F15</f>
        <v>4</v>
      </c>
      <c r="G15" s="2"/>
      <c r="H15" s="2">
        <f>G15+'18'!H15</f>
        <v>472</v>
      </c>
      <c r="I15" s="2"/>
      <c r="J15" s="2">
        <f>I15+'18'!J15</f>
        <v>839</v>
      </c>
      <c r="K15" s="2"/>
      <c r="L15" s="2">
        <f>K15+'18'!L15</f>
        <v>0</v>
      </c>
      <c r="M15" s="2"/>
      <c r="N15" s="2">
        <f>M15+'18'!N15</f>
        <v>0</v>
      </c>
      <c r="O15" s="2"/>
      <c r="P15" s="2">
        <f>O15+'18'!P15</f>
        <v>0</v>
      </c>
      <c r="Q15" s="4">
        <f t="shared" si="4"/>
        <v>0</v>
      </c>
      <c r="R15" s="4">
        <f>Q15+'18'!R15</f>
        <v>1315</v>
      </c>
      <c r="S15" s="27">
        <f t="shared" si="5"/>
        <v>0.55508653440270161</v>
      </c>
      <c r="T15" s="12"/>
      <c r="U15" s="12">
        <f>T15+'18'!U15</f>
        <v>105</v>
      </c>
      <c r="V15" s="12"/>
      <c r="W15" s="12">
        <f>V15+'18'!W15</f>
        <v>37</v>
      </c>
      <c r="X15" s="12"/>
      <c r="Y15" s="12">
        <f>X15+'18'!Y15</f>
        <v>0</v>
      </c>
      <c r="AB15" s="5">
        <v>5</v>
      </c>
      <c r="AC15" s="26" t="str">
        <f>'18'!AC15</f>
        <v>ميت ســـــــــراج</v>
      </c>
      <c r="AD15" s="28">
        <f>'18'!AI15</f>
        <v>74</v>
      </c>
      <c r="AE15" s="3"/>
      <c r="AF15" s="28">
        <f>AE15+'18'!AF15</f>
        <v>209</v>
      </c>
      <c r="AG15" s="4"/>
      <c r="AH15" s="28">
        <f>AG15+'18'!AH15</f>
        <v>135</v>
      </c>
      <c r="AI15" s="4">
        <f t="shared" si="6"/>
        <v>74</v>
      </c>
      <c r="AJ15" s="11" t="e">
        <f t="shared" si="0"/>
        <v>#DIV/0!</v>
      </c>
      <c r="AK15" s="53">
        <f t="shared" si="1"/>
        <v>9.7407407407407405</v>
      </c>
      <c r="AW15" s="26" t="str">
        <f>'18'!AW15</f>
        <v>ميت ســـــــــراج</v>
      </c>
      <c r="AX15" s="12">
        <f>'18'!AX15</f>
        <v>2</v>
      </c>
      <c r="AY15" s="12">
        <f>'18'!AY15</f>
        <v>1041</v>
      </c>
      <c r="AZ15" s="12"/>
      <c r="BA15" s="12"/>
      <c r="BB15" s="12">
        <f>BA15+'18'!BB15</f>
        <v>874</v>
      </c>
      <c r="BC15" s="30">
        <f t="shared" si="2"/>
        <v>0.83957732949087416</v>
      </c>
      <c r="BD15" s="12">
        <f>'18'!BD15</f>
        <v>5</v>
      </c>
      <c r="BE15" s="12">
        <f>'18'!BE15</f>
        <v>310</v>
      </c>
      <c r="BF15" s="12"/>
      <c r="BG15" s="12"/>
      <c r="BH15" s="12">
        <f>BG15+'18'!BH15</f>
        <v>385</v>
      </c>
      <c r="BI15" s="30">
        <f t="shared" si="3"/>
        <v>1.2419354838709677</v>
      </c>
    </row>
    <row r="16" spans="1:62" ht="41.5" customHeight="1" x14ac:dyDescent="0.35">
      <c r="A16" s="5">
        <v>6</v>
      </c>
      <c r="B16" s="26" t="str">
        <f>'18'!B16</f>
        <v>أم خــــــــــــــنان</v>
      </c>
      <c r="C16" s="26">
        <f>'18'!C16</f>
        <v>4900</v>
      </c>
      <c r="D16" s="26"/>
      <c r="E16" s="12"/>
      <c r="F16" s="2">
        <f>E16+'18'!F16</f>
        <v>11</v>
      </c>
      <c r="G16" s="2"/>
      <c r="H16" s="2">
        <f>G16+'18'!H16</f>
        <v>280</v>
      </c>
      <c r="I16" s="2"/>
      <c r="J16" s="2">
        <f>I16+'18'!J16</f>
        <v>1942</v>
      </c>
      <c r="K16" s="2"/>
      <c r="L16" s="2">
        <f>K16+'18'!L16</f>
        <v>0</v>
      </c>
      <c r="M16" s="2"/>
      <c r="N16" s="2">
        <f>M16+'18'!N16</f>
        <v>0</v>
      </c>
      <c r="O16" s="2"/>
      <c r="P16" s="2">
        <f>O16+'18'!P16</f>
        <v>0</v>
      </c>
      <c r="Q16" s="4">
        <f t="shared" si="4"/>
        <v>0</v>
      </c>
      <c r="R16" s="4">
        <f>Q16+'18'!R16</f>
        <v>2233</v>
      </c>
      <c r="S16" s="27">
        <f t="shared" si="5"/>
        <v>0.45571428571428574</v>
      </c>
      <c r="T16" s="12"/>
      <c r="U16" s="12">
        <f>T16+'18'!U16</f>
        <v>375</v>
      </c>
      <c r="V16" s="12"/>
      <c r="W16" s="12">
        <f>V16+'18'!W16</f>
        <v>0</v>
      </c>
      <c r="X16" s="12"/>
      <c r="Y16" s="12">
        <f>X16+'18'!Y16</f>
        <v>0</v>
      </c>
      <c r="AB16" s="5">
        <v>6</v>
      </c>
      <c r="AC16" s="26" t="str">
        <f>'18'!AC16</f>
        <v>أم خــــــــــــــنان</v>
      </c>
      <c r="AD16" s="28">
        <f>'18'!AI16</f>
        <v>204</v>
      </c>
      <c r="AE16" s="3"/>
      <c r="AF16" s="28">
        <f>AE16+'18'!AF16</f>
        <v>430</v>
      </c>
      <c r="AG16" s="4"/>
      <c r="AH16" s="28">
        <f>AG16+'18'!AH16</f>
        <v>226</v>
      </c>
      <c r="AI16" s="4">
        <f t="shared" si="6"/>
        <v>204</v>
      </c>
      <c r="AJ16" s="11" t="e">
        <f t="shared" si="0"/>
        <v>#DIV/0!</v>
      </c>
      <c r="AK16" s="53">
        <f t="shared" si="1"/>
        <v>9.8805309734513269</v>
      </c>
      <c r="AW16" s="26" t="str">
        <f>'18'!AW16</f>
        <v>أم خــــــــــــــنان</v>
      </c>
      <c r="AX16" s="12">
        <f>'18'!AX16</f>
        <v>8</v>
      </c>
      <c r="AY16" s="12">
        <f>'18'!AY16</f>
        <v>2981</v>
      </c>
      <c r="AZ16" s="12"/>
      <c r="BA16" s="12"/>
      <c r="BB16" s="12">
        <f>BA16+'18'!BB16</f>
        <v>2132</v>
      </c>
      <c r="BC16" s="30">
        <f t="shared" si="2"/>
        <v>0.71519624287151962</v>
      </c>
      <c r="BD16" s="12">
        <f>'18'!BD16</f>
        <v>12</v>
      </c>
      <c r="BE16" s="12">
        <f>'18'!BE16</f>
        <v>1313</v>
      </c>
      <c r="BF16" s="12"/>
      <c r="BG16" s="12"/>
      <c r="BH16" s="12">
        <f>BG16+'18'!BH16</f>
        <v>0</v>
      </c>
      <c r="BI16" s="30">
        <f t="shared" si="3"/>
        <v>0</v>
      </c>
    </row>
    <row r="17" spans="1:61" ht="41.5" customHeight="1" x14ac:dyDescent="0.35">
      <c r="A17" s="5">
        <v>7</v>
      </c>
      <c r="B17" s="26" t="str">
        <f>'18'!B17</f>
        <v>أجهور الرمل</v>
      </c>
      <c r="C17" s="26">
        <f>'18'!C17</f>
        <v>3590</v>
      </c>
      <c r="D17" s="26"/>
      <c r="E17" s="12"/>
      <c r="F17" s="2">
        <f>E17+'18'!F17</f>
        <v>17</v>
      </c>
      <c r="G17" s="2"/>
      <c r="H17" s="2">
        <f>G17+'18'!H17</f>
        <v>591</v>
      </c>
      <c r="I17" s="2"/>
      <c r="J17" s="2">
        <f>I17+'18'!J17</f>
        <v>1489</v>
      </c>
      <c r="K17" s="2"/>
      <c r="L17" s="2">
        <f>K17+'18'!L17</f>
        <v>0</v>
      </c>
      <c r="M17" s="2"/>
      <c r="N17" s="2">
        <f>M17+'18'!N17</f>
        <v>0</v>
      </c>
      <c r="O17" s="2"/>
      <c r="P17" s="2">
        <f>O17+'18'!P17</f>
        <v>0</v>
      </c>
      <c r="Q17" s="4">
        <f t="shared" si="4"/>
        <v>0</v>
      </c>
      <c r="R17" s="4">
        <f>Q17+'18'!R17</f>
        <v>2097</v>
      </c>
      <c r="S17" s="27">
        <f t="shared" si="5"/>
        <v>0.58412256267409468</v>
      </c>
      <c r="T17" s="12"/>
      <c r="U17" s="12">
        <f>T17+'18'!U17</f>
        <v>360</v>
      </c>
      <c r="V17" s="12"/>
      <c r="W17" s="12">
        <f>V17+'18'!W17</f>
        <v>121</v>
      </c>
      <c r="X17" s="12"/>
      <c r="Y17" s="12">
        <f>X17+'18'!Y17</f>
        <v>0</v>
      </c>
      <c r="AB17" s="5">
        <v>7</v>
      </c>
      <c r="AC17" s="26" t="str">
        <f>'18'!AC17</f>
        <v>أجهور الرمل</v>
      </c>
      <c r="AD17" s="28">
        <f>'18'!AI17</f>
        <v>100</v>
      </c>
      <c r="AE17" s="3"/>
      <c r="AF17" s="28">
        <f>AE17+'18'!AF17</f>
        <v>316</v>
      </c>
      <c r="AG17" s="4"/>
      <c r="AH17" s="28">
        <f>AG17+'18'!AH17</f>
        <v>216</v>
      </c>
      <c r="AI17" s="4">
        <f t="shared" si="6"/>
        <v>100</v>
      </c>
      <c r="AJ17" s="11" t="e">
        <f t="shared" si="0"/>
        <v>#DIV/0!</v>
      </c>
      <c r="AK17" s="53">
        <f t="shared" si="1"/>
        <v>9.7083333333333339</v>
      </c>
      <c r="AW17" s="26" t="str">
        <f>'18'!AW17</f>
        <v>أجهور الرمل</v>
      </c>
      <c r="AX17" s="12">
        <f>'18'!AX17</f>
        <v>4</v>
      </c>
      <c r="AY17" s="12">
        <f>'18'!AY17</f>
        <v>1796</v>
      </c>
      <c r="AZ17" s="12"/>
      <c r="BA17" s="12"/>
      <c r="BB17" s="12">
        <f>BA17+'18'!BB17</f>
        <v>1422</v>
      </c>
      <c r="BC17" s="30">
        <f t="shared" si="2"/>
        <v>0.79175946547884191</v>
      </c>
      <c r="BD17" s="12">
        <f>'18'!BD17</f>
        <v>3</v>
      </c>
      <c r="BE17" s="12">
        <f>'18'!BE17</f>
        <v>100</v>
      </c>
      <c r="BF17" s="12"/>
      <c r="BG17" s="12"/>
      <c r="BH17" s="12">
        <f>BG17+'18'!BH17</f>
        <v>441</v>
      </c>
      <c r="BI17" s="30">
        <f t="shared" si="3"/>
        <v>4.41</v>
      </c>
    </row>
    <row r="18" spans="1:61" ht="41.5" customHeight="1" x14ac:dyDescent="0.35">
      <c r="A18" s="5">
        <v>8</v>
      </c>
      <c r="B18" s="26" t="str">
        <f>'18'!B18</f>
        <v>منشأة دمــــــــــلو</v>
      </c>
      <c r="C18" s="26">
        <f>'18'!C18</f>
        <v>1320</v>
      </c>
      <c r="D18" s="26"/>
      <c r="E18" s="12"/>
      <c r="F18" s="2">
        <f>E18+'18'!F18</f>
        <v>18</v>
      </c>
      <c r="G18" s="2"/>
      <c r="H18" s="2">
        <f>G18+'18'!H18</f>
        <v>528</v>
      </c>
      <c r="I18" s="2"/>
      <c r="J18" s="2">
        <f>I18+'18'!J18</f>
        <v>704</v>
      </c>
      <c r="K18" s="2"/>
      <c r="L18" s="2">
        <f>K18+'18'!L18</f>
        <v>0</v>
      </c>
      <c r="M18" s="2"/>
      <c r="N18" s="2">
        <f>M18+'18'!N18</f>
        <v>0</v>
      </c>
      <c r="O18" s="2"/>
      <c r="P18" s="2">
        <f>O18+'18'!P18</f>
        <v>0</v>
      </c>
      <c r="Q18" s="4">
        <f t="shared" si="4"/>
        <v>0</v>
      </c>
      <c r="R18" s="4">
        <f>Q18+'18'!R18</f>
        <v>1250</v>
      </c>
      <c r="S18" s="27">
        <f t="shared" si="5"/>
        <v>0.94696969696969702</v>
      </c>
      <c r="T18" s="12"/>
      <c r="U18" s="12">
        <f>T18+'18'!U18</f>
        <v>175</v>
      </c>
      <c r="V18" s="12"/>
      <c r="W18" s="12">
        <f>V18+'18'!W18</f>
        <v>38</v>
      </c>
      <c r="X18" s="12"/>
      <c r="Y18" s="12">
        <f>X18+'18'!Y18</f>
        <v>0</v>
      </c>
      <c r="AB18" s="5">
        <v>8</v>
      </c>
      <c r="AC18" s="26" t="str">
        <f>'18'!AC18</f>
        <v>منشأة دمــــــــــلو</v>
      </c>
      <c r="AD18" s="28">
        <f>'18'!AI18</f>
        <v>4</v>
      </c>
      <c r="AE18" s="3"/>
      <c r="AF18" s="28">
        <f>AE18+'18'!AF18</f>
        <v>135</v>
      </c>
      <c r="AG18" s="4"/>
      <c r="AH18" s="28">
        <f>AG18+'18'!AH18</f>
        <v>131</v>
      </c>
      <c r="AI18" s="4">
        <f t="shared" si="6"/>
        <v>4</v>
      </c>
      <c r="AJ18" s="11" t="e">
        <f t="shared" si="0"/>
        <v>#DIV/0!</v>
      </c>
      <c r="AK18" s="53">
        <f t="shared" si="1"/>
        <v>9.5419847328244281</v>
      </c>
      <c r="AW18" s="26" t="str">
        <f>'18'!AW18</f>
        <v>منشأة دمــــــــــلو</v>
      </c>
      <c r="AX18" s="12">
        <f>'18'!AX18</f>
        <v>2</v>
      </c>
      <c r="AY18" s="12">
        <f>'18'!AY18</f>
        <v>896</v>
      </c>
      <c r="AZ18" s="12"/>
      <c r="BA18" s="12"/>
      <c r="BB18" s="12">
        <f>BA18+'18'!BB18</f>
        <v>748</v>
      </c>
      <c r="BC18" s="30">
        <f t="shared" si="2"/>
        <v>0.8348214285714286</v>
      </c>
      <c r="BD18" s="12">
        <f>'18'!BD18</f>
        <v>8</v>
      </c>
      <c r="BE18" s="12">
        <f>'18'!BE18</f>
        <v>340</v>
      </c>
      <c r="BF18" s="12"/>
      <c r="BG18" s="12"/>
      <c r="BH18" s="12">
        <f>BG18+'18'!BH18</f>
        <v>328</v>
      </c>
      <c r="BI18" s="30">
        <f t="shared" si="3"/>
        <v>0.96470588235294119</v>
      </c>
    </row>
    <row r="19" spans="1:61" ht="41.5" customHeight="1" x14ac:dyDescent="0.35">
      <c r="A19" s="5">
        <v>9</v>
      </c>
      <c r="B19" s="26" t="str">
        <f>'18'!B19</f>
        <v>شـــــــــــــرانيس</v>
      </c>
      <c r="C19" s="26">
        <f>'18'!C19</f>
        <v>1414</v>
      </c>
      <c r="D19" s="26"/>
      <c r="E19" s="12"/>
      <c r="F19" s="2">
        <f>E19+'18'!F19</f>
        <v>11</v>
      </c>
      <c r="G19" s="2"/>
      <c r="H19" s="2">
        <f>G19+'18'!H19</f>
        <v>359</v>
      </c>
      <c r="I19" s="2"/>
      <c r="J19" s="2">
        <f>I19+'18'!J19</f>
        <v>618</v>
      </c>
      <c r="K19" s="2"/>
      <c r="L19" s="2">
        <f>K19+'18'!L19</f>
        <v>0</v>
      </c>
      <c r="M19" s="2"/>
      <c r="N19" s="2">
        <f>M19+'18'!N19</f>
        <v>0</v>
      </c>
      <c r="O19" s="2"/>
      <c r="P19" s="2">
        <f>O19+'18'!P19</f>
        <v>0</v>
      </c>
      <c r="Q19" s="4">
        <f t="shared" si="4"/>
        <v>0</v>
      </c>
      <c r="R19" s="4">
        <f>Q19+'18'!R19</f>
        <v>988</v>
      </c>
      <c r="S19" s="27">
        <f t="shared" si="5"/>
        <v>0.69872701555869876</v>
      </c>
      <c r="T19" s="12"/>
      <c r="U19" s="12">
        <f>T19+'18'!U19</f>
        <v>143</v>
      </c>
      <c r="V19" s="12"/>
      <c r="W19" s="12">
        <f>V19+'18'!W19</f>
        <v>0</v>
      </c>
      <c r="X19" s="12"/>
      <c r="Y19" s="12">
        <f>X19+'18'!Y19</f>
        <v>0</v>
      </c>
      <c r="AB19" s="5">
        <v>9</v>
      </c>
      <c r="AC19" s="26" t="str">
        <f>'18'!AC19</f>
        <v>شـــــــــــــرانيس</v>
      </c>
      <c r="AD19" s="28">
        <f>'18'!AI19</f>
        <v>22</v>
      </c>
      <c r="AE19" s="3"/>
      <c r="AF19" s="28">
        <f>AE19+'18'!AF19</f>
        <v>125</v>
      </c>
      <c r="AG19" s="4"/>
      <c r="AH19" s="28">
        <f>AG19+'18'!AH19</f>
        <v>103</v>
      </c>
      <c r="AI19" s="4">
        <f t="shared" si="6"/>
        <v>22</v>
      </c>
      <c r="AJ19" s="11" t="e">
        <f t="shared" si="0"/>
        <v>#DIV/0!</v>
      </c>
      <c r="AK19" s="53">
        <f t="shared" si="1"/>
        <v>9.5922330097087372</v>
      </c>
      <c r="AW19" s="26" t="str">
        <f>'18'!AW19</f>
        <v>شـــــــــــــرانيس</v>
      </c>
      <c r="AX19" s="12">
        <f>'18'!AX19</f>
        <v>2</v>
      </c>
      <c r="AY19" s="12">
        <f>'18'!AY19</f>
        <v>675</v>
      </c>
      <c r="AZ19" s="12"/>
      <c r="BA19" s="12"/>
      <c r="BB19" s="12">
        <f>BA19+'18'!BB19</f>
        <v>569</v>
      </c>
      <c r="BC19" s="30">
        <f t="shared" si="2"/>
        <v>0.84296296296296291</v>
      </c>
      <c r="BD19" s="12">
        <f>'18'!BD19</f>
        <v>2</v>
      </c>
      <c r="BE19" s="12">
        <f>'18'!BE19</f>
        <v>397</v>
      </c>
      <c r="BF19" s="12"/>
      <c r="BG19" s="12"/>
      <c r="BH19" s="12">
        <f>BG19+'18'!BH19</f>
        <v>349</v>
      </c>
      <c r="BI19" s="30">
        <f t="shared" si="3"/>
        <v>0.87909319899244331</v>
      </c>
    </row>
    <row r="20" spans="1:61" ht="41.5" customHeight="1" x14ac:dyDescent="0.35">
      <c r="A20" s="5">
        <v>10</v>
      </c>
      <c r="B20" s="26" t="str">
        <f>'18'!B20</f>
        <v>قويســـــــــنا البلد</v>
      </c>
      <c r="C20" s="26">
        <f>'18'!C20</f>
        <v>4115</v>
      </c>
      <c r="D20" s="26"/>
      <c r="E20" s="12"/>
      <c r="F20" s="2">
        <f>E20+'18'!F20</f>
        <v>27</v>
      </c>
      <c r="G20" s="2"/>
      <c r="H20" s="2">
        <f>G20+'18'!H20</f>
        <v>406</v>
      </c>
      <c r="I20" s="2"/>
      <c r="J20" s="2">
        <f>I20+'18'!J20</f>
        <v>1286</v>
      </c>
      <c r="K20" s="2"/>
      <c r="L20" s="2">
        <f>K20+'18'!L20</f>
        <v>0</v>
      </c>
      <c r="M20" s="2"/>
      <c r="N20" s="2">
        <f>M20+'18'!N20</f>
        <v>0</v>
      </c>
      <c r="O20" s="2"/>
      <c r="P20" s="2">
        <f>O20+'18'!P20</f>
        <v>0</v>
      </c>
      <c r="Q20" s="4">
        <f t="shared" si="4"/>
        <v>0</v>
      </c>
      <c r="R20" s="4">
        <f>Q20+'18'!R20</f>
        <v>1719</v>
      </c>
      <c r="S20" s="27">
        <f t="shared" si="5"/>
        <v>0.41773997569866345</v>
      </c>
      <c r="T20" s="12"/>
      <c r="U20" s="12">
        <f>T20+'18'!U20</f>
        <v>405</v>
      </c>
      <c r="V20" s="12"/>
      <c r="W20" s="12">
        <f>V20+'18'!W20</f>
        <v>144</v>
      </c>
      <c r="X20" s="12"/>
      <c r="Y20" s="12">
        <f>X20+'18'!Y20</f>
        <v>0</v>
      </c>
      <c r="AB20" s="5">
        <v>10</v>
      </c>
      <c r="AC20" s="26" t="str">
        <f>'18'!AC20</f>
        <v>قويســـــــــنا البلد</v>
      </c>
      <c r="AD20" s="28">
        <f>'18'!AI20</f>
        <v>185</v>
      </c>
      <c r="AE20" s="3"/>
      <c r="AF20" s="28">
        <f>AE20+'18'!AF20</f>
        <v>360</v>
      </c>
      <c r="AG20" s="4"/>
      <c r="AH20" s="28">
        <f>AG20+'18'!AH20</f>
        <v>175</v>
      </c>
      <c r="AI20" s="4">
        <f t="shared" si="6"/>
        <v>185</v>
      </c>
      <c r="AJ20" s="11" t="e">
        <f t="shared" si="0"/>
        <v>#DIV/0!</v>
      </c>
      <c r="AK20" s="53">
        <f t="shared" si="1"/>
        <v>9.8228571428571421</v>
      </c>
      <c r="AW20" s="26" t="str">
        <f>'18'!AW20</f>
        <v>قويســـــــــنا البلد</v>
      </c>
      <c r="AX20" s="12">
        <f>'18'!AX20</f>
        <v>2</v>
      </c>
      <c r="AY20" s="12">
        <f>'18'!AY20</f>
        <v>1539</v>
      </c>
      <c r="AZ20" s="12"/>
      <c r="BA20" s="12"/>
      <c r="BB20" s="12">
        <f>BA20+'18'!BB20</f>
        <v>1355</v>
      </c>
      <c r="BC20" s="30">
        <f t="shared" si="2"/>
        <v>0.88044184535412606</v>
      </c>
      <c r="BD20" s="12">
        <f>'18'!BD20</f>
        <v>7</v>
      </c>
      <c r="BE20" s="12">
        <f>'18'!BE20</f>
        <v>580</v>
      </c>
      <c r="BF20" s="12"/>
      <c r="BG20" s="12"/>
      <c r="BH20" s="12">
        <f>BG20+'18'!BH20</f>
        <v>204</v>
      </c>
      <c r="BI20" s="30">
        <f t="shared" si="3"/>
        <v>0.35172413793103446</v>
      </c>
    </row>
    <row r="21" spans="1:61" ht="41.5" customHeight="1" x14ac:dyDescent="0.35">
      <c r="A21" s="5">
        <v>11</v>
      </c>
      <c r="B21" s="26" t="str">
        <f>'18'!B21</f>
        <v>بجيرم</v>
      </c>
      <c r="C21" s="26">
        <f>'18'!C21</f>
        <v>1782</v>
      </c>
      <c r="D21" s="26"/>
      <c r="E21" s="12"/>
      <c r="F21" s="2">
        <f>E21+'18'!F21</f>
        <v>8</v>
      </c>
      <c r="G21" s="2"/>
      <c r="H21" s="2">
        <f>G21+'18'!H21</f>
        <v>406</v>
      </c>
      <c r="I21" s="2"/>
      <c r="J21" s="2">
        <f>I21+'18'!J21</f>
        <v>755</v>
      </c>
      <c r="K21" s="2"/>
      <c r="L21" s="2">
        <f>K21+'18'!L21</f>
        <v>0</v>
      </c>
      <c r="M21" s="2"/>
      <c r="N21" s="2">
        <f>M21+'18'!N21</f>
        <v>0</v>
      </c>
      <c r="O21" s="2"/>
      <c r="P21" s="2">
        <f>O21+'18'!P21</f>
        <v>0</v>
      </c>
      <c r="Q21" s="4">
        <f t="shared" si="4"/>
        <v>0</v>
      </c>
      <c r="R21" s="4">
        <f>Q21+'18'!R21</f>
        <v>1169</v>
      </c>
      <c r="S21" s="27">
        <f t="shared" si="5"/>
        <v>0.65600448933782263</v>
      </c>
      <c r="T21" s="12"/>
      <c r="U21" s="12">
        <f>T21+'18'!U21</f>
        <v>126</v>
      </c>
      <c r="V21" s="12"/>
      <c r="W21" s="12">
        <f>V21+'18'!W21</f>
        <v>44</v>
      </c>
      <c r="X21" s="12"/>
      <c r="Y21" s="12">
        <f>X21+'18'!Y21</f>
        <v>0</v>
      </c>
      <c r="AB21" s="5">
        <v>11</v>
      </c>
      <c r="AC21" s="26" t="str">
        <f>'18'!AC21</f>
        <v>بجيرم</v>
      </c>
      <c r="AD21" s="28">
        <f>'18'!AI21</f>
        <v>37</v>
      </c>
      <c r="AE21" s="3"/>
      <c r="AF21" s="28">
        <f>AE21+'18'!AF21</f>
        <v>157</v>
      </c>
      <c r="AG21" s="4"/>
      <c r="AH21" s="28">
        <f>AG21+'18'!AH21</f>
        <v>120</v>
      </c>
      <c r="AI21" s="4">
        <f t="shared" si="6"/>
        <v>37</v>
      </c>
      <c r="AJ21" s="11" t="e">
        <f t="shared" si="0"/>
        <v>#DIV/0!</v>
      </c>
      <c r="AK21" s="53">
        <f t="shared" si="1"/>
        <v>9.7416666666666671</v>
      </c>
      <c r="AW21" s="26" t="str">
        <f>'18'!AW21</f>
        <v>بجيرم</v>
      </c>
      <c r="AX21" s="12">
        <f>'18'!AX21</f>
        <v>4</v>
      </c>
      <c r="AY21" s="12">
        <f>'18'!AY21</f>
        <v>946</v>
      </c>
      <c r="AZ21" s="12"/>
      <c r="BA21" s="12"/>
      <c r="BB21" s="12">
        <f>BA21+'18'!BB21</f>
        <v>823</v>
      </c>
      <c r="BC21" s="30">
        <f t="shared" si="2"/>
        <v>0.86997885835095135</v>
      </c>
      <c r="BD21" s="12">
        <f>'18'!BD21</f>
        <v>4</v>
      </c>
      <c r="BE21" s="12">
        <f>'18'!BE21</f>
        <v>99</v>
      </c>
      <c r="BF21" s="12"/>
      <c r="BG21" s="12"/>
      <c r="BH21" s="12">
        <f>BG21+'18'!BH21</f>
        <v>99</v>
      </c>
      <c r="BI21" s="30">
        <f t="shared" si="3"/>
        <v>1</v>
      </c>
    </row>
    <row r="22" spans="1:61" ht="30" customHeight="1" x14ac:dyDescent="0.35">
      <c r="A22" s="5">
        <v>12</v>
      </c>
      <c r="B22" s="26" t="str">
        <f>'18'!B22</f>
        <v>كفر بنى غريـــان</v>
      </c>
      <c r="C22" s="26">
        <f>'18'!C22</f>
        <v>2184</v>
      </c>
      <c r="D22" s="26"/>
      <c r="E22" s="12"/>
      <c r="F22" s="2">
        <f>E22+'18'!F22</f>
        <v>12</v>
      </c>
      <c r="G22" s="2"/>
      <c r="H22" s="2">
        <f>G22+'18'!H22</f>
        <v>471</v>
      </c>
      <c r="I22" s="2"/>
      <c r="J22" s="2">
        <f>I22+'18'!J22</f>
        <v>971</v>
      </c>
      <c r="K22" s="2"/>
      <c r="L22" s="2">
        <f>K22+'18'!L22</f>
        <v>0</v>
      </c>
      <c r="M22" s="2"/>
      <c r="N22" s="2">
        <f>M22+'18'!N22</f>
        <v>0</v>
      </c>
      <c r="O22" s="2"/>
      <c r="P22" s="2">
        <f>O22+'18'!P22</f>
        <v>0</v>
      </c>
      <c r="Q22" s="4">
        <f t="shared" si="4"/>
        <v>0</v>
      </c>
      <c r="R22" s="4">
        <f>Q22+'18'!R22</f>
        <v>1454</v>
      </c>
      <c r="S22" s="27">
        <f t="shared" si="5"/>
        <v>0.66575091575091572</v>
      </c>
      <c r="T22" s="12"/>
      <c r="U22" s="12">
        <f>T22+'18'!U22</f>
        <v>174</v>
      </c>
      <c r="V22" s="12"/>
      <c r="W22" s="12">
        <f>V22+'18'!W22</f>
        <v>7</v>
      </c>
      <c r="X22" s="12"/>
      <c r="Y22" s="12">
        <f>X22+'18'!Y22</f>
        <v>0</v>
      </c>
      <c r="AB22" s="5">
        <v>12</v>
      </c>
      <c r="AC22" s="26" t="str">
        <f>'18'!AC22</f>
        <v>كفر بنى غريـــان</v>
      </c>
      <c r="AD22" s="28">
        <f>'18'!AI22</f>
        <v>42</v>
      </c>
      <c r="AE22" s="3"/>
      <c r="AF22" s="28">
        <f>AE22+'18'!AF22</f>
        <v>192</v>
      </c>
      <c r="AG22" s="4"/>
      <c r="AH22" s="28">
        <f>AG22+'18'!AH22</f>
        <v>150</v>
      </c>
      <c r="AI22" s="4">
        <f t="shared" si="6"/>
        <v>42</v>
      </c>
      <c r="AJ22" s="11" t="e">
        <f t="shared" si="0"/>
        <v>#DIV/0!</v>
      </c>
      <c r="AK22" s="53">
        <f t="shared" si="1"/>
        <v>9.6933333333333334</v>
      </c>
      <c r="AW22" s="26" t="str">
        <f>'18'!AW22</f>
        <v>كفر بنى غريـــان</v>
      </c>
      <c r="AX22" s="12">
        <f>'18'!AX22</f>
        <v>3</v>
      </c>
      <c r="AY22" s="12">
        <f>'18'!AY22</f>
        <v>1327</v>
      </c>
      <c r="AZ22" s="12"/>
      <c r="BA22" s="12"/>
      <c r="BB22" s="12">
        <f>BA22+'18'!BB22</f>
        <v>994</v>
      </c>
      <c r="BC22" s="30">
        <f t="shared" si="2"/>
        <v>0.74905802562170309</v>
      </c>
      <c r="BD22" s="12">
        <f>'18'!BD22</f>
        <v>9</v>
      </c>
      <c r="BE22" s="12">
        <f>'18'!BE22</f>
        <v>381</v>
      </c>
      <c r="BF22" s="12"/>
      <c r="BG22" s="12"/>
      <c r="BH22" s="12">
        <f>BG22+'18'!BH22</f>
        <v>387</v>
      </c>
      <c r="BI22" s="30">
        <f t="shared" si="3"/>
        <v>1.015748031496063</v>
      </c>
    </row>
    <row r="23" spans="1:61" ht="30" customHeight="1" x14ac:dyDescent="0.35">
      <c r="A23" s="5">
        <v>13</v>
      </c>
      <c r="B23" s="26" t="str">
        <f>'18'!B23</f>
        <v>بــقســـــــــــــــــا</v>
      </c>
      <c r="C23" s="26">
        <f>'18'!C23</f>
        <v>862</v>
      </c>
      <c r="D23" s="26"/>
      <c r="E23" s="12"/>
      <c r="F23" s="2">
        <f>E23+'18'!F23</f>
        <v>8</v>
      </c>
      <c r="G23" s="2"/>
      <c r="H23" s="2">
        <f>G23+'18'!H23</f>
        <v>160</v>
      </c>
      <c r="I23" s="2"/>
      <c r="J23" s="2">
        <f>I23+'18'!J23</f>
        <v>359</v>
      </c>
      <c r="K23" s="2"/>
      <c r="L23" s="2">
        <f>K23+'18'!L23</f>
        <v>0</v>
      </c>
      <c r="M23" s="2"/>
      <c r="N23" s="2">
        <f>M23+'18'!N23</f>
        <v>0</v>
      </c>
      <c r="O23" s="2"/>
      <c r="P23" s="2">
        <f>O23+'18'!P23</f>
        <v>0</v>
      </c>
      <c r="Q23" s="4">
        <f t="shared" si="4"/>
        <v>0</v>
      </c>
      <c r="R23" s="4">
        <f>Q23+'18'!R23</f>
        <v>527</v>
      </c>
      <c r="S23" s="27">
        <f t="shared" si="5"/>
        <v>0.61136890951276102</v>
      </c>
      <c r="T23" s="12"/>
      <c r="U23" s="12">
        <f>T23+'18'!U23</f>
        <v>36</v>
      </c>
      <c r="V23" s="12"/>
      <c r="W23" s="12">
        <f>V23+'18'!W23</f>
        <v>14</v>
      </c>
      <c r="X23" s="12"/>
      <c r="Y23" s="12">
        <f>X23+'18'!Y23</f>
        <v>0</v>
      </c>
      <c r="AB23" s="5">
        <v>13</v>
      </c>
      <c r="AC23" s="26" t="str">
        <f>'18'!AC23</f>
        <v>بــقســـــــــــــــــا</v>
      </c>
      <c r="AD23" s="28">
        <f>'18'!AI23</f>
        <v>22</v>
      </c>
      <c r="AE23" s="3"/>
      <c r="AF23" s="28">
        <f>AE23+'18'!AF23</f>
        <v>75</v>
      </c>
      <c r="AG23" s="4"/>
      <c r="AH23" s="28">
        <f>AG23+'18'!AH23</f>
        <v>53</v>
      </c>
      <c r="AI23" s="4">
        <f t="shared" si="6"/>
        <v>22</v>
      </c>
      <c r="AJ23" s="11" t="e">
        <f t="shared" si="0"/>
        <v>#DIV/0!</v>
      </c>
      <c r="AK23" s="53">
        <f t="shared" si="1"/>
        <v>9.9433962264150946</v>
      </c>
      <c r="AW23" s="26" t="str">
        <f>'18'!AW23</f>
        <v>بــقســـــــــــــــــا</v>
      </c>
      <c r="AX23" s="12">
        <f>'18'!AX23</f>
        <v>1</v>
      </c>
      <c r="AY23" s="12">
        <f>'18'!AY23</f>
        <v>311</v>
      </c>
      <c r="AZ23" s="12"/>
      <c r="BA23" s="12"/>
      <c r="BB23" s="12">
        <f>BA23+'18'!BB23</f>
        <v>297</v>
      </c>
      <c r="BC23" s="30">
        <f t="shared" si="2"/>
        <v>0.954983922829582</v>
      </c>
      <c r="BD23" s="12">
        <f>'18'!BD23</f>
        <v>1</v>
      </c>
      <c r="BE23" s="12">
        <f>'18'!BE23</f>
        <v>40</v>
      </c>
      <c r="BF23" s="12"/>
      <c r="BG23" s="12"/>
      <c r="BH23" s="12">
        <f>BG23+'18'!BH23</f>
        <v>30</v>
      </c>
      <c r="BI23" s="30">
        <f t="shared" si="3"/>
        <v>0.75</v>
      </c>
    </row>
    <row r="24" spans="1:61" ht="37.15" customHeight="1" x14ac:dyDescent="0.35">
      <c r="A24" s="5">
        <v>14</v>
      </c>
      <c r="B24" s="26" t="str">
        <f>'18'!B24</f>
        <v>كفــــــــر الأكرم</v>
      </c>
      <c r="C24" s="26">
        <f>'18'!C24</f>
        <v>918</v>
      </c>
      <c r="D24" s="26"/>
      <c r="E24" s="12"/>
      <c r="F24" s="2">
        <f>E24+'18'!F24</f>
        <v>3</v>
      </c>
      <c r="G24" s="2"/>
      <c r="H24" s="2">
        <f>G24+'18'!H24</f>
        <v>233</v>
      </c>
      <c r="I24" s="2"/>
      <c r="J24" s="2">
        <f>I24+'18'!J24</f>
        <v>392</v>
      </c>
      <c r="K24" s="2"/>
      <c r="L24" s="2">
        <f>K24+'18'!L24</f>
        <v>0</v>
      </c>
      <c r="M24" s="2"/>
      <c r="N24" s="2">
        <f>M24+'18'!N24</f>
        <v>0</v>
      </c>
      <c r="O24" s="2"/>
      <c r="P24" s="2">
        <f>O24+'18'!P24</f>
        <v>0</v>
      </c>
      <c r="Q24" s="4">
        <f t="shared" si="4"/>
        <v>0</v>
      </c>
      <c r="R24" s="4">
        <f>Q24+'18'!R24</f>
        <v>628</v>
      </c>
      <c r="S24" s="27">
        <f t="shared" si="5"/>
        <v>0.68409586056644878</v>
      </c>
      <c r="T24" s="12"/>
      <c r="U24" s="12">
        <f>T24+'18'!U24</f>
        <v>87</v>
      </c>
      <c r="V24" s="12"/>
      <c r="W24" s="12">
        <f>V24+'18'!W24</f>
        <v>9</v>
      </c>
      <c r="X24" s="12"/>
      <c r="Y24" s="12">
        <f>X24+'18'!Y24</f>
        <v>0</v>
      </c>
      <c r="AB24" s="5">
        <v>14</v>
      </c>
      <c r="AC24" s="26" t="str">
        <f>'18'!AC24</f>
        <v>كفــــــــر الأكرم</v>
      </c>
      <c r="AD24" s="28">
        <f>'18'!AI24</f>
        <v>15</v>
      </c>
      <c r="AE24" s="3"/>
      <c r="AF24" s="28">
        <f>AE24+'18'!AF24</f>
        <v>80</v>
      </c>
      <c r="AG24" s="4"/>
      <c r="AH24" s="28">
        <f>AG24+'18'!AH24</f>
        <v>65</v>
      </c>
      <c r="AI24" s="4">
        <f t="shared" si="6"/>
        <v>15</v>
      </c>
      <c r="AJ24" s="11" t="e">
        <f t="shared" si="0"/>
        <v>#DIV/0!</v>
      </c>
      <c r="AK24" s="53">
        <f t="shared" si="1"/>
        <v>9.661538461538461</v>
      </c>
      <c r="AW24" s="26" t="str">
        <f>'18'!AW24</f>
        <v>كفــــــــر الأكرم</v>
      </c>
      <c r="AX24" s="12">
        <f>'18'!AX24</f>
        <v>2</v>
      </c>
      <c r="AY24" s="12">
        <f>'18'!AY24</f>
        <v>540</v>
      </c>
      <c r="AZ24" s="12"/>
      <c r="BA24" s="12"/>
      <c r="BB24" s="12">
        <f>BA24+'18'!BB24</f>
        <v>380</v>
      </c>
      <c r="BC24" s="30">
        <f t="shared" si="2"/>
        <v>0.70370370370370372</v>
      </c>
      <c r="BD24" s="12">
        <f>'18'!BD24</f>
        <v>2</v>
      </c>
      <c r="BE24" s="12">
        <f>'18'!BE24</f>
        <v>115</v>
      </c>
      <c r="BF24" s="12"/>
      <c r="BG24" s="12"/>
      <c r="BH24" s="12">
        <f>BG24+'18'!BH24</f>
        <v>160</v>
      </c>
      <c r="BI24" s="30">
        <f t="shared" si="3"/>
        <v>1.3913043478260869</v>
      </c>
    </row>
    <row r="25" spans="1:61" ht="28.9" customHeight="1" x14ac:dyDescent="0.35">
      <c r="A25" s="5">
        <v>15</v>
      </c>
      <c r="B25" s="26" t="str">
        <f>'18'!B25</f>
        <v>كفـــــــــر إبنهس</v>
      </c>
      <c r="C25" s="26">
        <f>'18'!C25</f>
        <v>2072</v>
      </c>
      <c r="D25" s="26"/>
      <c r="E25" s="12"/>
      <c r="F25" s="2">
        <f>E25+'18'!F25</f>
        <v>6</v>
      </c>
      <c r="G25" s="2"/>
      <c r="H25" s="2">
        <f>G25+'18'!H25</f>
        <v>345</v>
      </c>
      <c r="I25" s="2"/>
      <c r="J25" s="2">
        <f>I25+'18'!J25</f>
        <v>974</v>
      </c>
      <c r="K25" s="2"/>
      <c r="L25" s="2">
        <f>K25+'18'!L25</f>
        <v>0</v>
      </c>
      <c r="M25" s="2"/>
      <c r="N25" s="2">
        <f>M25+'18'!N25</f>
        <v>0</v>
      </c>
      <c r="O25" s="2"/>
      <c r="P25" s="2">
        <f>O25+'18'!P25</f>
        <v>0</v>
      </c>
      <c r="Q25" s="4">
        <f t="shared" si="4"/>
        <v>0</v>
      </c>
      <c r="R25" s="4">
        <f>Q25+'18'!R25</f>
        <v>1325</v>
      </c>
      <c r="S25" s="27">
        <f t="shared" si="5"/>
        <v>0.63947876447876451</v>
      </c>
      <c r="T25" s="12"/>
      <c r="U25" s="12">
        <f>T25+'18'!U25</f>
        <v>173</v>
      </c>
      <c r="V25" s="12"/>
      <c r="W25" s="12">
        <f>V25+'18'!W25</f>
        <v>50</v>
      </c>
      <c r="X25" s="12"/>
      <c r="Y25" s="12">
        <f>X25+'18'!Y25</f>
        <v>0</v>
      </c>
      <c r="AB25" s="5">
        <v>15</v>
      </c>
      <c r="AC25" s="26" t="str">
        <f>'18'!AC25</f>
        <v>كفـــــــــر إبنهس</v>
      </c>
      <c r="AD25" s="28">
        <f>'18'!AI25</f>
        <v>31</v>
      </c>
      <c r="AE25" s="3"/>
      <c r="AF25" s="28">
        <f>AE25+'18'!AF25</f>
        <v>180</v>
      </c>
      <c r="AG25" s="4"/>
      <c r="AH25" s="28">
        <f>AG25+'18'!AH25</f>
        <v>149</v>
      </c>
      <c r="AI25" s="4">
        <f t="shared" si="6"/>
        <v>31</v>
      </c>
      <c r="AJ25" s="11" t="e">
        <f t="shared" si="0"/>
        <v>#DIV/0!</v>
      </c>
      <c r="AK25" s="53">
        <f t="shared" si="1"/>
        <v>8.8926174496644297</v>
      </c>
      <c r="AW25" s="26" t="str">
        <f>'18'!AW25</f>
        <v>كفـــــــــر إبنهس</v>
      </c>
      <c r="AX25" s="12">
        <f>'18'!AX25</f>
        <v>3</v>
      </c>
      <c r="AY25" s="12">
        <f>'18'!AY25</f>
        <v>1013</v>
      </c>
      <c r="AZ25" s="12"/>
      <c r="BA25" s="12"/>
      <c r="BB25" s="12">
        <f>BA25+'18'!BB25</f>
        <v>838</v>
      </c>
      <c r="BC25" s="30">
        <f t="shared" si="2"/>
        <v>0.82724580454096741</v>
      </c>
      <c r="BD25" s="12">
        <f>'18'!BD25</f>
        <v>4</v>
      </c>
      <c r="BE25" s="12">
        <f>'18'!BE25</f>
        <v>620</v>
      </c>
      <c r="BF25" s="12"/>
      <c r="BG25" s="12"/>
      <c r="BH25" s="12">
        <f>BG25+'18'!BH25</f>
        <v>507</v>
      </c>
      <c r="BI25" s="30">
        <f t="shared" si="3"/>
        <v>0.81774193548387097</v>
      </c>
    </row>
    <row r="26" spans="1:61" ht="28.9" customHeight="1" x14ac:dyDescent="0.35">
      <c r="A26" s="5">
        <v>16</v>
      </c>
      <c r="B26" s="26" t="str">
        <f>'18'!B26</f>
        <v>الرمــــــــــــــالى</v>
      </c>
      <c r="C26" s="26">
        <f>'18'!C26</f>
        <v>2699</v>
      </c>
      <c r="D26" s="26"/>
      <c r="E26" s="12"/>
      <c r="F26" s="2">
        <f>E26+'18'!F26</f>
        <v>27</v>
      </c>
      <c r="G26" s="2"/>
      <c r="H26" s="2">
        <f>G26+'18'!H26</f>
        <v>312</v>
      </c>
      <c r="I26" s="2"/>
      <c r="J26" s="2">
        <f>I26+'18'!J26</f>
        <v>993</v>
      </c>
      <c r="K26" s="2"/>
      <c r="L26" s="2">
        <f>K26+'18'!L26</f>
        <v>0</v>
      </c>
      <c r="M26" s="2"/>
      <c r="N26" s="2">
        <f>M26+'18'!N26</f>
        <v>0</v>
      </c>
      <c r="O26" s="2"/>
      <c r="P26" s="2">
        <f>O26+'18'!P26</f>
        <v>0</v>
      </c>
      <c r="Q26" s="4">
        <f t="shared" si="4"/>
        <v>0</v>
      </c>
      <c r="R26" s="4">
        <f>Q26+'18'!R26</f>
        <v>1332</v>
      </c>
      <c r="S26" s="27">
        <f t="shared" si="5"/>
        <v>0.49351611708040016</v>
      </c>
      <c r="T26" s="12"/>
      <c r="U26" s="12">
        <f>T26+'18'!U26</f>
        <v>114</v>
      </c>
      <c r="V26" s="12"/>
      <c r="W26" s="12">
        <f>V26+'18'!W26</f>
        <v>108</v>
      </c>
      <c r="X26" s="12"/>
      <c r="Y26" s="12">
        <f>X26+'18'!Y26</f>
        <v>1</v>
      </c>
      <c r="Z26" s="38"/>
      <c r="AB26" s="5">
        <v>16</v>
      </c>
      <c r="AC26" s="26" t="str">
        <f>'18'!AC26</f>
        <v>الرمــــــــــــــالى</v>
      </c>
      <c r="AD26" s="28">
        <f>'18'!AI26</f>
        <v>96</v>
      </c>
      <c r="AE26" s="3"/>
      <c r="AF26" s="28">
        <f>AE26+'18'!AF26</f>
        <v>235</v>
      </c>
      <c r="AG26" s="4"/>
      <c r="AH26" s="28">
        <f>AG26+'18'!AH26</f>
        <v>139</v>
      </c>
      <c r="AI26" s="4">
        <f t="shared" si="6"/>
        <v>96</v>
      </c>
      <c r="AJ26" s="11" t="e">
        <f t="shared" si="0"/>
        <v>#DIV/0!</v>
      </c>
      <c r="AK26" s="53">
        <f t="shared" si="1"/>
        <v>9.5827338129496411</v>
      </c>
      <c r="AV26" s="38"/>
      <c r="AW26" s="26" t="str">
        <f>'18'!AW26</f>
        <v>الرمــــــــــــــالى</v>
      </c>
      <c r="AX26" s="12">
        <f>'18'!AX26</f>
        <v>3</v>
      </c>
      <c r="AY26" s="12">
        <f>'18'!AY26</f>
        <v>1486</v>
      </c>
      <c r="AZ26" s="12"/>
      <c r="BA26" s="12"/>
      <c r="BB26" s="12">
        <f>BA26+'18'!BB26</f>
        <v>1149</v>
      </c>
      <c r="BC26" s="30">
        <f t="shared" si="2"/>
        <v>0.77321668909825036</v>
      </c>
      <c r="BD26" s="12">
        <f>'18'!BD26</f>
        <v>3</v>
      </c>
      <c r="BE26" s="12">
        <f>'18'!BE26</f>
        <v>98</v>
      </c>
      <c r="BF26" s="12"/>
      <c r="BG26" s="12"/>
      <c r="BH26" s="12">
        <f>BG26+'18'!BH26</f>
        <v>0</v>
      </c>
      <c r="BI26" s="30">
        <f t="shared" si="3"/>
        <v>0</v>
      </c>
    </row>
    <row r="27" spans="1:61" ht="28.9" customHeight="1" x14ac:dyDescent="0.35">
      <c r="A27" s="5">
        <v>17</v>
      </c>
      <c r="B27" s="26" t="str">
        <f>'18'!B27</f>
        <v>مصطــــــــــــاى</v>
      </c>
      <c r="C27" s="26">
        <f>'18'!C27</f>
        <v>2666</v>
      </c>
      <c r="D27" s="26"/>
      <c r="E27" s="12"/>
      <c r="F27" s="2">
        <f>E27+'18'!F27</f>
        <v>54</v>
      </c>
      <c r="G27" s="2"/>
      <c r="H27" s="2">
        <f>G27+'18'!H27</f>
        <v>364</v>
      </c>
      <c r="I27" s="2"/>
      <c r="J27" s="2">
        <f>I27+'18'!J27</f>
        <v>1154</v>
      </c>
      <c r="K27" s="2"/>
      <c r="L27" s="2">
        <f>K27+'18'!L27</f>
        <v>0</v>
      </c>
      <c r="M27" s="2"/>
      <c r="N27" s="2">
        <f>M27+'18'!N27</f>
        <v>0</v>
      </c>
      <c r="O27" s="2"/>
      <c r="P27" s="2">
        <f>O27+'18'!P27</f>
        <v>0</v>
      </c>
      <c r="Q27" s="4">
        <f t="shared" si="4"/>
        <v>0</v>
      </c>
      <c r="R27" s="4">
        <f>Q27+'18'!R27</f>
        <v>1572</v>
      </c>
      <c r="S27" s="27">
        <f t="shared" si="5"/>
        <v>0.58964741185296321</v>
      </c>
      <c r="T27" s="12"/>
      <c r="U27" s="12">
        <f>T27+'18'!U27</f>
        <v>45</v>
      </c>
      <c r="V27" s="12"/>
      <c r="W27" s="12">
        <f>V27+'18'!W27</f>
        <v>15</v>
      </c>
      <c r="X27" s="12"/>
      <c r="Y27" s="12">
        <f>X27+'18'!Y27</f>
        <v>0</v>
      </c>
      <c r="AB27" s="5">
        <v>17</v>
      </c>
      <c r="AC27" s="26" t="str">
        <f>'18'!AC27</f>
        <v>مصطــــــــــــاى</v>
      </c>
      <c r="AD27" s="28">
        <f>'18'!AI27</f>
        <v>74</v>
      </c>
      <c r="AE27" s="3"/>
      <c r="AF27" s="28">
        <f>AE27+'18'!AF27</f>
        <v>234</v>
      </c>
      <c r="AG27" s="4"/>
      <c r="AH27" s="28">
        <f>AG27+'18'!AH27</f>
        <v>160</v>
      </c>
      <c r="AI27" s="4">
        <f t="shared" si="6"/>
        <v>74</v>
      </c>
      <c r="AJ27" s="11" t="e">
        <f t="shared" si="0"/>
        <v>#DIV/0!</v>
      </c>
      <c r="AK27" s="53">
        <f t="shared" si="1"/>
        <v>9.8249999999999993</v>
      </c>
      <c r="AW27" s="26" t="str">
        <f>'18'!AW27</f>
        <v>مصطــــــــــــاى</v>
      </c>
      <c r="AX27" s="12">
        <f>'18'!AX27</f>
        <v>3</v>
      </c>
      <c r="AY27" s="12">
        <f>'18'!AY27</f>
        <v>1709</v>
      </c>
      <c r="AZ27" s="12"/>
      <c r="BA27" s="12"/>
      <c r="BB27" s="12">
        <f>BA27+'18'!BB27</f>
        <v>1252</v>
      </c>
      <c r="BC27" s="30">
        <f t="shared" si="2"/>
        <v>0.73259215915740195</v>
      </c>
      <c r="BD27" s="12">
        <f>'18'!BD27</f>
        <v>6</v>
      </c>
      <c r="BE27" s="12">
        <f>'18'!BE27</f>
        <v>696</v>
      </c>
      <c r="BF27" s="12"/>
      <c r="BG27" s="12"/>
      <c r="BH27" s="12">
        <f>BG27+'18'!BH27</f>
        <v>120</v>
      </c>
      <c r="BI27" s="30">
        <f t="shared" si="3"/>
        <v>0.17241379310344829</v>
      </c>
    </row>
    <row r="28" spans="1:61" ht="28.9" customHeight="1" x14ac:dyDescent="0.35">
      <c r="A28" s="5">
        <v>18</v>
      </c>
      <c r="B28" s="26" t="str">
        <f>'18'!B28</f>
        <v>كفر طـــــــه شبرا</v>
      </c>
      <c r="C28" s="26">
        <f>'18'!C28</f>
        <v>1795</v>
      </c>
      <c r="D28" s="26"/>
      <c r="E28" s="12"/>
      <c r="F28" s="2">
        <f>E28+'18'!F28</f>
        <v>8</v>
      </c>
      <c r="G28" s="2"/>
      <c r="H28" s="2">
        <f>G28+'18'!H28</f>
        <v>294</v>
      </c>
      <c r="I28" s="2"/>
      <c r="J28" s="2">
        <f>I28+'18'!J28</f>
        <v>940</v>
      </c>
      <c r="K28" s="2"/>
      <c r="L28" s="2">
        <f>K28+'18'!L28</f>
        <v>0</v>
      </c>
      <c r="M28" s="2"/>
      <c r="N28" s="2">
        <f>M28+'18'!N28</f>
        <v>0</v>
      </c>
      <c r="O28" s="2"/>
      <c r="P28" s="2">
        <f>O28+'18'!P28</f>
        <v>0</v>
      </c>
      <c r="Q28" s="4">
        <f t="shared" si="4"/>
        <v>0</v>
      </c>
      <c r="R28" s="4">
        <f>Q28+'18'!R28</f>
        <v>1242</v>
      </c>
      <c r="S28" s="27">
        <f t="shared" si="5"/>
        <v>0.69192200557103067</v>
      </c>
      <c r="T28" s="12"/>
      <c r="U28" s="12">
        <f>T28+'18'!U28</f>
        <v>136</v>
      </c>
      <c r="V28" s="12"/>
      <c r="W28" s="12">
        <f>V28+'18'!W28</f>
        <v>33</v>
      </c>
      <c r="X28" s="12"/>
      <c r="Y28" s="12">
        <f>X28+'18'!Y28</f>
        <v>0</v>
      </c>
      <c r="AB28" s="5">
        <v>18</v>
      </c>
      <c r="AC28" s="26" t="str">
        <f>'18'!AC28</f>
        <v>كفر طـــــــه شبرا</v>
      </c>
      <c r="AD28" s="28">
        <f>'18'!AI28</f>
        <v>28</v>
      </c>
      <c r="AE28" s="3"/>
      <c r="AF28" s="28">
        <f>AE28+'18'!AF28</f>
        <v>158</v>
      </c>
      <c r="AG28" s="4"/>
      <c r="AH28" s="28">
        <f>AG28+'18'!AH28</f>
        <v>130</v>
      </c>
      <c r="AI28" s="4">
        <f t="shared" si="6"/>
        <v>28</v>
      </c>
      <c r="AJ28" s="11" t="e">
        <f t="shared" si="0"/>
        <v>#DIV/0!</v>
      </c>
      <c r="AK28" s="53">
        <f t="shared" si="1"/>
        <v>9.5538461538461537</v>
      </c>
      <c r="AW28" s="26" t="str">
        <f>'18'!AW28</f>
        <v>كفر طـــــــه شبرا</v>
      </c>
      <c r="AX28" s="12">
        <f>'18'!AX28</f>
        <v>4</v>
      </c>
      <c r="AY28" s="12">
        <f>'18'!AY28</f>
        <v>948</v>
      </c>
      <c r="AZ28" s="12"/>
      <c r="BA28" s="12"/>
      <c r="BB28" s="12">
        <f>BA28+'18'!BB28</f>
        <v>827</v>
      </c>
      <c r="BC28" s="30">
        <f t="shared" si="2"/>
        <v>0.87236286919831219</v>
      </c>
      <c r="BD28" s="12">
        <f>'18'!BD28</f>
        <v>7</v>
      </c>
      <c r="BE28" s="12">
        <f>'18'!BE28</f>
        <v>300</v>
      </c>
      <c r="BF28" s="12"/>
      <c r="BG28" s="12"/>
      <c r="BH28" s="12">
        <f>BG28+'18'!BH28</f>
        <v>403</v>
      </c>
      <c r="BI28" s="30">
        <f t="shared" si="3"/>
        <v>1.3433333333333333</v>
      </c>
    </row>
    <row r="29" spans="1:61" ht="28.9" customHeight="1" x14ac:dyDescent="0.35">
      <c r="A29" s="5">
        <v>19</v>
      </c>
      <c r="B29" s="26" t="str">
        <f>'18'!B29</f>
        <v>كفر أبـــو الحسن</v>
      </c>
      <c r="C29" s="26">
        <f>'18'!C29</f>
        <v>1397</v>
      </c>
      <c r="D29" s="26"/>
      <c r="E29" s="12"/>
      <c r="F29" s="2">
        <f>E29+'18'!F29</f>
        <v>4</v>
      </c>
      <c r="G29" s="2"/>
      <c r="H29" s="2">
        <f>G29+'18'!H29</f>
        <v>238</v>
      </c>
      <c r="I29" s="2"/>
      <c r="J29" s="2">
        <f>I29+'18'!J29</f>
        <v>841</v>
      </c>
      <c r="K29" s="2"/>
      <c r="L29" s="2">
        <f>K29+'18'!L29</f>
        <v>0</v>
      </c>
      <c r="M29" s="2"/>
      <c r="N29" s="2">
        <f>M29+'18'!N29</f>
        <v>0</v>
      </c>
      <c r="O29" s="2"/>
      <c r="P29" s="2">
        <f>O29+'18'!P29</f>
        <v>0</v>
      </c>
      <c r="Q29" s="4">
        <f t="shared" si="4"/>
        <v>0</v>
      </c>
      <c r="R29" s="4">
        <f>Q29+'18'!R29</f>
        <v>1083</v>
      </c>
      <c r="S29" s="27">
        <f t="shared" si="5"/>
        <v>0.77523264137437364</v>
      </c>
      <c r="T29" s="12"/>
      <c r="U29" s="12">
        <f>T29+'18'!U29</f>
        <v>205</v>
      </c>
      <c r="V29" s="12"/>
      <c r="W29" s="12">
        <f>V29+'18'!W29</f>
        <v>18</v>
      </c>
      <c r="X29" s="12"/>
      <c r="Y29" s="12">
        <f>X29+'18'!Y29</f>
        <v>0</v>
      </c>
      <c r="AB29" s="5">
        <v>19</v>
      </c>
      <c r="AC29" s="26" t="str">
        <f>'18'!AC29</f>
        <v>كفر أبـــو الحسن</v>
      </c>
      <c r="AD29" s="28">
        <f>'18'!AI29</f>
        <v>22</v>
      </c>
      <c r="AE29" s="3"/>
      <c r="AF29" s="28">
        <f>AE29+'18'!AF29</f>
        <v>133</v>
      </c>
      <c r="AG29" s="4"/>
      <c r="AH29" s="28">
        <f>AG29+'18'!AH29</f>
        <v>111</v>
      </c>
      <c r="AI29" s="4">
        <f t="shared" si="6"/>
        <v>22</v>
      </c>
      <c r="AJ29" s="11" t="e">
        <f t="shared" si="0"/>
        <v>#DIV/0!</v>
      </c>
      <c r="AK29" s="53">
        <f t="shared" si="1"/>
        <v>9.7567567567567561</v>
      </c>
      <c r="AW29" s="26" t="str">
        <f>'18'!AW29</f>
        <v>كفر أبـــو الحسن</v>
      </c>
      <c r="AX29" s="12">
        <f>'18'!AX29</f>
        <v>3</v>
      </c>
      <c r="AY29" s="12">
        <f>'18'!AY29</f>
        <v>912</v>
      </c>
      <c r="AZ29" s="12"/>
      <c r="BA29" s="12"/>
      <c r="BB29" s="12">
        <f>BA29+'18'!BB29</f>
        <v>760</v>
      </c>
      <c r="BC29" s="30">
        <f t="shared" si="2"/>
        <v>0.83333333333333337</v>
      </c>
      <c r="BD29" s="12">
        <f>'18'!BD29</f>
        <v>9</v>
      </c>
      <c r="BE29" s="12">
        <f>'18'!BE29</f>
        <v>258</v>
      </c>
      <c r="BF29" s="12"/>
      <c r="BG29" s="12"/>
      <c r="BH29" s="12">
        <f>BG29+'18'!BH29</f>
        <v>351</v>
      </c>
      <c r="BI29" s="30">
        <f t="shared" si="3"/>
        <v>1.3604651162790697</v>
      </c>
    </row>
    <row r="30" spans="1:61" ht="28.9" customHeight="1" x14ac:dyDescent="0.35">
      <c r="A30" s="5">
        <v>20</v>
      </c>
      <c r="B30" s="26" t="str">
        <f>'18'!B30</f>
        <v>ميت أبـــــوشيخه</v>
      </c>
      <c r="C30" s="26">
        <f>'18'!C30</f>
        <v>1134</v>
      </c>
      <c r="D30" s="26"/>
      <c r="E30" s="12"/>
      <c r="F30" s="2">
        <f>E30+'18'!F30</f>
        <v>10</v>
      </c>
      <c r="G30" s="2"/>
      <c r="H30" s="2">
        <f>G30+'18'!H30</f>
        <v>144</v>
      </c>
      <c r="I30" s="2"/>
      <c r="J30" s="2">
        <f>I30+'18'!J30</f>
        <v>435</v>
      </c>
      <c r="K30" s="2"/>
      <c r="L30" s="2">
        <f>K30+'18'!L30</f>
        <v>0</v>
      </c>
      <c r="M30" s="2"/>
      <c r="N30" s="2">
        <f>M30+'18'!N30</f>
        <v>0</v>
      </c>
      <c r="O30" s="2"/>
      <c r="P30" s="2">
        <f>O30+'18'!P30</f>
        <v>0</v>
      </c>
      <c r="Q30" s="4">
        <f t="shared" si="4"/>
        <v>0</v>
      </c>
      <c r="R30" s="4">
        <f>Q30+'18'!R30</f>
        <v>589</v>
      </c>
      <c r="S30" s="27">
        <f t="shared" si="5"/>
        <v>0.51940035273368612</v>
      </c>
      <c r="T30" s="12"/>
      <c r="U30" s="12">
        <f>T30+'18'!U30</f>
        <v>68</v>
      </c>
      <c r="V30" s="12"/>
      <c r="W30" s="12">
        <f>V30+'18'!W30</f>
        <v>10</v>
      </c>
      <c r="X30" s="12"/>
      <c r="Y30" s="12">
        <f>X30+'18'!Y30</f>
        <v>0</v>
      </c>
      <c r="AB30" s="5">
        <v>20</v>
      </c>
      <c r="AC30" s="26" t="str">
        <f>'18'!AC30</f>
        <v>ميت أبـــــوشيخه</v>
      </c>
      <c r="AD30" s="28">
        <f>'18'!AI30</f>
        <v>40</v>
      </c>
      <c r="AE30" s="3"/>
      <c r="AF30" s="28">
        <f>AE30+'18'!AF30</f>
        <v>100</v>
      </c>
      <c r="AG30" s="4"/>
      <c r="AH30" s="28">
        <f>AG30+'18'!AH30</f>
        <v>60</v>
      </c>
      <c r="AI30" s="4">
        <f t="shared" si="6"/>
        <v>40</v>
      </c>
      <c r="AJ30" s="11" t="e">
        <f t="shared" si="0"/>
        <v>#DIV/0!</v>
      </c>
      <c r="AK30" s="53">
        <f t="shared" si="1"/>
        <v>9.8166666666666664</v>
      </c>
      <c r="AW30" s="26" t="str">
        <f>'18'!AW30</f>
        <v>ميت أبـــــوشيخه</v>
      </c>
      <c r="AX30" s="12">
        <f>'18'!AX30</f>
        <v>2</v>
      </c>
      <c r="AY30" s="12">
        <f>'18'!AY30</f>
        <v>560</v>
      </c>
      <c r="AZ30" s="12"/>
      <c r="BA30" s="12"/>
      <c r="BB30" s="12">
        <f>BA30+'18'!BB30</f>
        <v>459</v>
      </c>
      <c r="BC30" s="30">
        <f t="shared" si="2"/>
        <v>0.81964285714285712</v>
      </c>
      <c r="BD30" s="12">
        <f>'18'!BD30</f>
        <v>2</v>
      </c>
      <c r="BE30" s="12">
        <f>'18'!BE30</f>
        <v>107</v>
      </c>
      <c r="BF30" s="12"/>
      <c r="BG30" s="12"/>
      <c r="BH30" s="12">
        <f>BG30+'18'!BH30</f>
        <v>85</v>
      </c>
      <c r="BI30" s="30">
        <f t="shared" si="3"/>
        <v>0.79439252336448596</v>
      </c>
    </row>
    <row r="31" spans="1:61" ht="28.9" customHeight="1" x14ac:dyDescent="0.35">
      <c r="A31" s="5">
        <v>21</v>
      </c>
      <c r="B31" s="26" t="str">
        <f>'18'!B31</f>
        <v>طــــــــــــه شبرا</v>
      </c>
      <c r="C31" s="26">
        <f>'18'!C31</f>
        <v>5149</v>
      </c>
      <c r="D31" s="26"/>
      <c r="E31" s="12"/>
      <c r="F31" s="2">
        <f>E31+'18'!F31</f>
        <v>22</v>
      </c>
      <c r="G31" s="2"/>
      <c r="H31" s="2">
        <f>G31+'18'!H31</f>
        <v>967</v>
      </c>
      <c r="I31" s="2"/>
      <c r="J31" s="2">
        <f>I31+'18'!J31</f>
        <v>1288</v>
      </c>
      <c r="K31" s="2"/>
      <c r="L31" s="2">
        <f>K31+'18'!L31</f>
        <v>0</v>
      </c>
      <c r="M31" s="2"/>
      <c r="N31" s="2">
        <f>M31+'18'!N31</f>
        <v>0</v>
      </c>
      <c r="O31" s="2"/>
      <c r="P31" s="2">
        <f>O31+'18'!P31</f>
        <v>0</v>
      </c>
      <c r="Q31" s="4">
        <f t="shared" si="4"/>
        <v>0</v>
      </c>
      <c r="R31" s="4">
        <f>Q31+'18'!R31</f>
        <v>2277</v>
      </c>
      <c r="S31" s="27">
        <f t="shared" si="5"/>
        <v>0.442221790638959</v>
      </c>
      <c r="T31" s="12"/>
      <c r="U31" s="12">
        <f>T31+'18'!U31</f>
        <v>277</v>
      </c>
      <c r="V31" s="12"/>
      <c r="W31" s="12">
        <f>V31+'18'!W31</f>
        <v>3</v>
      </c>
      <c r="X31" s="12"/>
      <c r="Y31" s="12">
        <f>X31+'18'!Y31</f>
        <v>0</v>
      </c>
      <c r="AB31" s="5">
        <v>21</v>
      </c>
      <c r="AC31" s="26" t="str">
        <f>'18'!AC31</f>
        <v>طــــــــــــه شبرا</v>
      </c>
      <c r="AD31" s="28">
        <f>'18'!AI31</f>
        <v>216</v>
      </c>
      <c r="AE31" s="3"/>
      <c r="AF31" s="28">
        <f>AE31+'18'!AF31</f>
        <v>452</v>
      </c>
      <c r="AG31" s="4"/>
      <c r="AH31" s="28">
        <f>AG31+'18'!AH31</f>
        <v>236</v>
      </c>
      <c r="AI31" s="4">
        <f t="shared" si="6"/>
        <v>216</v>
      </c>
      <c r="AJ31" s="11" t="e">
        <f t="shared" si="0"/>
        <v>#DIV/0!</v>
      </c>
      <c r="AK31" s="53">
        <f t="shared" si="1"/>
        <v>9.648305084745763</v>
      </c>
      <c r="AW31" s="26" t="str">
        <f>'18'!AW31</f>
        <v>طــــــــــــه شبرا</v>
      </c>
      <c r="AX31" s="12">
        <f>'18'!AX31</f>
        <v>6</v>
      </c>
      <c r="AY31" s="12">
        <f>'18'!AY31</f>
        <v>2219</v>
      </c>
      <c r="AZ31" s="12"/>
      <c r="BA31" s="12"/>
      <c r="BB31" s="12">
        <f>BA31+'18'!BB31</f>
        <v>1367</v>
      </c>
      <c r="BC31" s="30">
        <f t="shared" si="2"/>
        <v>0.61604326273095988</v>
      </c>
      <c r="BD31" s="12">
        <f>'18'!BD31</f>
        <v>8</v>
      </c>
      <c r="BE31" s="12">
        <f>'18'!BE31</f>
        <v>748</v>
      </c>
      <c r="BF31" s="12"/>
      <c r="BG31" s="12"/>
      <c r="BH31" s="12">
        <f>BG31+'18'!BH31</f>
        <v>690</v>
      </c>
      <c r="BI31" s="30">
        <f t="shared" si="3"/>
        <v>0.92245989304812837</v>
      </c>
    </row>
    <row r="32" spans="1:61" ht="28.9" customHeight="1" x14ac:dyDescent="0.35">
      <c r="A32" s="5">
        <v>22</v>
      </c>
      <c r="B32" s="26" t="str">
        <f>'18'!B32</f>
        <v>أشـــــــــــــــــليم</v>
      </c>
      <c r="C32" s="26">
        <f>'18'!C32</f>
        <v>2638</v>
      </c>
      <c r="D32" s="26"/>
      <c r="E32" s="12"/>
      <c r="F32" s="2">
        <f>E32+'18'!F32</f>
        <v>19</v>
      </c>
      <c r="G32" s="2"/>
      <c r="H32" s="2">
        <f>G32+'18'!H32</f>
        <v>606</v>
      </c>
      <c r="I32" s="2"/>
      <c r="J32" s="2">
        <f>I32+'18'!J32</f>
        <v>1522</v>
      </c>
      <c r="K32" s="2"/>
      <c r="L32" s="2">
        <f>K32+'18'!L32</f>
        <v>0</v>
      </c>
      <c r="M32" s="2"/>
      <c r="N32" s="2">
        <f>M32+'18'!N32</f>
        <v>0</v>
      </c>
      <c r="O32" s="2"/>
      <c r="P32" s="2">
        <f>O32+'18'!P32</f>
        <v>0</v>
      </c>
      <c r="Q32" s="4">
        <f t="shared" si="4"/>
        <v>0</v>
      </c>
      <c r="R32" s="4">
        <f>Q32+'18'!R32</f>
        <v>2147</v>
      </c>
      <c r="S32" s="27">
        <f t="shared" si="5"/>
        <v>0.81387414708112205</v>
      </c>
      <c r="T32" s="12"/>
      <c r="U32" s="12">
        <f>T32+'18'!U32</f>
        <v>149</v>
      </c>
      <c r="V32" s="12"/>
      <c r="W32" s="12">
        <f>V32+'18'!W32</f>
        <v>119</v>
      </c>
      <c r="X32" s="12"/>
      <c r="Y32" s="12">
        <f>X32+'18'!Y32</f>
        <v>0</v>
      </c>
      <c r="AB32" s="5">
        <v>22</v>
      </c>
      <c r="AC32" s="26" t="str">
        <f>'18'!AC32</f>
        <v>أشـــــــــــــــــليم</v>
      </c>
      <c r="AD32" s="28">
        <f>'18'!AI32</f>
        <v>31</v>
      </c>
      <c r="AE32" s="3"/>
      <c r="AF32" s="28">
        <f>AE32+'18'!AF32</f>
        <v>252</v>
      </c>
      <c r="AG32" s="4"/>
      <c r="AH32" s="28">
        <f>AG32+'18'!AH32</f>
        <v>221</v>
      </c>
      <c r="AI32" s="4">
        <f t="shared" si="6"/>
        <v>31</v>
      </c>
      <c r="AJ32" s="11" t="e">
        <f t="shared" si="0"/>
        <v>#DIV/0!</v>
      </c>
      <c r="AK32" s="53">
        <f t="shared" si="1"/>
        <v>9.7149321266968318</v>
      </c>
      <c r="AW32" s="26" t="str">
        <f>'18'!AW32</f>
        <v>أشـــــــــــــــــليم</v>
      </c>
      <c r="AX32" s="12">
        <f>'18'!AX32</f>
        <v>8</v>
      </c>
      <c r="AY32" s="12">
        <f>'18'!AY32</f>
        <v>1819</v>
      </c>
      <c r="AZ32" s="12"/>
      <c r="BA32" s="12"/>
      <c r="BB32" s="12">
        <f>BA32+'18'!BB32</f>
        <v>1506</v>
      </c>
      <c r="BC32" s="30">
        <f t="shared" si="2"/>
        <v>0.82792743265530511</v>
      </c>
      <c r="BD32" s="12">
        <f>'18'!BD32</f>
        <v>7</v>
      </c>
      <c r="BE32" s="12">
        <f>'18'!BE32</f>
        <v>176</v>
      </c>
      <c r="BF32" s="12"/>
      <c r="BG32" s="12"/>
      <c r="BH32" s="12">
        <f>BG32+'18'!BH32</f>
        <v>531</v>
      </c>
      <c r="BI32" s="30">
        <f t="shared" si="3"/>
        <v>3.0170454545454546</v>
      </c>
    </row>
    <row r="33" spans="1:61" ht="28.9" customHeight="1" x14ac:dyDescent="0.35">
      <c r="A33" s="5">
        <v>23</v>
      </c>
      <c r="B33" s="26" t="str">
        <f>'18'!B33</f>
        <v>شبرا قبالــــــــــه</v>
      </c>
      <c r="C33" s="26">
        <f>'18'!C33</f>
        <v>2050</v>
      </c>
      <c r="D33" s="26"/>
      <c r="E33" s="12"/>
      <c r="F33" s="2">
        <f>E33+'18'!F33</f>
        <v>23</v>
      </c>
      <c r="G33" s="2"/>
      <c r="H33" s="2">
        <f>G33+'18'!H33</f>
        <v>644</v>
      </c>
      <c r="I33" s="2"/>
      <c r="J33" s="2">
        <f>I33+'18'!J33</f>
        <v>773</v>
      </c>
      <c r="K33" s="2"/>
      <c r="L33" s="2">
        <f>K33+'18'!L33</f>
        <v>0</v>
      </c>
      <c r="M33" s="2"/>
      <c r="N33" s="2">
        <f>M33+'18'!N33</f>
        <v>0</v>
      </c>
      <c r="O33" s="2"/>
      <c r="P33" s="2">
        <f>O33+'18'!P33</f>
        <v>0</v>
      </c>
      <c r="Q33" s="4">
        <f t="shared" si="4"/>
        <v>0</v>
      </c>
      <c r="R33" s="4">
        <f>Q33+'18'!R33</f>
        <v>1440</v>
      </c>
      <c r="S33" s="27">
        <f t="shared" si="5"/>
        <v>0.70243902439024386</v>
      </c>
      <c r="T33" s="12"/>
      <c r="U33" s="12">
        <f>T33+'18'!U33</f>
        <v>96</v>
      </c>
      <c r="V33" s="12"/>
      <c r="W33" s="12">
        <f>V33+'18'!W33</f>
        <v>64</v>
      </c>
      <c r="X33" s="12"/>
      <c r="Y33" s="12">
        <f>X33+'18'!Y33</f>
        <v>0</v>
      </c>
      <c r="AB33" s="5">
        <v>23</v>
      </c>
      <c r="AC33" s="26" t="str">
        <f>'18'!AC33</f>
        <v>شبرا قبالــــــــــه</v>
      </c>
      <c r="AD33" s="28">
        <f>'18'!AI33</f>
        <v>36</v>
      </c>
      <c r="AE33" s="3"/>
      <c r="AF33" s="28">
        <f>AE33+'18'!AF33</f>
        <v>180</v>
      </c>
      <c r="AG33" s="4"/>
      <c r="AH33" s="28">
        <f>AG33+'18'!AH33</f>
        <v>144</v>
      </c>
      <c r="AI33" s="4">
        <f t="shared" si="6"/>
        <v>36</v>
      </c>
      <c r="AJ33" s="11" t="e">
        <f t="shared" si="0"/>
        <v>#DIV/0!</v>
      </c>
      <c r="AK33" s="53">
        <f t="shared" si="1"/>
        <v>10</v>
      </c>
      <c r="AW33" s="26" t="str">
        <f>'18'!AW33</f>
        <v>شبرا قبالــــــــــه</v>
      </c>
      <c r="AX33" s="12">
        <f>'18'!AX33</f>
        <v>1</v>
      </c>
      <c r="AY33" s="12">
        <f>'18'!AY33</f>
        <v>918</v>
      </c>
      <c r="AZ33" s="12"/>
      <c r="BA33" s="12"/>
      <c r="BB33" s="12">
        <f>BA33+'18'!BB33</f>
        <v>780</v>
      </c>
      <c r="BC33" s="30">
        <f t="shared" si="2"/>
        <v>0.84967320261437906</v>
      </c>
      <c r="BD33" s="12">
        <f>'18'!BD33</f>
        <v>5</v>
      </c>
      <c r="BE33" s="12">
        <f>'18'!BE33</f>
        <v>375</v>
      </c>
      <c r="BF33" s="12"/>
      <c r="BG33" s="12"/>
      <c r="BH33" s="12">
        <f>BG33+'18'!BH33</f>
        <v>430</v>
      </c>
      <c r="BI33" s="30">
        <f t="shared" si="3"/>
        <v>1.1466666666666667</v>
      </c>
    </row>
    <row r="34" spans="1:61" ht="28.9" customHeight="1" x14ac:dyDescent="0.35">
      <c r="A34" s="5">
        <v>24</v>
      </c>
      <c r="B34" s="26" t="str">
        <f>'18'!B34</f>
        <v>عرب الرمـــــــل</v>
      </c>
      <c r="C34" s="26">
        <f>'18'!C34</f>
        <v>5755</v>
      </c>
      <c r="D34" s="26"/>
      <c r="E34" s="12"/>
      <c r="F34" s="2">
        <f>E34+'18'!F34</f>
        <v>22</v>
      </c>
      <c r="G34" s="2"/>
      <c r="H34" s="2">
        <f>G34+'18'!H34</f>
        <v>1011</v>
      </c>
      <c r="I34" s="2"/>
      <c r="J34" s="2">
        <f>I34+'18'!J34</f>
        <v>1364</v>
      </c>
      <c r="K34" s="2"/>
      <c r="L34" s="2">
        <f>K34+'18'!L34</f>
        <v>0</v>
      </c>
      <c r="M34" s="2"/>
      <c r="N34" s="2">
        <f>M34+'18'!N34</f>
        <v>0</v>
      </c>
      <c r="O34" s="2"/>
      <c r="P34" s="2">
        <f>O34+'18'!P34</f>
        <v>0</v>
      </c>
      <c r="Q34" s="4">
        <f t="shared" si="4"/>
        <v>0</v>
      </c>
      <c r="R34" s="4">
        <f>Q34+'18'!R34</f>
        <v>2397</v>
      </c>
      <c r="S34" s="27">
        <f t="shared" si="5"/>
        <v>0.41650738488271066</v>
      </c>
      <c r="T34" s="12"/>
      <c r="U34" s="12">
        <f>T34+'18'!U34</f>
        <v>562</v>
      </c>
      <c r="V34" s="12"/>
      <c r="W34" s="12">
        <f>V34+'18'!W34</f>
        <v>41</v>
      </c>
      <c r="X34" s="12"/>
      <c r="Y34" s="12">
        <f>X34+'18'!Y34</f>
        <v>0</v>
      </c>
      <c r="AB34" s="5">
        <v>24</v>
      </c>
      <c r="AC34" s="26" t="str">
        <f>'18'!AC34</f>
        <v>عرب الرمـــــــل</v>
      </c>
      <c r="AD34" s="28">
        <f>'18'!AI34</f>
        <v>263</v>
      </c>
      <c r="AE34" s="3"/>
      <c r="AF34" s="28">
        <f>AE34+'18'!AF34</f>
        <v>505</v>
      </c>
      <c r="AG34" s="4"/>
      <c r="AH34" s="28">
        <f>AG34+'18'!AH34</f>
        <v>242</v>
      </c>
      <c r="AI34" s="4">
        <f t="shared" si="6"/>
        <v>263</v>
      </c>
      <c r="AJ34" s="11" t="e">
        <f t="shared" si="0"/>
        <v>#DIV/0!</v>
      </c>
      <c r="AK34" s="53">
        <f t="shared" si="1"/>
        <v>9.9049586776859506</v>
      </c>
      <c r="AW34" s="26" t="str">
        <f>'18'!AW34</f>
        <v>عرب الرمـــــــل</v>
      </c>
      <c r="AX34" s="12">
        <f>'18'!AX34</f>
        <v>6</v>
      </c>
      <c r="AY34" s="12">
        <f>'18'!AY34</f>
        <v>2210</v>
      </c>
      <c r="AZ34" s="12"/>
      <c r="BA34" s="12"/>
      <c r="BB34" s="12">
        <f>BA34+'18'!BB34</f>
        <v>1456</v>
      </c>
      <c r="BC34" s="30">
        <f t="shared" si="2"/>
        <v>0.6588235294117647</v>
      </c>
      <c r="BD34" s="12">
        <f>'18'!BD34</f>
        <v>9</v>
      </c>
      <c r="BE34" s="12">
        <f>'18'!BE34</f>
        <v>932</v>
      </c>
      <c r="BF34" s="12"/>
      <c r="BG34" s="12"/>
      <c r="BH34" s="12">
        <f>BG34+'18'!BH34</f>
        <v>941</v>
      </c>
      <c r="BI34" s="30">
        <f t="shared" si="3"/>
        <v>1.0096566523605151</v>
      </c>
    </row>
    <row r="35" spans="1:61" ht="28.9" customHeight="1" x14ac:dyDescent="0.35">
      <c r="A35" s="5">
        <v>25</v>
      </c>
      <c r="B35" s="26" t="str">
        <f>'18'!B35</f>
        <v>كفر ميت سراج</v>
      </c>
      <c r="C35" s="26">
        <f>'18'!C35</f>
        <v>1840</v>
      </c>
      <c r="D35" s="26"/>
      <c r="E35" s="12"/>
      <c r="F35" s="2">
        <f>E35+'18'!F35</f>
        <v>8</v>
      </c>
      <c r="G35" s="2"/>
      <c r="H35" s="2">
        <f>G35+'18'!H35</f>
        <v>386</v>
      </c>
      <c r="I35" s="2"/>
      <c r="J35" s="2">
        <f>I35+'18'!J35</f>
        <v>773</v>
      </c>
      <c r="K35" s="2"/>
      <c r="L35" s="2">
        <f>K35+'18'!L35</f>
        <v>0</v>
      </c>
      <c r="M35" s="2"/>
      <c r="N35" s="2">
        <f>M35+'18'!N35</f>
        <v>0</v>
      </c>
      <c r="O35" s="2"/>
      <c r="P35" s="2">
        <f>O35+'18'!P35</f>
        <v>0</v>
      </c>
      <c r="Q35" s="4">
        <f t="shared" si="4"/>
        <v>0</v>
      </c>
      <c r="R35" s="4">
        <f>Q35+'18'!R35</f>
        <v>1167</v>
      </c>
      <c r="S35" s="27">
        <f t="shared" si="5"/>
        <v>0.63423913043478264</v>
      </c>
      <c r="T35" s="12"/>
      <c r="U35" s="12">
        <f>T35+'18'!U35</f>
        <v>174</v>
      </c>
      <c r="V35" s="12"/>
      <c r="W35" s="12">
        <f>V35+'18'!W35</f>
        <v>11</v>
      </c>
      <c r="X35" s="12"/>
      <c r="Y35" s="12">
        <f>X35+'18'!Y35</f>
        <v>0</v>
      </c>
      <c r="AB35" s="5">
        <v>25</v>
      </c>
      <c r="AC35" s="26" t="str">
        <f>'18'!AC35</f>
        <v>كفر ميت سراج</v>
      </c>
      <c r="AD35" s="28">
        <f>'18'!AI35</f>
        <v>41</v>
      </c>
      <c r="AE35" s="3"/>
      <c r="AF35" s="28">
        <f>AE35+'18'!AF35</f>
        <v>162</v>
      </c>
      <c r="AG35" s="4"/>
      <c r="AH35" s="28">
        <f>AG35+'18'!AH35</f>
        <v>121</v>
      </c>
      <c r="AI35" s="4">
        <f t="shared" si="6"/>
        <v>41</v>
      </c>
      <c r="AJ35" s="11" t="e">
        <f t="shared" si="0"/>
        <v>#DIV/0!</v>
      </c>
      <c r="AK35" s="53">
        <f t="shared" si="1"/>
        <v>9.6446280991735538</v>
      </c>
      <c r="AW35" s="26" t="str">
        <f>'18'!AW35</f>
        <v>كفر ميت سراج</v>
      </c>
      <c r="AX35" s="12">
        <f>'18'!AX35</f>
        <v>3</v>
      </c>
      <c r="AY35" s="12">
        <f>'18'!AY35</f>
        <v>1011</v>
      </c>
      <c r="AZ35" s="12"/>
      <c r="BA35" s="12"/>
      <c r="BB35" s="12">
        <f>BA35+'18'!BB35</f>
        <v>773</v>
      </c>
      <c r="BC35" s="30">
        <f t="shared" si="2"/>
        <v>0.76458951533135511</v>
      </c>
      <c r="BD35" s="12">
        <f>'18'!BD35</f>
        <v>4</v>
      </c>
      <c r="BE35" s="12">
        <f>'18'!BE35</f>
        <v>413</v>
      </c>
      <c r="BF35" s="12"/>
      <c r="BG35" s="12"/>
      <c r="BH35" s="12">
        <f>BG35+'18'!BH35</f>
        <v>232</v>
      </c>
      <c r="BI35" s="30">
        <f t="shared" si="3"/>
        <v>0.56174334140435833</v>
      </c>
    </row>
    <row r="36" spans="1:61" ht="28.9" customHeight="1" x14ac:dyDescent="0.35">
      <c r="A36" s="5">
        <v>26</v>
      </c>
      <c r="B36" s="26" t="str">
        <f>'18'!B36</f>
        <v>كفر أبشيش</v>
      </c>
      <c r="C36" s="26">
        <f>'18'!C36</f>
        <v>1345</v>
      </c>
      <c r="D36" s="26"/>
      <c r="E36" s="12"/>
      <c r="F36" s="2">
        <f>E36+'18'!F36</f>
        <v>14</v>
      </c>
      <c r="G36" s="2"/>
      <c r="H36" s="2">
        <f>G36+'18'!H36</f>
        <v>207</v>
      </c>
      <c r="I36" s="2"/>
      <c r="J36" s="2">
        <f>I36+'18'!J36</f>
        <v>725</v>
      </c>
      <c r="K36" s="2"/>
      <c r="L36" s="2">
        <f>K36+'18'!L36</f>
        <v>0</v>
      </c>
      <c r="M36" s="2"/>
      <c r="N36" s="2">
        <f>M36+'18'!N36</f>
        <v>0</v>
      </c>
      <c r="O36" s="2"/>
      <c r="P36" s="2">
        <f>O36+'18'!P36</f>
        <v>0</v>
      </c>
      <c r="Q36" s="4">
        <f t="shared" si="4"/>
        <v>0</v>
      </c>
      <c r="R36" s="4">
        <f>Q36+'18'!R36</f>
        <v>946</v>
      </c>
      <c r="S36" s="27">
        <f t="shared" si="5"/>
        <v>0.70334572490706315</v>
      </c>
      <c r="T36" s="12"/>
      <c r="U36" s="12">
        <f>T36+'18'!U36</f>
        <v>113</v>
      </c>
      <c r="V36" s="12"/>
      <c r="W36" s="12">
        <f>V36+'18'!W36</f>
        <v>4</v>
      </c>
      <c r="X36" s="12"/>
      <c r="Y36" s="12">
        <f>X36+'18'!Y36</f>
        <v>0</v>
      </c>
      <c r="AB36" s="5">
        <v>26</v>
      </c>
      <c r="AC36" s="26" t="str">
        <f>'18'!AC36</f>
        <v>كفر أبشيش</v>
      </c>
      <c r="AD36" s="28">
        <f>'18'!AI36</f>
        <v>24</v>
      </c>
      <c r="AE36" s="3"/>
      <c r="AF36" s="28">
        <f>AE36+'18'!AF36</f>
        <v>119</v>
      </c>
      <c r="AG36" s="4"/>
      <c r="AH36" s="28">
        <f>AG36+'18'!AH36</f>
        <v>95</v>
      </c>
      <c r="AI36" s="4">
        <f t="shared" si="6"/>
        <v>24</v>
      </c>
      <c r="AJ36" s="11" t="e">
        <f t="shared" si="0"/>
        <v>#DIV/0!</v>
      </c>
      <c r="AK36" s="53">
        <f t="shared" si="1"/>
        <v>9.9578947368421051</v>
      </c>
      <c r="AW36" s="26" t="str">
        <f>'18'!AW36</f>
        <v>كفر أبشيش</v>
      </c>
      <c r="AX36" s="12">
        <f>'18'!AX36</f>
        <v>1</v>
      </c>
      <c r="AY36" s="12">
        <f>'18'!AY36</f>
        <v>860</v>
      </c>
      <c r="AZ36" s="12"/>
      <c r="BA36" s="12"/>
      <c r="BB36" s="12">
        <f>BA36+'18'!BB36</f>
        <v>730</v>
      </c>
      <c r="BC36" s="30">
        <f t="shared" si="2"/>
        <v>0.84883720930232553</v>
      </c>
      <c r="BD36" s="12">
        <f>'18'!BD36</f>
        <v>4</v>
      </c>
      <c r="BE36" s="12">
        <f>'18'!BE36</f>
        <v>194</v>
      </c>
      <c r="BF36" s="12"/>
      <c r="BG36" s="12"/>
      <c r="BH36" s="12">
        <f>BG36+'18'!BH36</f>
        <v>0</v>
      </c>
      <c r="BI36" s="30">
        <f t="shared" si="3"/>
        <v>0</v>
      </c>
    </row>
    <row r="37" spans="1:61" ht="28.9" customHeight="1" x14ac:dyDescent="0.35">
      <c r="A37" s="5">
        <v>27</v>
      </c>
      <c r="B37" s="26" t="str">
        <f>'18'!B37</f>
        <v>كفر ميت العبسى</v>
      </c>
      <c r="C37" s="26">
        <f>'18'!C37</f>
        <v>1180</v>
      </c>
      <c r="D37" s="26"/>
      <c r="E37" s="12"/>
      <c r="F37" s="2">
        <f>E37+'18'!F37</f>
        <v>12</v>
      </c>
      <c r="G37" s="2"/>
      <c r="H37" s="2">
        <f>G37+'18'!H37</f>
        <v>248</v>
      </c>
      <c r="I37" s="2"/>
      <c r="J37" s="2">
        <f>I37+'18'!J37</f>
        <v>443</v>
      </c>
      <c r="K37" s="2"/>
      <c r="L37" s="2">
        <f>K37+'18'!L37</f>
        <v>0</v>
      </c>
      <c r="M37" s="2"/>
      <c r="N37" s="2">
        <f>M37+'18'!N37</f>
        <v>0</v>
      </c>
      <c r="O37" s="2"/>
      <c r="P37" s="2">
        <f>O37+'18'!P37</f>
        <v>0</v>
      </c>
      <c r="Q37" s="4">
        <f t="shared" si="4"/>
        <v>0</v>
      </c>
      <c r="R37" s="4">
        <f>Q37+'18'!R37</f>
        <v>703</v>
      </c>
      <c r="S37" s="27">
        <f t="shared" si="5"/>
        <v>0.59576271186440677</v>
      </c>
      <c r="T37" s="12"/>
      <c r="U37" s="12">
        <f>T37+'18'!U37</f>
        <v>53</v>
      </c>
      <c r="V37" s="12"/>
      <c r="W37" s="12">
        <f>V37+'18'!W37</f>
        <v>11</v>
      </c>
      <c r="X37" s="12"/>
      <c r="Y37" s="12">
        <f>X37+'18'!Y37</f>
        <v>0</v>
      </c>
      <c r="AB37" s="5">
        <v>27</v>
      </c>
      <c r="AC37" s="26" t="str">
        <f>'18'!AC37</f>
        <v>كفر ميت العبسى</v>
      </c>
      <c r="AD37" s="28">
        <f>'18'!AI37</f>
        <v>33</v>
      </c>
      <c r="AE37" s="3"/>
      <c r="AF37" s="28">
        <f>AE37+'18'!AF37</f>
        <v>104</v>
      </c>
      <c r="AG37" s="4"/>
      <c r="AH37" s="28">
        <f>AG37+'18'!AH37</f>
        <v>71</v>
      </c>
      <c r="AI37" s="4">
        <f t="shared" si="6"/>
        <v>33</v>
      </c>
      <c r="AJ37" s="11" t="e">
        <f t="shared" si="0"/>
        <v>#DIV/0!</v>
      </c>
      <c r="AK37" s="53">
        <f t="shared" si="1"/>
        <v>9.9014084507042259</v>
      </c>
      <c r="AW37" s="26" t="str">
        <f>'18'!AW37</f>
        <v>كفر ميت العبسى</v>
      </c>
      <c r="AX37" s="12">
        <f>'18'!AX37</f>
        <v>2</v>
      </c>
      <c r="AY37" s="12">
        <f>'18'!AY37</f>
        <v>494</v>
      </c>
      <c r="AZ37" s="12"/>
      <c r="BA37" s="12"/>
      <c r="BB37" s="12">
        <f>BA37+'18'!BB37</f>
        <v>418</v>
      </c>
      <c r="BC37" s="30">
        <f t="shared" si="2"/>
        <v>0.84615384615384615</v>
      </c>
      <c r="BD37" s="12">
        <f>'18'!BD37</f>
        <v>4</v>
      </c>
      <c r="BE37" s="12">
        <f>'18'!BE37</f>
        <v>114</v>
      </c>
      <c r="BF37" s="12"/>
      <c r="BG37" s="12"/>
      <c r="BH37" s="12">
        <f>BG37+'18'!BH37</f>
        <v>73</v>
      </c>
      <c r="BI37" s="30">
        <f t="shared" si="3"/>
        <v>0.64035087719298245</v>
      </c>
    </row>
    <row r="38" spans="1:61" ht="28.9" customHeight="1" x14ac:dyDescent="0.35">
      <c r="A38" s="5">
        <v>28</v>
      </c>
      <c r="B38" s="26" t="str">
        <f>'18'!B38</f>
        <v>كفر وهــــــــــب</v>
      </c>
      <c r="C38" s="26">
        <f>'18'!C38</f>
        <v>1854.9999999999998</v>
      </c>
      <c r="D38" s="26"/>
      <c r="E38" s="12"/>
      <c r="F38" s="2">
        <f>E38+'18'!F38</f>
        <v>7</v>
      </c>
      <c r="G38" s="2"/>
      <c r="H38" s="2">
        <f>G38+'18'!H38</f>
        <v>265</v>
      </c>
      <c r="I38" s="2"/>
      <c r="J38" s="2">
        <f>I38+'18'!J38</f>
        <v>618</v>
      </c>
      <c r="K38" s="2"/>
      <c r="L38" s="2">
        <f>K38+'18'!L38</f>
        <v>0</v>
      </c>
      <c r="M38" s="2"/>
      <c r="N38" s="2">
        <f>M38+'18'!N38</f>
        <v>0</v>
      </c>
      <c r="O38" s="2"/>
      <c r="P38" s="2">
        <f>O38+'18'!P38</f>
        <v>0</v>
      </c>
      <c r="Q38" s="4">
        <f t="shared" si="4"/>
        <v>0</v>
      </c>
      <c r="R38" s="4">
        <f>Q38+'18'!R38</f>
        <v>890</v>
      </c>
      <c r="S38" s="27">
        <f t="shared" si="5"/>
        <v>0.47978436657681944</v>
      </c>
      <c r="T38" s="12"/>
      <c r="U38" s="12">
        <f>T38+'18'!U38</f>
        <v>123</v>
      </c>
      <c r="V38" s="12"/>
      <c r="W38" s="12">
        <f>V38+'18'!W38</f>
        <v>7</v>
      </c>
      <c r="X38" s="12"/>
      <c r="Y38" s="12">
        <f>X38+'18'!Y38</f>
        <v>0</v>
      </c>
      <c r="AB38" s="5">
        <v>28</v>
      </c>
      <c r="AC38" s="26" t="str">
        <f>'18'!AC38</f>
        <v>كفر وهــــــــــب</v>
      </c>
      <c r="AD38" s="28">
        <f>'18'!AI38</f>
        <v>72</v>
      </c>
      <c r="AE38" s="3"/>
      <c r="AF38" s="28">
        <f>AE38+'18'!AF38</f>
        <v>163</v>
      </c>
      <c r="AG38" s="4"/>
      <c r="AH38" s="28">
        <f>AG38+'18'!AH38</f>
        <v>91</v>
      </c>
      <c r="AI38" s="4">
        <f t="shared" si="6"/>
        <v>72</v>
      </c>
      <c r="AJ38" s="11" t="e">
        <f t="shared" si="0"/>
        <v>#DIV/0!</v>
      </c>
      <c r="AK38" s="53">
        <f t="shared" si="1"/>
        <v>9.780219780219781</v>
      </c>
      <c r="AW38" s="26" t="str">
        <f>'18'!AW38</f>
        <v>كفر وهــــــــــب</v>
      </c>
      <c r="AX38" s="12">
        <f>'18'!AX38</f>
        <v>2</v>
      </c>
      <c r="AY38" s="12">
        <f>'18'!AY38</f>
        <v>793</v>
      </c>
      <c r="AZ38" s="12"/>
      <c r="BA38" s="12"/>
      <c r="BB38" s="12">
        <f>BA38+'18'!BB38</f>
        <v>623</v>
      </c>
      <c r="BC38" s="30">
        <f t="shared" si="2"/>
        <v>0.78562421185372</v>
      </c>
      <c r="BD38" s="12">
        <f>'18'!BD38</f>
        <v>3</v>
      </c>
      <c r="BE38" s="12">
        <f>'18'!BE38</f>
        <v>180</v>
      </c>
      <c r="BF38" s="12"/>
      <c r="BG38" s="12"/>
      <c r="BH38" s="12">
        <f>BG38+'18'!BH38</f>
        <v>160</v>
      </c>
      <c r="BI38" s="30">
        <f t="shared" si="3"/>
        <v>0.88888888888888884</v>
      </c>
    </row>
    <row r="39" spans="1:61" ht="28.9" customHeight="1" x14ac:dyDescent="0.35">
      <c r="A39" s="5">
        <v>29</v>
      </c>
      <c r="B39" s="26" t="str">
        <f>'18'!B39</f>
        <v>دمــــــــــــــهوج</v>
      </c>
      <c r="C39" s="26">
        <f>'18'!C39</f>
        <v>2738</v>
      </c>
      <c r="D39" s="26"/>
      <c r="E39" s="12"/>
      <c r="F39" s="2">
        <f>E39+'18'!F39</f>
        <v>11</v>
      </c>
      <c r="G39" s="2"/>
      <c r="H39" s="2">
        <f>G39+'18'!H39</f>
        <v>437</v>
      </c>
      <c r="I39" s="2"/>
      <c r="J39" s="2">
        <f>I39+'18'!J39</f>
        <v>832</v>
      </c>
      <c r="K39" s="2"/>
      <c r="L39" s="2">
        <f>K39+'18'!L39</f>
        <v>0</v>
      </c>
      <c r="M39" s="2"/>
      <c r="N39" s="2">
        <f>M39+'18'!N39</f>
        <v>0</v>
      </c>
      <c r="O39" s="2"/>
      <c r="P39" s="2">
        <f>O39+'18'!P39</f>
        <v>0</v>
      </c>
      <c r="Q39" s="4">
        <f t="shared" si="4"/>
        <v>0</v>
      </c>
      <c r="R39" s="4">
        <f>Q39+'18'!R39</f>
        <v>1280</v>
      </c>
      <c r="S39" s="27">
        <f t="shared" si="5"/>
        <v>0.46749452154857563</v>
      </c>
      <c r="T39" s="12"/>
      <c r="U39" s="12">
        <f>T39+'18'!U39</f>
        <v>158</v>
      </c>
      <c r="V39" s="12"/>
      <c r="W39" s="12">
        <f>V39+'18'!W39</f>
        <v>7</v>
      </c>
      <c r="X39" s="12"/>
      <c r="Y39" s="12">
        <f>X39+'18'!Y39</f>
        <v>0</v>
      </c>
      <c r="AB39" s="5">
        <v>29</v>
      </c>
      <c r="AC39" s="26" t="str">
        <f>'18'!AC39</f>
        <v>دمــــــــــــــهوج</v>
      </c>
      <c r="AD39" s="28">
        <f>'18'!AI39</f>
        <v>109</v>
      </c>
      <c r="AE39" s="3"/>
      <c r="AF39" s="28">
        <f>AE39+'18'!AF39</f>
        <v>240</v>
      </c>
      <c r="AG39" s="4"/>
      <c r="AH39" s="28">
        <f>AG39+'18'!AH39</f>
        <v>131</v>
      </c>
      <c r="AI39" s="4">
        <f t="shared" si="6"/>
        <v>109</v>
      </c>
      <c r="AJ39" s="11" t="e">
        <f t="shared" si="0"/>
        <v>#DIV/0!</v>
      </c>
      <c r="AK39" s="53">
        <f t="shared" si="1"/>
        <v>9.770992366412214</v>
      </c>
      <c r="AW39" s="26" t="str">
        <f>'18'!AW39</f>
        <v>دمــــــــــــــهوج</v>
      </c>
      <c r="AX39" s="12">
        <f>'18'!AX39</f>
        <v>2</v>
      </c>
      <c r="AY39" s="12">
        <f>'18'!AY39</f>
        <v>1086</v>
      </c>
      <c r="AZ39" s="12"/>
      <c r="BA39" s="12"/>
      <c r="BB39" s="12">
        <f>BA39+'18'!BB39</f>
        <v>834</v>
      </c>
      <c r="BC39" s="30">
        <f t="shared" si="2"/>
        <v>0.76795580110497241</v>
      </c>
      <c r="BD39" s="12">
        <f>'18'!BD39</f>
        <v>10</v>
      </c>
      <c r="BE39" s="12">
        <f>'18'!BE39</f>
        <v>455</v>
      </c>
      <c r="BF39" s="12"/>
      <c r="BG39" s="12"/>
      <c r="BH39" s="12">
        <f>BG39+'18'!BH39</f>
        <v>439</v>
      </c>
      <c r="BI39" s="30">
        <f t="shared" si="3"/>
        <v>0.96483516483516485</v>
      </c>
    </row>
    <row r="40" spans="1:61" ht="28.9" customHeight="1" x14ac:dyDescent="0.35">
      <c r="A40" s="5">
        <v>30</v>
      </c>
      <c r="B40" s="26" t="str">
        <f>'18'!B40</f>
        <v>كفر زين الدين</v>
      </c>
      <c r="C40" s="26">
        <f>'18'!C40</f>
        <v>819</v>
      </c>
      <c r="D40" s="26"/>
      <c r="E40" s="12"/>
      <c r="F40" s="2">
        <f>E40+'18'!F40</f>
        <v>9</v>
      </c>
      <c r="G40" s="2"/>
      <c r="H40" s="2">
        <f>G40+'18'!H40</f>
        <v>266</v>
      </c>
      <c r="I40" s="2"/>
      <c r="J40" s="2">
        <f>I40+'18'!J40</f>
        <v>430</v>
      </c>
      <c r="K40" s="2"/>
      <c r="L40" s="2">
        <f>K40+'18'!L40</f>
        <v>0</v>
      </c>
      <c r="M40" s="2"/>
      <c r="N40" s="2">
        <f>M40+'18'!N40</f>
        <v>0</v>
      </c>
      <c r="O40" s="2"/>
      <c r="P40" s="2">
        <f>O40+'18'!P40</f>
        <v>0</v>
      </c>
      <c r="Q40" s="4">
        <f t="shared" si="4"/>
        <v>0</v>
      </c>
      <c r="R40" s="4">
        <f>Q40+'18'!R40</f>
        <v>705</v>
      </c>
      <c r="S40" s="27">
        <f t="shared" si="5"/>
        <v>0.86080586080586086</v>
      </c>
      <c r="T40" s="12"/>
      <c r="U40" s="12">
        <f>T40+'18'!U40</f>
        <v>76</v>
      </c>
      <c r="V40" s="12"/>
      <c r="W40" s="12">
        <f>V40+'18'!W40</f>
        <v>26</v>
      </c>
      <c r="X40" s="12"/>
      <c r="Y40" s="12">
        <f>X40+'18'!Y40</f>
        <v>0</v>
      </c>
      <c r="AB40" s="5">
        <v>30</v>
      </c>
      <c r="AC40" s="26" t="str">
        <f>'18'!AC40</f>
        <v>كفر زين الدين</v>
      </c>
      <c r="AD40" s="28">
        <f>'18'!AI40</f>
        <v>9</v>
      </c>
      <c r="AE40" s="3"/>
      <c r="AF40" s="28">
        <f>AE40+'18'!AF40</f>
        <v>80</v>
      </c>
      <c r="AG40" s="4"/>
      <c r="AH40" s="28">
        <f>AG40+'18'!AH40</f>
        <v>71</v>
      </c>
      <c r="AI40" s="4">
        <f t="shared" si="6"/>
        <v>9</v>
      </c>
      <c r="AJ40" s="11" t="e">
        <f t="shared" si="0"/>
        <v>#DIV/0!</v>
      </c>
      <c r="AK40" s="53">
        <f t="shared" si="1"/>
        <v>9.929577464788732</v>
      </c>
      <c r="AW40" s="26" t="str">
        <f>'18'!AW40</f>
        <v>كفر زين الدين</v>
      </c>
      <c r="AX40" s="12">
        <f>'18'!AX40</f>
        <v>1</v>
      </c>
      <c r="AY40" s="12">
        <f>'18'!AY40</f>
        <v>563</v>
      </c>
      <c r="AZ40" s="12"/>
      <c r="BA40" s="12"/>
      <c r="BB40" s="12">
        <f>BA40+'18'!BB40</f>
        <v>364</v>
      </c>
      <c r="BC40" s="30">
        <f t="shared" si="2"/>
        <v>0.64653641207815271</v>
      </c>
      <c r="BD40" s="12">
        <f>'18'!BD40</f>
        <v>2</v>
      </c>
      <c r="BE40" s="12">
        <f>'18'!BE40</f>
        <v>87</v>
      </c>
      <c r="BF40" s="12"/>
      <c r="BG40" s="12"/>
      <c r="BH40" s="12">
        <f>BG40+'18'!BH40</f>
        <v>166</v>
      </c>
      <c r="BI40" s="30">
        <f t="shared" si="3"/>
        <v>1.9080459770114941</v>
      </c>
    </row>
    <row r="41" spans="1:61" ht="28.9" customHeight="1" x14ac:dyDescent="0.35">
      <c r="A41" s="5">
        <v>31</v>
      </c>
      <c r="B41" s="26" t="str">
        <f>'18'!B41</f>
        <v>عزبــة أبوالنصر</v>
      </c>
      <c r="C41" s="26">
        <f>'18'!C41</f>
        <v>410</v>
      </c>
      <c r="D41" s="26"/>
      <c r="E41" s="12"/>
      <c r="F41" s="2">
        <f>E41+'18'!F41</f>
        <v>10</v>
      </c>
      <c r="G41" s="2"/>
      <c r="H41" s="2">
        <f>G41+'18'!H41</f>
        <v>229</v>
      </c>
      <c r="I41" s="2"/>
      <c r="J41" s="2">
        <f>I41+'18'!J41</f>
        <v>120</v>
      </c>
      <c r="K41" s="2"/>
      <c r="L41" s="2">
        <f>K41+'18'!L41</f>
        <v>0</v>
      </c>
      <c r="M41" s="2"/>
      <c r="N41" s="2">
        <f>M41+'18'!N41</f>
        <v>0</v>
      </c>
      <c r="O41" s="2"/>
      <c r="P41" s="2">
        <f>O41+'18'!P41</f>
        <v>0</v>
      </c>
      <c r="Q41" s="4">
        <f t="shared" si="4"/>
        <v>0</v>
      </c>
      <c r="R41" s="4">
        <f>Q41+'18'!R41</f>
        <v>359</v>
      </c>
      <c r="S41" s="27">
        <f t="shared" si="5"/>
        <v>0.87560975609756098</v>
      </c>
      <c r="T41" s="12"/>
      <c r="U41" s="12">
        <f>T41+'18'!U41</f>
        <v>0</v>
      </c>
      <c r="V41" s="12"/>
      <c r="W41" s="12">
        <f>V41+'18'!W41</f>
        <v>0</v>
      </c>
      <c r="X41" s="12"/>
      <c r="Y41" s="12">
        <f>X41+'18'!Y41</f>
        <v>0</v>
      </c>
      <c r="AB41" s="5">
        <v>31</v>
      </c>
      <c r="AC41" s="26" t="str">
        <f>'18'!AC41</f>
        <v>عزبــة أبوالنصر</v>
      </c>
      <c r="AD41" s="28">
        <f>'18'!AI41</f>
        <v>4</v>
      </c>
      <c r="AE41" s="3"/>
      <c r="AF41" s="28">
        <f>AE41+'18'!AF41</f>
        <v>41</v>
      </c>
      <c r="AG41" s="4"/>
      <c r="AH41" s="28">
        <f>AG41+'18'!AH41</f>
        <v>37</v>
      </c>
      <c r="AI41" s="4">
        <f t="shared" si="6"/>
        <v>4</v>
      </c>
      <c r="AJ41" s="11" t="e">
        <f t="shared" si="0"/>
        <v>#DIV/0!</v>
      </c>
      <c r="AK41" s="53">
        <f t="shared" si="1"/>
        <v>9.7027027027027035</v>
      </c>
      <c r="AW41" s="26" t="str">
        <f>'18'!AW41</f>
        <v>عزبــة أبوالنصر</v>
      </c>
      <c r="AX41" s="12">
        <f>'18'!AX41</f>
        <v>2</v>
      </c>
      <c r="AY41" s="12">
        <f>'18'!AY41</f>
        <v>70</v>
      </c>
      <c r="AZ41" s="12"/>
      <c r="BA41" s="12"/>
      <c r="BB41" s="12">
        <f>BA41+'18'!BB41</f>
        <v>65</v>
      </c>
      <c r="BC41" s="30">
        <f t="shared" si="2"/>
        <v>0.9285714285714286</v>
      </c>
      <c r="BD41" s="12">
        <f>'18'!BD41</f>
        <v>3</v>
      </c>
      <c r="BE41" s="12">
        <f>'18'!BE41</f>
        <v>75</v>
      </c>
      <c r="BF41" s="12"/>
      <c r="BG41" s="12"/>
      <c r="BH41" s="12">
        <f>BG41+'18'!BH41</f>
        <v>36</v>
      </c>
      <c r="BI41" s="30">
        <f t="shared" si="3"/>
        <v>0.48</v>
      </c>
    </row>
    <row r="42" spans="1:61" ht="28.9" customHeight="1" x14ac:dyDescent="0.35">
      <c r="A42" s="5">
        <v>32</v>
      </c>
      <c r="B42" s="26" t="str">
        <f>'18'!B42</f>
        <v>شمنديــــــــــــــل</v>
      </c>
      <c r="C42" s="26">
        <f>'18'!C42</f>
        <v>880</v>
      </c>
      <c r="D42" s="26"/>
      <c r="E42" s="12"/>
      <c r="F42" s="2">
        <f>E42+'18'!F42</f>
        <v>7</v>
      </c>
      <c r="G42" s="2"/>
      <c r="H42" s="2">
        <f>G42+'18'!H42</f>
        <v>219</v>
      </c>
      <c r="I42" s="2"/>
      <c r="J42" s="2">
        <f>I42+'18'!J42</f>
        <v>421</v>
      </c>
      <c r="K42" s="2"/>
      <c r="L42" s="2">
        <f>K42+'18'!L42</f>
        <v>0</v>
      </c>
      <c r="M42" s="2"/>
      <c r="N42" s="2">
        <f>M42+'18'!N42</f>
        <v>0</v>
      </c>
      <c r="O42" s="2"/>
      <c r="P42" s="2">
        <f>O42+'18'!P42</f>
        <v>0</v>
      </c>
      <c r="Q42" s="4">
        <f t="shared" si="4"/>
        <v>0</v>
      </c>
      <c r="R42" s="4">
        <f>Q42+'18'!R42</f>
        <v>647</v>
      </c>
      <c r="S42" s="27">
        <f t="shared" si="5"/>
        <v>0.73522727272727273</v>
      </c>
      <c r="T42" s="12"/>
      <c r="U42" s="12">
        <f>T42+'18'!U42</f>
        <v>69</v>
      </c>
      <c r="V42" s="12"/>
      <c r="W42" s="12">
        <f>V42+'18'!W42</f>
        <v>11</v>
      </c>
      <c r="X42" s="12"/>
      <c r="Y42" s="12">
        <f>X42+'18'!Y42</f>
        <v>0</v>
      </c>
      <c r="AB42" s="5">
        <v>32</v>
      </c>
      <c r="AC42" s="26" t="str">
        <f>'18'!AC42</f>
        <v>شمنديــــــــــــــل</v>
      </c>
      <c r="AD42" s="28">
        <f>'18'!AI42</f>
        <v>9</v>
      </c>
      <c r="AE42" s="3"/>
      <c r="AF42" s="28">
        <f>AE42+'18'!AF42</f>
        <v>78</v>
      </c>
      <c r="AG42" s="4"/>
      <c r="AH42" s="28">
        <f>AG42+'18'!AH42</f>
        <v>69</v>
      </c>
      <c r="AI42" s="4">
        <f t="shared" si="6"/>
        <v>9</v>
      </c>
      <c r="AJ42" s="11" t="e">
        <f t="shared" si="0"/>
        <v>#DIV/0!</v>
      </c>
      <c r="AK42" s="53">
        <f t="shared" si="1"/>
        <v>9.3768115942028984</v>
      </c>
      <c r="AW42" s="26" t="str">
        <f>'18'!AW42</f>
        <v>شمنديــــــــــــــل</v>
      </c>
      <c r="AX42" s="12">
        <f>'18'!AX42</f>
        <v>2</v>
      </c>
      <c r="AY42" s="12">
        <f>'18'!AY42</f>
        <v>569</v>
      </c>
      <c r="AZ42" s="12"/>
      <c r="BA42" s="12"/>
      <c r="BB42" s="12">
        <f>BA42+'18'!BB42</f>
        <v>453</v>
      </c>
      <c r="BC42" s="30">
        <f t="shared" si="2"/>
        <v>0.79613356766256593</v>
      </c>
      <c r="BD42" s="12">
        <f>'18'!BD42</f>
        <v>1</v>
      </c>
      <c r="BE42" s="12">
        <f>'18'!BE42</f>
        <v>39</v>
      </c>
      <c r="BF42" s="12"/>
      <c r="BG42" s="12"/>
      <c r="BH42" s="12">
        <f>BG42+'18'!BH42</f>
        <v>82</v>
      </c>
      <c r="BI42" s="30">
        <f t="shared" si="3"/>
        <v>2.1025641025641026</v>
      </c>
    </row>
    <row r="43" spans="1:61" ht="28.9" customHeight="1" x14ac:dyDescent="0.35">
      <c r="A43" s="5">
        <v>33</v>
      </c>
      <c r="B43" s="26" t="str">
        <f>'18'!B43</f>
        <v>كفور الرمل</v>
      </c>
      <c r="C43" s="26">
        <f>'18'!C43</f>
        <v>1721</v>
      </c>
      <c r="D43" s="26"/>
      <c r="E43" s="12"/>
      <c r="F43" s="2">
        <f>E43+'18'!F43</f>
        <v>17</v>
      </c>
      <c r="G43" s="2"/>
      <c r="H43" s="2">
        <f>G43+'18'!H43</f>
        <v>505</v>
      </c>
      <c r="I43" s="2"/>
      <c r="J43" s="2">
        <f>I43+'18'!J43</f>
        <v>718</v>
      </c>
      <c r="K43" s="2"/>
      <c r="L43" s="2">
        <f>K43+'18'!L43</f>
        <v>0</v>
      </c>
      <c r="M43" s="2"/>
      <c r="N43" s="2">
        <f>M43+'18'!N43</f>
        <v>0</v>
      </c>
      <c r="O43" s="2"/>
      <c r="P43" s="2">
        <f>O43+'18'!P43</f>
        <v>0</v>
      </c>
      <c r="Q43" s="4">
        <f t="shared" si="4"/>
        <v>0</v>
      </c>
      <c r="R43" s="4">
        <f>Q43+'18'!R43</f>
        <v>1240</v>
      </c>
      <c r="S43" s="27">
        <f t="shared" si="5"/>
        <v>0.72051133062173156</v>
      </c>
      <c r="T43" s="12"/>
      <c r="U43" s="12">
        <f>T43+'18'!U43</f>
        <v>192</v>
      </c>
      <c r="V43" s="12"/>
      <c r="W43" s="12">
        <f>V43+'18'!W43</f>
        <v>100</v>
      </c>
      <c r="X43" s="12"/>
      <c r="Y43" s="12">
        <f>X43+'18'!Y43</f>
        <v>0</v>
      </c>
      <c r="AB43" s="5">
        <v>33</v>
      </c>
      <c r="AC43" s="26" t="str">
        <f>'18'!AC43</f>
        <v>كفور الرمل</v>
      </c>
      <c r="AD43" s="28">
        <f>'18'!AI43</f>
        <v>15</v>
      </c>
      <c r="AE43" s="3"/>
      <c r="AF43" s="28">
        <f>AE43+'18'!AF43</f>
        <v>150</v>
      </c>
      <c r="AG43" s="4"/>
      <c r="AH43" s="28">
        <f>AG43+'18'!AH43</f>
        <v>135</v>
      </c>
      <c r="AI43" s="4">
        <f t="shared" si="6"/>
        <v>15</v>
      </c>
      <c r="AJ43" s="11" t="e">
        <f t="shared" si="0"/>
        <v>#DIV/0!</v>
      </c>
      <c r="AK43" s="53">
        <f t="shared" si="1"/>
        <v>9.1851851851851851</v>
      </c>
      <c r="AW43" s="26" t="str">
        <f>'18'!AW43</f>
        <v>كفور الرمل</v>
      </c>
      <c r="AX43" s="12">
        <f>'18'!AX43</f>
        <v>4</v>
      </c>
      <c r="AY43" s="12">
        <f>'18'!AY43</f>
        <v>1335</v>
      </c>
      <c r="AZ43" s="12"/>
      <c r="BA43" s="12"/>
      <c r="BB43" s="12">
        <f>BA43+'18'!BB43</f>
        <v>918</v>
      </c>
      <c r="BC43" s="30">
        <f t="shared" si="2"/>
        <v>0.68764044943820224</v>
      </c>
      <c r="BD43" s="12">
        <f>'18'!BD43</f>
        <v>7</v>
      </c>
      <c r="BE43" s="12">
        <f>'18'!BE43</f>
        <v>753</v>
      </c>
      <c r="BF43" s="12"/>
      <c r="BG43" s="12"/>
      <c r="BH43" s="12">
        <f>BG43+'18'!BH43</f>
        <v>414</v>
      </c>
      <c r="BI43" s="30">
        <f t="shared" si="3"/>
        <v>0.54980079681274896</v>
      </c>
    </row>
    <row r="44" spans="1:61" ht="28.9" customHeight="1" x14ac:dyDescent="0.35">
      <c r="A44" s="5">
        <v>34</v>
      </c>
      <c r="B44" s="26" t="str">
        <f>'18'!B44</f>
        <v>منشأة أم خنان</v>
      </c>
      <c r="C44" s="26">
        <f>'18'!C44</f>
        <v>510</v>
      </c>
      <c r="D44" s="26"/>
      <c r="E44" s="12"/>
      <c r="F44" s="2">
        <f>E44+'18'!F44</f>
        <v>12</v>
      </c>
      <c r="G44" s="2"/>
      <c r="H44" s="2">
        <f>G44+'18'!H44</f>
        <v>194</v>
      </c>
      <c r="I44" s="2"/>
      <c r="J44" s="2">
        <f>I44+'18'!J44</f>
        <v>291</v>
      </c>
      <c r="K44" s="2"/>
      <c r="L44" s="2">
        <f>K44+'18'!L44</f>
        <v>0</v>
      </c>
      <c r="M44" s="2"/>
      <c r="N44" s="2">
        <f>M44+'18'!N44</f>
        <v>0</v>
      </c>
      <c r="O44" s="2"/>
      <c r="P44" s="2">
        <f>O44+'18'!P44</f>
        <v>0</v>
      </c>
      <c r="Q44" s="4">
        <f t="shared" si="4"/>
        <v>0</v>
      </c>
      <c r="R44" s="4">
        <f>Q44+'18'!R44</f>
        <v>497</v>
      </c>
      <c r="S44" s="27">
        <f t="shared" si="5"/>
        <v>0.97450980392156861</v>
      </c>
      <c r="T44" s="12"/>
      <c r="U44" s="12">
        <f>T44+'18'!U44</f>
        <v>11</v>
      </c>
      <c r="V44" s="12"/>
      <c r="W44" s="12">
        <f>V44+'18'!W44</f>
        <v>7</v>
      </c>
      <c r="X44" s="12"/>
      <c r="Y44" s="12">
        <f>X44+'18'!Y44</f>
        <v>0</v>
      </c>
      <c r="AB44" s="5">
        <v>34</v>
      </c>
      <c r="AC44" s="26" t="str">
        <f>'18'!AC44</f>
        <v>منشأة أم خنان</v>
      </c>
      <c r="AD44" s="28">
        <f>'18'!AI44</f>
        <v>4</v>
      </c>
      <c r="AE44" s="3"/>
      <c r="AF44" s="28">
        <f>AE44+'18'!AF44</f>
        <v>55</v>
      </c>
      <c r="AG44" s="4"/>
      <c r="AH44" s="28">
        <f>AG44+'18'!AH44</f>
        <v>51</v>
      </c>
      <c r="AI44" s="4">
        <f t="shared" si="6"/>
        <v>4</v>
      </c>
      <c r="AJ44" s="11" t="e">
        <f t="shared" si="0"/>
        <v>#DIV/0!</v>
      </c>
      <c r="AK44" s="53">
        <f t="shared" si="1"/>
        <v>9.7450980392156854</v>
      </c>
      <c r="AW44" s="26" t="str">
        <f>'18'!AW44</f>
        <v>منشأة أم خنان</v>
      </c>
      <c r="AX44" s="12">
        <f>'18'!AX44</f>
        <v>1</v>
      </c>
      <c r="AY44" s="12">
        <f>'18'!AY44</f>
        <v>277</v>
      </c>
      <c r="AZ44" s="12"/>
      <c r="BA44" s="12"/>
      <c r="BB44" s="12">
        <f>BA44+'18'!BB44</f>
        <v>269</v>
      </c>
      <c r="BC44" s="30">
        <f t="shared" si="2"/>
        <v>0.97111913357400725</v>
      </c>
      <c r="BD44" s="12">
        <f>'18'!BD44</f>
        <v>3</v>
      </c>
      <c r="BE44" s="12">
        <f>'18'!BE44</f>
        <v>170</v>
      </c>
      <c r="BF44" s="12"/>
      <c r="BG44" s="12"/>
      <c r="BH44" s="12">
        <f>BG44+'18'!BH44</f>
        <v>115</v>
      </c>
      <c r="BI44" s="30">
        <f t="shared" si="3"/>
        <v>0.67647058823529416</v>
      </c>
    </row>
    <row r="45" spans="1:61" ht="28.9" customHeight="1" x14ac:dyDescent="0.35">
      <c r="A45" s="5">
        <v>35</v>
      </c>
      <c r="B45" s="26">
        <f>'18'!B45</f>
        <v>0</v>
      </c>
      <c r="C45" s="26">
        <f>'18'!C45</f>
        <v>0</v>
      </c>
      <c r="D45" s="26"/>
      <c r="E45" s="12"/>
      <c r="F45" s="2">
        <f>E45+'18'!F45</f>
        <v>0</v>
      </c>
      <c r="G45" s="2"/>
      <c r="H45" s="2">
        <f>G45+'18'!H45</f>
        <v>0</v>
      </c>
      <c r="I45" s="2"/>
      <c r="J45" s="2">
        <f>I45+'18'!J45</f>
        <v>0</v>
      </c>
      <c r="K45" s="2"/>
      <c r="L45" s="2">
        <f>K45+'18'!L45</f>
        <v>0</v>
      </c>
      <c r="M45" s="2"/>
      <c r="N45" s="2">
        <f>M45+'18'!N45</f>
        <v>0</v>
      </c>
      <c r="O45" s="2"/>
      <c r="P45" s="2">
        <f>O45+'18'!P45</f>
        <v>0</v>
      </c>
      <c r="Q45" s="4">
        <f t="shared" si="4"/>
        <v>0</v>
      </c>
      <c r="R45" s="4">
        <f>Q45+'18'!R45</f>
        <v>0</v>
      </c>
      <c r="S45" s="27" t="e">
        <f t="shared" si="5"/>
        <v>#DIV/0!</v>
      </c>
      <c r="T45" s="12"/>
      <c r="U45" s="12">
        <f>T45+'18'!U45</f>
        <v>0</v>
      </c>
      <c r="V45" s="12"/>
      <c r="W45" s="12">
        <f>V45+'18'!W45</f>
        <v>0</v>
      </c>
      <c r="X45" s="12"/>
      <c r="Y45" s="12">
        <f>X45+'18'!Y45</f>
        <v>0</v>
      </c>
      <c r="AB45" s="5">
        <v>35</v>
      </c>
      <c r="AC45" s="26">
        <f>'18'!AC45</f>
        <v>0</v>
      </c>
      <c r="AD45" s="28">
        <f>'18'!AI45</f>
        <v>0</v>
      </c>
      <c r="AE45" s="3"/>
      <c r="AF45" s="28">
        <f>AE45+'18'!AF45</f>
        <v>0</v>
      </c>
      <c r="AG45" s="4"/>
      <c r="AH45" s="28">
        <f>AG45+'18'!AH45</f>
        <v>0</v>
      </c>
      <c r="AI45" s="4">
        <f t="shared" si="6"/>
        <v>0</v>
      </c>
      <c r="AJ45" s="11" t="e">
        <f t="shared" si="0"/>
        <v>#DIV/0!</v>
      </c>
      <c r="AK45" s="53" t="e">
        <f t="shared" si="1"/>
        <v>#DIV/0!</v>
      </c>
      <c r="AW45" s="26">
        <f>'18'!AW45</f>
        <v>0</v>
      </c>
      <c r="AX45" s="12">
        <f>'18'!AX45</f>
        <v>0</v>
      </c>
      <c r="AY45" s="12">
        <f>'18'!AY45</f>
        <v>0</v>
      </c>
      <c r="AZ45" s="12"/>
      <c r="BA45" s="12"/>
      <c r="BB45" s="12">
        <f>BA45+'18'!BB45</f>
        <v>0</v>
      </c>
      <c r="BC45" s="30" t="e">
        <f t="shared" si="2"/>
        <v>#DIV/0!</v>
      </c>
      <c r="BD45" s="12">
        <f>'18'!BD45</f>
        <v>0</v>
      </c>
      <c r="BE45" s="12">
        <f>'18'!BE45</f>
        <v>0</v>
      </c>
      <c r="BF45" s="12"/>
      <c r="BG45" s="12"/>
      <c r="BH45" s="12">
        <f>BG45+'18'!BH45</f>
        <v>0</v>
      </c>
      <c r="BI45" s="30" t="e">
        <f t="shared" si="3"/>
        <v>#DIV/0!</v>
      </c>
    </row>
    <row r="46" spans="1:61" ht="28.9" customHeight="1" x14ac:dyDescent="0.35">
      <c r="A46" s="5">
        <v>36</v>
      </c>
      <c r="B46" s="26">
        <f>'18'!B46</f>
        <v>0</v>
      </c>
      <c r="C46" s="26">
        <f>'18'!C46</f>
        <v>0</v>
      </c>
      <c r="D46" s="26"/>
      <c r="E46" s="12"/>
      <c r="F46" s="2">
        <f>E46+'18'!F46</f>
        <v>0</v>
      </c>
      <c r="G46" s="2"/>
      <c r="H46" s="2">
        <f>G46+'18'!H46</f>
        <v>0</v>
      </c>
      <c r="I46" s="2"/>
      <c r="J46" s="2">
        <f>I46+'18'!J46</f>
        <v>0</v>
      </c>
      <c r="K46" s="2"/>
      <c r="L46" s="2">
        <f>K46+'18'!L46</f>
        <v>0</v>
      </c>
      <c r="M46" s="2"/>
      <c r="N46" s="2">
        <f>M46+'18'!N46</f>
        <v>0</v>
      </c>
      <c r="O46" s="2"/>
      <c r="P46" s="2">
        <f>O46+'18'!P46</f>
        <v>0</v>
      </c>
      <c r="Q46" s="4">
        <f t="shared" si="4"/>
        <v>0</v>
      </c>
      <c r="R46" s="4">
        <f>Q46+'18'!R46</f>
        <v>0</v>
      </c>
      <c r="S46" s="27" t="e">
        <f t="shared" si="5"/>
        <v>#DIV/0!</v>
      </c>
      <c r="T46" s="12"/>
      <c r="U46" s="12">
        <f>T46+'18'!U46</f>
        <v>0</v>
      </c>
      <c r="V46" s="12"/>
      <c r="W46" s="12">
        <f>V46+'18'!W46</f>
        <v>0</v>
      </c>
      <c r="X46" s="12"/>
      <c r="Y46" s="12">
        <f>X46+'18'!Y46</f>
        <v>0</v>
      </c>
      <c r="AB46" s="5">
        <v>36</v>
      </c>
      <c r="AC46" s="26">
        <f>'18'!AC46</f>
        <v>0</v>
      </c>
      <c r="AD46" s="28">
        <f>'18'!AI46</f>
        <v>0</v>
      </c>
      <c r="AE46" s="3"/>
      <c r="AF46" s="28">
        <f>AE46+'18'!AF46</f>
        <v>0</v>
      </c>
      <c r="AG46" s="4"/>
      <c r="AH46" s="28">
        <f>AG46+'18'!AH46</f>
        <v>0</v>
      </c>
      <c r="AI46" s="4">
        <f t="shared" si="6"/>
        <v>0</v>
      </c>
      <c r="AJ46" s="11" t="e">
        <f t="shared" si="0"/>
        <v>#DIV/0!</v>
      </c>
      <c r="AK46" s="53" t="e">
        <f t="shared" si="1"/>
        <v>#DIV/0!</v>
      </c>
      <c r="AW46" s="26">
        <f>'18'!AW46</f>
        <v>0</v>
      </c>
      <c r="AX46" s="12">
        <f>'18'!AX46</f>
        <v>0</v>
      </c>
      <c r="AY46" s="12">
        <f>'18'!AY46</f>
        <v>0</v>
      </c>
      <c r="AZ46" s="12"/>
      <c r="BA46" s="12"/>
      <c r="BB46" s="12">
        <f>BA46+'18'!BB46</f>
        <v>0</v>
      </c>
      <c r="BC46" s="30" t="e">
        <f t="shared" si="2"/>
        <v>#DIV/0!</v>
      </c>
      <c r="BD46" s="12">
        <f>'18'!BD46</f>
        <v>0</v>
      </c>
      <c r="BE46" s="12">
        <f>'18'!BE46</f>
        <v>0</v>
      </c>
      <c r="BF46" s="12"/>
      <c r="BG46" s="12"/>
      <c r="BH46" s="12">
        <f>BG46+'18'!BH46</f>
        <v>0</v>
      </c>
      <c r="BI46" s="30" t="e">
        <f t="shared" si="3"/>
        <v>#DIV/0!</v>
      </c>
    </row>
    <row r="47" spans="1:61" ht="28.9" customHeight="1" x14ac:dyDescent="0.35">
      <c r="A47" s="5">
        <v>37</v>
      </c>
      <c r="B47" s="26">
        <f>'18'!B47</f>
        <v>0</v>
      </c>
      <c r="C47" s="26">
        <f>'18'!C47</f>
        <v>0</v>
      </c>
      <c r="D47" s="26"/>
      <c r="E47" s="12"/>
      <c r="F47" s="2">
        <f>E47+'18'!F47</f>
        <v>0</v>
      </c>
      <c r="G47" s="2"/>
      <c r="H47" s="2">
        <f>G47+'18'!H47</f>
        <v>0</v>
      </c>
      <c r="I47" s="2"/>
      <c r="J47" s="2">
        <f>I47+'18'!J47</f>
        <v>0</v>
      </c>
      <c r="K47" s="2"/>
      <c r="L47" s="2">
        <f>K47+'18'!L47</f>
        <v>0</v>
      </c>
      <c r="M47" s="2"/>
      <c r="N47" s="2">
        <f>M47+'18'!N47</f>
        <v>0</v>
      </c>
      <c r="O47" s="2"/>
      <c r="P47" s="2">
        <f>O47+'18'!P47</f>
        <v>0</v>
      </c>
      <c r="Q47" s="4">
        <f t="shared" si="4"/>
        <v>0</v>
      </c>
      <c r="R47" s="4">
        <f>Q47+'18'!R47</f>
        <v>0</v>
      </c>
      <c r="S47" s="27" t="e">
        <f t="shared" si="5"/>
        <v>#DIV/0!</v>
      </c>
      <c r="T47" s="12"/>
      <c r="U47" s="12">
        <f>T47+'18'!U47</f>
        <v>0</v>
      </c>
      <c r="V47" s="12"/>
      <c r="W47" s="12">
        <f>V47+'18'!W47</f>
        <v>0</v>
      </c>
      <c r="X47" s="12"/>
      <c r="Y47" s="12">
        <f>X47+'18'!Y47</f>
        <v>0</v>
      </c>
      <c r="AB47" s="5">
        <v>37</v>
      </c>
      <c r="AC47" s="26">
        <f>'18'!AC47</f>
        <v>0</v>
      </c>
      <c r="AD47" s="28">
        <f>'18'!AI47</f>
        <v>0</v>
      </c>
      <c r="AE47" s="3"/>
      <c r="AF47" s="28">
        <f>AE47+'18'!AF47</f>
        <v>0</v>
      </c>
      <c r="AG47" s="4"/>
      <c r="AH47" s="28">
        <f>AG47+'18'!AH47</f>
        <v>0</v>
      </c>
      <c r="AI47" s="4">
        <f t="shared" si="6"/>
        <v>0</v>
      </c>
      <c r="AJ47" s="11" t="e">
        <f t="shared" si="0"/>
        <v>#DIV/0!</v>
      </c>
      <c r="AK47" s="53" t="e">
        <f t="shared" si="1"/>
        <v>#DIV/0!</v>
      </c>
      <c r="AW47" s="26">
        <f>'18'!AW47</f>
        <v>0</v>
      </c>
      <c r="AX47" s="12">
        <f>'18'!AX47</f>
        <v>0</v>
      </c>
      <c r="AY47" s="12">
        <f>'18'!AY47</f>
        <v>0</v>
      </c>
      <c r="AZ47" s="12"/>
      <c r="BA47" s="12"/>
      <c r="BB47" s="12">
        <f>BA47+'18'!BB47</f>
        <v>0</v>
      </c>
      <c r="BC47" s="30" t="e">
        <f t="shared" si="2"/>
        <v>#DIV/0!</v>
      </c>
      <c r="BD47" s="12">
        <f>'18'!BD47</f>
        <v>0</v>
      </c>
      <c r="BE47" s="12">
        <f>'18'!BE47</f>
        <v>0</v>
      </c>
      <c r="BF47" s="12"/>
      <c r="BG47" s="12"/>
      <c r="BH47" s="12">
        <f>BG47+'18'!BH47</f>
        <v>0</v>
      </c>
      <c r="BI47" s="30" t="e">
        <f t="shared" si="3"/>
        <v>#DIV/0!</v>
      </c>
    </row>
    <row r="48" spans="1:61" ht="28.9" customHeight="1" x14ac:dyDescent="0.35">
      <c r="A48" s="5">
        <v>38</v>
      </c>
      <c r="B48" s="26">
        <f>'18'!B48</f>
        <v>0</v>
      </c>
      <c r="C48" s="26">
        <f>'18'!C48</f>
        <v>0</v>
      </c>
      <c r="D48" s="26"/>
      <c r="E48" s="12"/>
      <c r="F48" s="2">
        <f>E48+'18'!F48</f>
        <v>0</v>
      </c>
      <c r="G48" s="2"/>
      <c r="H48" s="2">
        <f>G48+'18'!H48</f>
        <v>0</v>
      </c>
      <c r="I48" s="2"/>
      <c r="J48" s="2">
        <f>I48+'18'!J48</f>
        <v>0</v>
      </c>
      <c r="K48" s="2"/>
      <c r="L48" s="2">
        <f>K48+'18'!L48</f>
        <v>0</v>
      </c>
      <c r="M48" s="2"/>
      <c r="N48" s="2">
        <f>M48+'18'!N48</f>
        <v>0</v>
      </c>
      <c r="O48" s="2"/>
      <c r="P48" s="2">
        <f>O48+'18'!P48</f>
        <v>0</v>
      </c>
      <c r="Q48" s="4">
        <f t="shared" si="4"/>
        <v>0</v>
      </c>
      <c r="R48" s="4">
        <f>Q48+'18'!R48</f>
        <v>0</v>
      </c>
      <c r="S48" s="27" t="e">
        <f t="shared" si="5"/>
        <v>#DIV/0!</v>
      </c>
      <c r="T48" s="12"/>
      <c r="U48" s="12">
        <f>T48+'18'!U48</f>
        <v>0</v>
      </c>
      <c r="V48" s="12"/>
      <c r="W48" s="12">
        <f>V48+'18'!W48</f>
        <v>0</v>
      </c>
      <c r="X48" s="12"/>
      <c r="Y48" s="12">
        <f>X48+'18'!Y48</f>
        <v>0</v>
      </c>
      <c r="AB48" s="5">
        <v>38</v>
      </c>
      <c r="AC48" s="26">
        <f>'18'!AC48</f>
        <v>0</v>
      </c>
      <c r="AD48" s="28">
        <f>'18'!AI48</f>
        <v>0</v>
      </c>
      <c r="AE48" s="3"/>
      <c r="AF48" s="28">
        <f>AE48+'18'!AF48</f>
        <v>0</v>
      </c>
      <c r="AG48" s="4"/>
      <c r="AH48" s="28">
        <f>AG48+'18'!AH48</f>
        <v>0</v>
      </c>
      <c r="AI48" s="4">
        <f t="shared" si="6"/>
        <v>0</v>
      </c>
      <c r="AJ48" s="11" t="e">
        <f t="shared" si="0"/>
        <v>#DIV/0!</v>
      </c>
      <c r="AK48" s="53" t="e">
        <f t="shared" si="1"/>
        <v>#DIV/0!</v>
      </c>
      <c r="AW48" s="26">
        <f>'18'!AW48</f>
        <v>0</v>
      </c>
      <c r="AX48" s="12">
        <f>'18'!AX48</f>
        <v>0</v>
      </c>
      <c r="AY48" s="12">
        <f>'18'!AY48</f>
        <v>0</v>
      </c>
      <c r="AZ48" s="12"/>
      <c r="BA48" s="12"/>
      <c r="BB48" s="12">
        <f>BA48+'18'!BB48</f>
        <v>0</v>
      </c>
      <c r="BC48" s="30" t="e">
        <f t="shared" si="2"/>
        <v>#DIV/0!</v>
      </c>
      <c r="BD48" s="12">
        <f>'18'!BD48</f>
        <v>0</v>
      </c>
      <c r="BE48" s="12">
        <f>'18'!BE48</f>
        <v>0</v>
      </c>
      <c r="BF48" s="12"/>
      <c r="BG48" s="12"/>
      <c r="BH48" s="12">
        <f>BG48+'18'!BH48</f>
        <v>0</v>
      </c>
      <c r="BI48" s="30" t="e">
        <f t="shared" si="3"/>
        <v>#DIV/0!</v>
      </c>
    </row>
    <row r="49" spans="1:61" ht="28.9" customHeight="1" x14ac:dyDescent="0.35">
      <c r="A49" s="5">
        <v>39</v>
      </c>
      <c r="B49" s="26">
        <f>'18'!B49</f>
        <v>0</v>
      </c>
      <c r="C49" s="26">
        <f>'18'!C49</f>
        <v>0</v>
      </c>
      <c r="D49" s="26"/>
      <c r="E49" s="12"/>
      <c r="F49" s="2">
        <f>E49+'18'!F49</f>
        <v>0</v>
      </c>
      <c r="G49" s="2"/>
      <c r="H49" s="2">
        <f>G49+'18'!H49</f>
        <v>0</v>
      </c>
      <c r="I49" s="2"/>
      <c r="J49" s="2">
        <f>I49+'18'!J49</f>
        <v>0</v>
      </c>
      <c r="K49" s="2"/>
      <c r="L49" s="2">
        <f>K49+'18'!L49</f>
        <v>0</v>
      </c>
      <c r="M49" s="2"/>
      <c r="N49" s="2">
        <f>M49+'18'!N49</f>
        <v>0</v>
      </c>
      <c r="O49" s="2"/>
      <c r="P49" s="2">
        <f>O49+'18'!P49</f>
        <v>0</v>
      </c>
      <c r="Q49" s="4">
        <f t="shared" si="4"/>
        <v>0</v>
      </c>
      <c r="R49" s="4">
        <f>Q49+'18'!R49</f>
        <v>0</v>
      </c>
      <c r="S49" s="27" t="e">
        <f t="shared" si="5"/>
        <v>#DIV/0!</v>
      </c>
      <c r="T49" s="12"/>
      <c r="U49" s="12">
        <f>T49+'18'!U49</f>
        <v>0</v>
      </c>
      <c r="V49" s="12"/>
      <c r="W49" s="12">
        <f>V49+'18'!W49</f>
        <v>0</v>
      </c>
      <c r="X49" s="12"/>
      <c r="Y49" s="12">
        <f>X49+'18'!Y49</f>
        <v>0</v>
      </c>
      <c r="AB49" s="5">
        <v>39</v>
      </c>
      <c r="AC49" s="26">
        <f>'18'!AC49</f>
        <v>0</v>
      </c>
      <c r="AD49" s="28">
        <f>'18'!AI49</f>
        <v>0</v>
      </c>
      <c r="AE49" s="3"/>
      <c r="AF49" s="28">
        <f>AE49+'18'!AF49</f>
        <v>0</v>
      </c>
      <c r="AG49" s="4"/>
      <c r="AH49" s="28">
        <f>AG49+'18'!AH49</f>
        <v>0</v>
      </c>
      <c r="AI49" s="4">
        <f t="shared" si="6"/>
        <v>0</v>
      </c>
      <c r="AJ49" s="11" t="e">
        <f t="shared" si="0"/>
        <v>#DIV/0!</v>
      </c>
      <c r="AK49" s="53" t="e">
        <f t="shared" si="1"/>
        <v>#DIV/0!</v>
      </c>
      <c r="AW49" s="26">
        <f>'18'!AW49</f>
        <v>0</v>
      </c>
      <c r="AX49" s="12">
        <f>'18'!AX49</f>
        <v>0</v>
      </c>
      <c r="AY49" s="12">
        <f>'18'!AY49</f>
        <v>0</v>
      </c>
      <c r="AZ49" s="12"/>
      <c r="BA49" s="12"/>
      <c r="BB49" s="12">
        <f>BA49+'18'!BB49</f>
        <v>0</v>
      </c>
      <c r="BC49" s="30" t="e">
        <f t="shared" si="2"/>
        <v>#DIV/0!</v>
      </c>
      <c r="BD49" s="12">
        <f>'18'!BD49</f>
        <v>0</v>
      </c>
      <c r="BE49" s="12">
        <f>'18'!BE49</f>
        <v>0</v>
      </c>
      <c r="BF49" s="12"/>
      <c r="BG49" s="12"/>
      <c r="BH49" s="12">
        <f>BG49+'18'!BH49</f>
        <v>0</v>
      </c>
      <c r="BI49" s="30" t="e">
        <f t="shared" si="3"/>
        <v>#DIV/0!</v>
      </c>
    </row>
    <row r="50" spans="1:61" ht="28.9" customHeight="1" x14ac:dyDescent="0.35">
      <c r="A50" s="5">
        <v>40</v>
      </c>
      <c r="B50" s="26">
        <f>'18'!B50</f>
        <v>0</v>
      </c>
      <c r="C50" s="26">
        <f>'18'!C50</f>
        <v>0</v>
      </c>
      <c r="D50" s="26"/>
      <c r="E50" s="12"/>
      <c r="F50" s="2">
        <f>E50+'18'!F50</f>
        <v>0</v>
      </c>
      <c r="G50" s="2"/>
      <c r="H50" s="2">
        <f>G50+'18'!H50</f>
        <v>0</v>
      </c>
      <c r="I50" s="2"/>
      <c r="J50" s="2">
        <f>I50+'18'!J50</f>
        <v>0</v>
      </c>
      <c r="K50" s="2"/>
      <c r="L50" s="2">
        <f>K50+'18'!L50</f>
        <v>0</v>
      </c>
      <c r="M50" s="2"/>
      <c r="N50" s="2">
        <f>M50+'18'!N50</f>
        <v>0</v>
      </c>
      <c r="O50" s="2"/>
      <c r="P50" s="2">
        <f>O50+'18'!P50</f>
        <v>0</v>
      </c>
      <c r="Q50" s="4">
        <f t="shared" si="4"/>
        <v>0</v>
      </c>
      <c r="R50" s="4">
        <f>Q50+'18'!R50</f>
        <v>0</v>
      </c>
      <c r="S50" s="27" t="e">
        <f t="shared" si="5"/>
        <v>#DIV/0!</v>
      </c>
      <c r="T50" s="12"/>
      <c r="U50" s="12">
        <f>T50+'18'!U50</f>
        <v>0</v>
      </c>
      <c r="V50" s="12"/>
      <c r="W50" s="12">
        <f>V50+'18'!W50</f>
        <v>0</v>
      </c>
      <c r="X50" s="12"/>
      <c r="Y50" s="12">
        <f>X50+'18'!Y50</f>
        <v>0</v>
      </c>
      <c r="AB50" s="5">
        <v>40</v>
      </c>
      <c r="AC50" s="26">
        <f>'18'!AC50</f>
        <v>0</v>
      </c>
      <c r="AD50" s="28">
        <f>'18'!AI50</f>
        <v>0</v>
      </c>
      <c r="AE50" s="3"/>
      <c r="AF50" s="28">
        <f>AE50+'18'!AF50</f>
        <v>0</v>
      </c>
      <c r="AG50" s="4"/>
      <c r="AH50" s="28">
        <f>AG50+'18'!AH50</f>
        <v>0</v>
      </c>
      <c r="AI50" s="4">
        <f t="shared" si="6"/>
        <v>0</v>
      </c>
      <c r="AJ50" s="11" t="e">
        <f t="shared" si="0"/>
        <v>#DIV/0!</v>
      </c>
      <c r="AK50" s="53" t="e">
        <f t="shared" si="1"/>
        <v>#DIV/0!</v>
      </c>
      <c r="AW50" s="26">
        <f>'18'!AW50</f>
        <v>0</v>
      </c>
      <c r="AX50" s="12">
        <f>'18'!AX50</f>
        <v>0</v>
      </c>
      <c r="AY50" s="12">
        <f>'18'!AY50</f>
        <v>0</v>
      </c>
      <c r="AZ50" s="12"/>
      <c r="BA50" s="12"/>
      <c r="BB50" s="12">
        <f>BA50+'18'!BB50</f>
        <v>0</v>
      </c>
      <c r="BC50" s="30" t="e">
        <f t="shared" si="2"/>
        <v>#DIV/0!</v>
      </c>
      <c r="BD50" s="12">
        <f>'18'!BD50</f>
        <v>0</v>
      </c>
      <c r="BE50" s="12">
        <f>'18'!BE50</f>
        <v>0</v>
      </c>
      <c r="BF50" s="12"/>
      <c r="BG50" s="12"/>
      <c r="BH50" s="12">
        <f>BG50+'18'!BH50</f>
        <v>0</v>
      </c>
      <c r="BI50" s="30" t="e">
        <f t="shared" si="3"/>
        <v>#DIV/0!</v>
      </c>
    </row>
    <row r="51" spans="1:61" ht="25.5" thickBot="1" x14ac:dyDescent="0.4">
      <c r="A51" s="321" t="s">
        <v>26</v>
      </c>
      <c r="B51" s="321"/>
      <c r="C51" s="35">
        <f>SUM(C11:C50)</f>
        <v>97446</v>
      </c>
      <c r="D51" s="35">
        <f>SUM(D11:D50)</f>
        <v>0</v>
      </c>
      <c r="E51" s="6">
        <f>SUM(E11:E50)</f>
        <v>0</v>
      </c>
      <c r="F51" s="6">
        <f>SUM(F11:F50)</f>
        <v>533</v>
      </c>
      <c r="G51" s="6">
        <f t="shared" ref="G51:R51" si="8">SUM(G11:G50)</f>
        <v>0</v>
      </c>
      <c r="H51" s="6">
        <f t="shared" si="8"/>
        <v>14954</v>
      </c>
      <c r="I51" s="6">
        <f t="shared" si="8"/>
        <v>0</v>
      </c>
      <c r="J51" s="6">
        <f t="shared" si="8"/>
        <v>37926</v>
      </c>
      <c r="K51" s="6">
        <f t="shared" si="8"/>
        <v>0</v>
      </c>
      <c r="L51" s="6">
        <f t="shared" si="8"/>
        <v>0</v>
      </c>
      <c r="M51" s="6">
        <f t="shared" si="8"/>
        <v>0</v>
      </c>
      <c r="N51" s="6">
        <f t="shared" si="8"/>
        <v>0</v>
      </c>
      <c r="O51" s="6">
        <f t="shared" si="8"/>
        <v>0</v>
      </c>
      <c r="P51" s="6">
        <f t="shared" si="8"/>
        <v>0</v>
      </c>
      <c r="Q51" s="6">
        <f t="shared" si="8"/>
        <v>0</v>
      </c>
      <c r="R51" s="6">
        <f t="shared" si="8"/>
        <v>53413</v>
      </c>
      <c r="S51" s="10">
        <f>R51/C51</f>
        <v>0.54812922028610722</v>
      </c>
      <c r="T51" s="23">
        <f t="shared" ref="T51:Y51" si="9">SUM(T11:T50)</f>
        <v>0</v>
      </c>
      <c r="U51" s="23">
        <f t="shared" si="9"/>
        <v>7532</v>
      </c>
      <c r="V51" s="23">
        <f t="shared" si="9"/>
        <v>0</v>
      </c>
      <c r="W51" s="23">
        <f t="shared" si="9"/>
        <v>1107</v>
      </c>
      <c r="X51" s="23">
        <f t="shared" si="9"/>
        <v>0</v>
      </c>
      <c r="Y51" s="23">
        <f t="shared" si="9"/>
        <v>2</v>
      </c>
      <c r="AB51" s="37" t="s">
        <v>29</v>
      </c>
      <c r="AC51" s="37"/>
      <c r="AD51" s="34">
        <f t="shared" ref="AD51:AI51" si="10">SUM(AD11:AD50)</f>
        <v>3133</v>
      </c>
      <c r="AE51" s="23">
        <f t="shared" si="10"/>
        <v>0</v>
      </c>
      <c r="AF51" s="14">
        <f t="shared" si="10"/>
        <v>8632</v>
      </c>
      <c r="AG51" s="14">
        <f t="shared" si="10"/>
        <v>0</v>
      </c>
      <c r="AH51" s="14">
        <f t="shared" si="10"/>
        <v>5499</v>
      </c>
      <c r="AI51" s="14">
        <f t="shared" si="10"/>
        <v>3133</v>
      </c>
      <c r="AJ51" s="11" t="e">
        <f t="shared" si="0"/>
        <v>#DIV/0!</v>
      </c>
      <c r="AK51" s="53">
        <f t="shared" si="1"/>
        <v>9.713220585561011</v>
      </c>
      <c r="AW51" s="33" t="s">
        <v>26</v>
      </c>
      <c r="AX51" s="13">
        <f>SUM(AX11:AX50)</f>
        <v>121</v>
      </c>
      <c r="AY51" s="13">
        <f>SUM(AY11:AY50)</f>
        <v>50910</v>
      </c>
      <c r="AZ51" s="13">
        <f>SUM(AZ11:AZ50)</f>
        <v>0</v>
      </c>
      <c r="BA51" s="13">
        <f>SUM(BA11:BA50)</f>
        <v>0</v>
      </c>
      <c r="BB51" s="13">
        <f>SUM(BB11:BB50)</f>
        <v>39924</v>
      </c>
      <c r="BC51" s="31">
        <f t="shared" si="2"/>
        <v>0.78420742486741313</v>
      </c>
      <c r="BD51" s="32">
        <f>SUM(BD11:BD50)</f>
        <v>241</v>
      </c>
      <c r="BE51" s="32">
        <f>SUM(BE11:BE50)</f>
        <v>14990</v>
      </c>
      <c r="BF51" s="32">
        <f>SUM(BF11:BF50)</f>
        <v>0</v>
      </c>
      <c r="BG51" s="32">
        <f>SUM(BG11:BG50)</f>
        <v>0</v>
      </c>
      <c r="BH51" s="32">
        <f>SUM(BH11:BH50)</f>
        <v>9274</v>
      </c>
      <c r="BI51" s="31">
        <f t="shared" si="3"/>
        <v>0.61867911941294196</v>
      </c>
    </row>
    <row r="52" spans="1:61" ht="17.5" x14ac:dyDescent="0.35">
      <c r="AB52" s="36"/>
      <c r="AC52" s="36"/>
      <c r="AD52" s="36"/>
      <c r="AE52" s="36"/>
      <c r="AF52" s="40"/>
      <c r="AG52" s="40"/>
      <c r="AH52" s="40"/>
      <c r="AI52" s="41"/>
      <c r="AJ52" s="15"/>
      <c r="AK52" s="15"/>
    </row>
    <row r="54" spans="1:61" ht="18.5" x14ac:dyDescent="0.45">
      <c r="G54" s="322" t="s">
        <v>36</v>
      </c>
      <c r="H54" s="322"/>
      <c r="I54" s="322"/>
      <c r="J54" s="322"/>
      <c r="K54" s="322"/>
      <c r="L54" s="322"/>
      <c r="M54" s="322"/>
      <c r="N54" s="322"/>
      <c r="O54" s="322"/>
      <c r="P54" s="322"/>
      <c r="Q54" s="322"/>
      <c r="R54" s="322"/>
      <c r="S54" s="322"/>
      <c r="AB54" s="313" t="s">
        <v>44</v>
      </c>
      <c r="AC54" s="313"/>
      <c r="AD54" s="313"/>
      <c r="AE54" s="313"/>
      <c r="AF54" s="313"/>
      <c r="AG54" s="313"/>
      <c r="AH54" s="313"/>
      <c r="AI54" s="313"/>
      <c r="AJ54" s="313"/>
      <c r="AK54" s="313"/>
      <c r="AL54" s="313"/>
      <c r="AM54" s="313"/>
      <c r="AN54" s="313"/>
    </row>
    <row r="55" spans="1:61" ht="18.5" x14ac:dyDescent="0.45">
      <c r="AX55" s="313" t="s">
        <v>44</v>
      </c>
      <c r="AY55" s="313"/>
      <c r="AZ55" s="313"/>
      <c r="BA55" s="313"/>
      <c r="BB55" s="313"/>
      <c r="BC55" s="313"/>
      <c r="BD55" s="313"/>
      <c r="BE55" s="313"/>
      <c r="BF55" s="313"/>
      <c r="BG55" s="313"/>
      <c r="BH55" s="313"/>
      <c r="BI55" s="313"/>
    </row>
    <row r="56" spans="1:61" ht="15.5" x14ac:dyDescent="0.35">
      <c r="AG56" s="38"/>
      <c r="AH56" s="38"/>
      <c r="AI56" s="38"/>
    </row>
  </sheetData>
  <mergeCells count="56">
    <mergeCell ref="A6:Y6"/>
    <mergeCell ref="AF6:AN6"/>
    <mergeCell ref="AY6:BI6"/>
    <mergeCell ref="A7:Y7"/>
    <mergeCell ref="A8:A10"/>
    <mergeCell ref="B8:B10"/>
    <mergeCell ref="C8:C10"/>
    <mergeCell ref="D8:D10"/>
    <mergeCell ref="E8:J8"/>
    <mergeCell ref="K8:P8"/>
    <mergeCell ref="Q8:R9"/>
    <mergeCell ref="S8:S10"/>
    <mergeCell ref="T8:U9"/>
    <mergeCell ref="V8:W9"/>
    <mergeCell ref="X8:Y9"/>
    <mergeCell ref="AB8:AB10"/>
    <mergeCell ref="AN8:AN9"/>
    <mergeCell ref="AO8:AO9"/>
    <mergeCell ref="AP8:AQ8"/>
    <mergeCell ref="AR8:AS8"/>
    <mergeCell ref="AC8:AC10"/>
    <mergeCell ref="AD8:AD10"/>
    <mergeCell ref="AE8:AF9"/>
    <mergeCell ref="AG8:AH9"/>
    <mergeCell ref="AI8:AI10"/>
    <mergeCell ref="AJ8:AJ10"/>
    <mergeCell ref="AW8:AW10"/>
    <mergeCell ref="AX8:BC8"/>
    <mergeCell ref="BD8:BI8"/>
    <mergeCell ref="E9:F9"/>
    <mergeCell ref="G9:H9"/>
    <mergeCell ref="I9:J9"/>
    <mergeCell ref="K9:L9"/>
    <mergeCell ref="M9:N9"/>
    <mergeCell ref="AK8:AK10"/>
    <mergeCell ref="AM8:AM13"/>
    <mergeCell ref="BF9:BF10"/>
    <mergeCell ref="BG9:BG10"/>
    <mergeCell ref="BH9:BH10"/>
    <mergeCell ref="O9:P9"/>
    <mergeCell ref="AX9:AX10"/>
    <mergeCell ref="AY9:AY10"/>
    <mergeCell ref="AZ9:AZ10"/>
    <mergeCell ref="BA9:BA10"/>
    <mergeCell ref="BB9:BB10"/>
    <mergeCell ref="AT8:AT9"/>
    <mergeCell ref="AX55:BI55"/>
    <mergeCell ref="BI9:BI10"/>
    <mergeCell ref="AM14:AN14"/>
    <mergeCell ref="AO14:AS14"/>
    <mergeCell ref="A51:B51"/>
    <mergeCell ref="G54:S54"/>
    <mergeCell ref="AB54:AN54"/>
    <mergeCell ref="BC9:BC10"/>
    <mergeCell ref="BD9:BD10"/>
    <mergeCell ref="BE9:BE10"/>
  </mergeCells>
  <pageMargins left="0.7" right="0.7" top="0.75" bottom="0.75" header="0.3" footer="0.3"/>
  <pageSetup paperSize="9" scale="17" orientation="landscape" r:id="rId1"/>
  <colBreaks count="2" manualBreakCount="2">
    <brk id="26" max="55" man="1"/>
    <brk id="47" max="55" man="1"/>
  </col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F7BEE-94AE-42A4-BE6C-0F5D5DA5F13E}">
  <dimension ref="A1:BJ56"/>
  <sheetViews>
    <sheetView rightToLeft="1" view="pageBreakPreview" topLeftCell="Z1" zoomScale="55" zoomScaleNormal="29" zoomScalePageLayoutView="40" workbookViewId="0">
      <selection activeCell="AO13" sqref="AO13"/>
    </sheetView>
  </sheetViews>
  <sheetFormatPr defaultRowHeight="14.5" x14ac:dyDescent="0.35"/>
  <cols>
    <col min="1" max="1" width="11.26953125" style="1" customWidth="1"/>
    <col min="2" max="4" width="18.7265625" style="1" customWidth="1"/>
    <col min="5" max="6" width="15.26953125" customWidth="1"/>
    <col min="7" max="7" width="18.453125" customWidth="1"/>
    <col min="8" max="8" width="16.81640625" customWidth="1"/>
    <col min="9" max="9" width="15.26953125" customWidth="1"/>
    <col min="10" max="10" width="15.54296875" customWidth="1"/>
    <col min="11" max="23" width="15.26953125" customWidth="1"/>
    <col min="24" max="25" width="12.54296875" customWidth="1"/>
    <col min="27" max="27" width="19.1796875" customWidth="1"/>
    <col min="28" max="30" width="15.26953125" customWidth="1"/>
    <col min="31" max="32" width="13.7265625" customWidth="1"/>
    <col min="33" max="33" width="14.1796875" customWidth="1"/>
    <col min="34" max="34" width="13" customWidth="1"/>
    <col min="35" max="35" width="18.26953125" customWidth="1"/>
    <col min="36" max="40" width="15" customWidth="1"/>
    <col min="41" max="41" width="16.7265625" customWidth="1"/>
    <col min="42" max="42" width="18" customWidth="1"/>
    <col min="43" max="46" width="15" customWidth="1"/>
    <col min="47" max="47" width="14" style="1" customWidth="1"/>
    <col min="49" max="49" width="15.1796875" customWidth="1"/>
    <col min="50" max="50" width="22.26953125" customWidth="1"/>
    <col min="51" max="51" width="16.26953125" customWidth="1"/>
    <col min="52" max="52" width="13.453125" customWidth="1"/>
    <col min="53" max="53" width="14" customWidth="1"/>
    <col min="54" max="54" width="11.7265625" customWidth="1"/>
    <col min="55" max="55" width="14.26953125" customWidth="1"/>
    <col min="56" max="56" width="17.7265625" customWidth="1"/>
    <col min="57" max="57" width="22.453125" customWidth="1"/>
    <col min="58" max="58" width="17.7265625" customWidth="1"/>
    <col min="59" max="59" width="11.7265625" customWidth="1"/>
    <col min="60" max="60" width="16.81640625" customWidth="1"/>
    <col min="61" max="61" width="12.81640625" customWidth="1"/>
    <col min="62" max="62" width="15.26953125" customWidth="1"/>
  </cols>
  <sheetData>
    <row r="1" spans="1:62" s="21" customFormat="1" ht="23.5" x14ac:dyDescent="0.55000000000000004">
      <c r="A1" s="22" t="s">
        <v>0</v>
      </c>
      <c r="B1" s="22"/>
      <c r="C1" s="22"/>
      <c r="D1" s="18"/>
      <c r="E1" s="18"/>
      <c r="F1" s="18"/>
      <c r="G1" s="18"/>
      <c r="H1" s="18"/>
      <c r="I1" s="18"/>
      <c r="J1" s="18"/>
      <c r="K1" s="18"/>
      <c r="L1" s="18"/>
      <c r="M1" s="18"/>
      <c r="N1" s="19"/>
      <c r="O1" s="19"/>
      <c r="P1" s="18"/>
      <c r="Q1" s="18"/>
      <c r="R1" s="18"/>
      <c r="S1" s="18"/>
      <c r="T1" s="18"/>
      <c r="U1" s="18"/>
      <c r="V1" s="18"/>
      <c r="W1" s="18"/>
      <c r="X1" s="18"/>
      <c r="Y1" s="18"/>
      <c r="AA1" s="29"/>
      <c r="AB1" s="22" t="s">
        <v>0</v>
      </c>
      <c r="AC1" s="22"/>
      <c r="AD1" s="29"/>
      <c r="AE1" s="29"/>
      <c r="AF1" s="29"/>
      <c r="AU1" s="54"/>
      <c r="AW1" s="22" t="s">
        <v>0</v>
      </c>
      <c r="AX1" s="22"/>
      <c r="AY1" s="22"/>
      <c r="AZ1" s="18"/>
      <c r="BA1" s="18"/>
      <c r="BB1" s="18"/>
      <c r="BC1" s="18"/>
      <c r="BD1" s="18"/>
      <c r="BE1" s="20"/>
      <c r="BF1" s="19"/>
      <c r="BI1" s="29"/>
      <c r="BJ1" s="29"/>
    </row>
    <row r="2" spans="1:62" s="21" customFormat="1" ht="23.5" x14ac:dyDescent="0.55000000000000004">
      <c r="A2" s="22" t="s">
        <v>21</v>
      </c>
      <c r="B2" s="22"/>
      <c r="C2" s="22"/>
      <c r="D2" s="18"/>
      <c r="E2" s="18"/>
      <c r="F2" s="18"/>
      <c r="G2" s="18"/>
      <c r="H2" s="18"/>
      <c r="I2" s="18"/>
      <c r="J2" s="18"/>
      <c r="K2" s="18"/>
      <c r="L2" s="18"/>
      <c r="M2" s="18"/>
      <c r="N2" s="19"/>
      <c r="O2" s="19"/>
      <c r="P2" s="18"/>
      <c r="Q2" s="18"/>
      <c r="R2" s="18"/>
      <c r="S2" s="18"/>
      <c r="T2" s="18"/>
      <c r="U2" s="18"/>
      <c r="V2" s="18"/>
      <c r="W2" s="18"/>
      <c r="X2" s="18"/>
      <c r="Y2" s="18"/>
      <c r="AA2" s="29"/>
      <c r="AB2" s="22" t="s">
        <v>21</v>
      </c>
      <c r="AC2" s="22"/>
      <c r="AD2" s="29"/>
      <c r="AE2" s="29"/>
      <c r="AF2" s="29"/>
      <c r="AU2" s="54"/>
      <c r="AW2" s="22" t="s">
        <v>21</v>
      </c>
      <c r="AX2" s="22"/>
      <c r="AY2" s="22"/>
      <c r="AZ2" s="18"/>
      <c r="BA2" s="18"/>
      <c r="BB2" s="18"/>
      <c r="BC2" s="18"/>
      <c r="BD2" s="18"/>
      <c r="BE2" s="20"/>
      <c r="BF2" s="19"/>
      <c r="BI2" s="29"/>
      <c r="BJ2" s="29"/>
    </row>
    <row r="3" spans="1:62" s="21" customFormat="1" ht="23.5" x14ac:dyDescent="0.55000000000000004">
      <c r="A3" s="22" t="s">
        <v>22</v>
      </c>
      <c r="B3" s="22"/>
      <c r="C3" s="22"/>
      <c r="D3" s="18"/>
      <c r="E3" s="18"/>
      <c r="F3" s="18"/>
      <c r="G3" s="18"/>
      <c r="H3" s="18"/>
      <c r="I3" s="18"/>
      <c r="J3" s="18"/>
      <c r="K3" s="18"/>
      <c r="L3" s="18"/>
      <c r="M3" s="18"/>
      <c r="N3" s="19"/>
      <c r="O3" s="19"/>
      <c r="P3" s="18"/>
      <c r="Q3" s="18"/>
      <c r="R3" s="18"/>
      <c r="S3" s="18"/>
      <c r="T3" s="18"/>
      <c r="U3" s="18"/>
      <c r="V3" s="18"/>
      <c r="W3" s="18"/>
      <c r="X3" s="18"/>
      <c r="Y3" s="18"/>
      <c r="AA3" s="29"/>
      <c r="AB3" s="22" t="s">
        <v>22</v>
      </c>
      <c r="AC3" s="22"/>
      <c r="AD3" s="29"/>
      <c r="AE3" s="29"/>
      <c r="AF3" s="29"/>
      <c r="AU3" s="54"/>
      <c r="AW3" s="22" t="s">
        <v>22</v>
      </c>
      <c r="AX3" s="22"/>
      <c r="AY3" s="22"/>
      <c r="AZ3" s="18"/>
      <c r="BA3" s="18"/>
      <c r="BB3" s="18"/>
      <c r="BC3" s="18"/>
      <c r="BD3" s="18"/>
      <c r="BE3" s="20"/>
      <c r="BF3" s="19"/>
      <c r="BI3" s="29"/>
      <c r="BJ3" s="29"/>
    </row>
    <row r="4" spans="1:62" s="21" customFormat="1" ht="23.5" x14ac:dyDescent="0.55000000000000004">
      <c r="A4" s="22" t="s">
        <v>23</v>
      </c>
      <c r="B4" s="22"/>
      <c r="C4" s="22"/>
      <c r="D4" s="19"/>
      <c r="E4" s="20"/>
      <c r="F4" s="20"/>
      <c r="G4" s="20"/>
      <c r="H4" s="20"/>
      <c r="I4" s="18"/>
      <c r="J4" s="18"/>
      <c r="K4" s="18"/>
      <c r="L4" s="18"/>
      <c r="M4" s="18"/>
      <c r="N4" s="19"/>
      <c r="O4" s="19"/>
      <c r="P4" s="18"/>
      <c r="Q4" s="18"/>
      <c r="R4" s="18"/>
      <c r="S4" s="18"/>
      <c r="T4" s="18"/>
      <c r="U4" s="18"/>
      <c r="V4" s="18"/>
      <c r="W4" s="18"/>
      <c r="X4" s="18"/>
      <c r="Y4" s="18"/>
      <c r="AB4" s="22" t="s">
        <v>23</v>
      </c>
      <c r="AC4" s="22"/>
      <c r="AU4" s="54"/>
      <c r="AW4" s="22" t="s">
        <v>23</v>
      </c>
      <c r="AX4" s="22"/>
      <c r="AY4" s="22"/>
      <c r="AZ4" s="19"/>
      <c r="BA4" s="18"/>
      <c r="BB4" s="18"/>
      <c r="BC4" s="18"/>
      <c r="BD4" s="18"/>
      <c r="BE4" s="20"/>
      <c r="BF4" s="19"/>
    </row>
    <row r="5" spans="1:62" s="21" customFormat="1" ht="23.5" x14ac:dyDescent="0.55000000000000004">
      <c r="A5" s="22" t="s">
        <v>1</v>
      </c>
      <c r="B5" s="22"/>
      <c r="C5" s="22"/>
      <c r="D5" s="19"/>
      <c r="E5" s="18"/>
      <c r="F5" s="18"/>
      <c r="G5" s="18"/>
      <c r="H5" s="18"/>
      <c r="I5" s="18"/>
      <c r="J5" s="18"/>
      <c r="K5" s="18"/>
      <c r="L5" s="18"/>
      <c r="M5" s="18"/>
      <c r="N5" s="19"/>
      <c r="O5" s="19"/>
      <c r="P5" s="18"/>
      <c r="Q5" s="18"/>
      <c r="R5" s="18"/>
      <c r="S5" s="18"/>
      <c r="T5" s="18"/>
      <c r="U5" s="18"/>
      <c r="V5" s="18"/>
      <c r="W5" s="18"/>
      <c r="X5" s="18"/>
      <c r="Y5" s="18"/>
      <c r="AB5" s="22" t="s">
        <v>1</v>
      </c>
      <c r="AC5" s="22"/>
      <c r="AU5" s="54"/>
      <c r="AW5" s="22" t="s">
        <v>1</v>
      </c>
      <c r="AX5" s="22"/>
      <c r="AY5" s="22"/>
      <c r="AZ5" s="19"/>
      <c r="BA5" s="18"/>
      <c r="BB5" s="18"/>
      <c r="BC5" s="18"/>
      <c r="BD5" s="18"/>
      <c r="BE5" s="20"/>
      <c r="BF5" s="19"/>
    </row>
    <row r="6" spans="1:62" ht="20" x14ac:dyDescent="0.4">
      <c r="A6" s="362" t="s">
        <v>18</v>
      </c>
      <c r="B6" s="362"/>
      <c r="C6" s="362"/>
      <c r="D6" s="362"/>
      <c r="E6" s="362"/>
      <c r="F6" s="362"/>
      <c r="G6" s="362"/>
      <c r="H6" s="362"/>
      <c r="I6" s="362"/>
      <c r="J6" s="362"/>
      <c r="K6" s="362"/>
      <c r="L6" s="362"/>
      <c r="M6" s="362"/>
      <c r="N6" s="362"/>
      <c r="O6" s="362"/>
      <c r="P6" s="362"/>
      <c r="Q6" s="362"/>
      <c r="R6" s="362"/>
      <c r="S6" s="362"/>
      <c r="T6" s="362"/>
      <c r="U6" s="362"/>
      <c r="V6" s="362"/>
      <c r="W6" s="362"/>
      <c r="X6" s="362"/>
      <c r="Y6" s="362"/>
      <c r="AF6" s="362" t="s">
        <v>16</v>
      </c>
      <c r="AG6" s="362"/>
      <c r="AH6" s="362"/>
      <c r="AI6" s="362"/>
      <c r="AJ6" s="362"/>
      <c r="AK6" s="362"/>
      <c r="AL6" s="362"/>
      <c r="AM6" s="362"/>
      <c r="AN6" s="362"/>
      <c r="AO6" s="24"/>
      <c r="AP6" s="24"/>
      <c r="AQ6" s="24"/>
      <c r="AR6" s="24"/>
      <c r="AS6" s="24"/>
      <c r="AT6" s="24"/>
      <c r="AY6" s="362" t="s">
        <v>30</v>
      </c>
      <c r="AZ6" s="362"/>
      <c r="BA6" s="362"/>
      <c r="BB6" s="362"/>
      <c r="BC6" s="362"/>
      <c r="BD6" s="362"/>
      <c r="BE6" s="362"/>
      <c r="BF6" s="362"/>
      <c r="BG6" s="362"/>
      <c r="BH6" s="362"/>
      <c r="BI6" s="362"/>
    </row>
    <row r="7" spans="1:62" ht="20.5" thickBot="1" x14ac:dyDescent="0.45">
      <c r="A7" s="363" t="s">
        <v>27</v>
      </c>
      <c r="B7" s="364"/>
      <c r="C7" s="364"/>
      <c r="D7" s="364"/>
      <c r="E7" s="363"/>
      <c r="F7" s="363"/>
      <c r="G7" s="363"/>
      <c r="H7" s="363"/>
      <c r="I7" s="363"/>
      <c r="J7" s="363"/>
      <c r="K7" s="363"/>
      <c r="L7" s="363"/>
      <c r="M7" s="363"/>
      <c r="N7" s="363"/>
      <c r="O7" s="363"/>
      <c r="P7" s="363"/>
      <c r="Q7" s="363"/>
      <c r="R7" s="363"/>
      <c r="S7" s="363"/>
      <c r="T7" s="364"/>
      <c r="U7" s="364"/>
      <c r="V7" s="364"/>
      <c r="W7" s="364"/>
      <c r="X7" s="364"/>
      <c r="Y7" s="364"/>
      <c r="AJ7" s="25" t="s">
        <v>31</v>
      </c>
      <c r="AK7" s="25"/>
      <c r="AL7" s="25"/>
      <c r="AN7" s="25"/>
      <c r="AO7" s="25"/>
      <c r="AP7" s="25"/>
      <c r="AQ7" s="25"/>
      <c r="AS7" s="25"/>
      <c r="AT7" s="25"/>
      <c r="BC7" s="25" t="s">
        <v>31</v>
      </c>
      <c r="BD7" s="25"/>
      <c r="BF7" s="25"/>
      <c r="BG7" s="25"/>
      <c r="BH7" s="25"/>
      <c r="BI7" s="25"/>
      <c r="BJ7" s="25"/>
    </row>
    <row r="8" spans="1:62" ht="41.5" customHeight="1" x14ac:dyDescent="0.35">
      <c r="A8" s="326" t="s">
        <v>24</v>
      </c>
      <c r="B8" s="365" t="s">
        <v>25</v>
      </c>
      <c r="C8" s="366" t="s">
        <v>11</v>
      </c>
      <c r="D8" s="366" t="s">
        <v>15</v>
      </c>
      <c r="E8" s="330" t="s">
        <v>5</v>
      </c>
      <c r="F8" s="330"/>
      <c r="G8" s="330"/>
      <c r="H8" s="330"/>
      <c r="I8" s="330"/>
      <c r="J8" s="330"/>
      <c r="K8" s="330" t="s">
        <v>7</v>
      </c>
      <c r="L8" s="330"/>
      <c r="M8" s="330"/>
      <c r="N8" s="330"/>
      <c r="O8" s="330"/>
      <c r="P8" s="330"/>
      <c r="Q8" s="356" t="s">
        <v>2</v>
      </c>
      <c r="R8" s="350"/>
      <c r="S8" s="358" t="s">
        <v>12</v>
      </c>
      <c r="T8" s="323" t="s">
        <v>8</v>
      </c>
      <c r="U8" s="323"/>
      <c r="V8" s="323" t="s">
        <v>9</v>
      </c>
      <c r="W8" s="323"/>
      <c r="X8" s="323" t="s">
        <v>20</v>
      </c>
      <c r="Y8" s="323"/>
      <c r="AB8" s="326" t="s">
        <v>24</v>
      </c>
      <c r="AC8" s="342" t="s">
        <v>28</v>
      </c>
      <c r="AD8" s="342" t="s">
        <v>14</v>
      </c>
      <c r="AE8" s="345" t="s">
        <v>45</v>
      </c>
      <c r="AF8" s="346"/>
      <c r="AG8" s="349" t="s">
        <v>10</v>
      </c>
      <c r="AH8" s="350"/>
      <c r="AI8" s="353" t="s">
        <v>46</v>
      </c>
      <c r="AJ8" s="336" t="s">
        <v>51</v>
      </c>
      <c r="AK8" s="336" t="s">
        <v>47</v>
      </c>
      <c r="AM8" s="339" t="s">
        <v>41</v>
      </c>
      <c r="AN8" s="341" t="s">
        <v>38</v>
      </c>
      <c r="AO8" s="341" t="s">
        <v>14</v>
      </c>
      <c r="AP8" s="341" t="s">
        <v>39</v>
      </c>
      <c r="AQ8" s="341"/>
      <c r="AR8" s="341" t="s">
        <v>50</v>
      </c>
      <c r="AS8" s="341"/>
      <c r="AT8" s="324" t="s">
        <v>40</v>
      </c>
      <c r="AU8" s="55"/>
      <c r="AW8" s="326" t="s">
        <v>28</v>
      </c>
      <c r="AX8" s="329" t="s">
        <v>48</v>
      </c>
      <c r="AY8" s="330"/>
      <c r="AZ8" s="330"/>
      <c r="BA8" s="330"/>
      <c r="BB8" s="330"/>
      <c r="BC8" s="331"/>
      <c r="BD8" s="332" t="s">
        <v>49</v>
      </c>
      <c r="BE8" s="330"/>
      <c r="BF8" s="330"/>
      <c r="BG8" s="330"/>
      <c r="BH8" s="330"/>
      <c r="BI8" s="331"/>
    </row>
    <row r="9" spans="1:62" ht="19.149999999999999" customHeight="1" x14ac:dyDescent="0.35">
      <c r="A9" s="327"/>
      <c r="B9" s="365"/>
      <c r="C9" s="366"/>
      <c r="D9" s="366"/>
      <c r="E9" s="333" t="s">
        <v>6</v>
      </c>
      <c r="F9" s="334"/>
      <c r="G9" s="335" t="s">
        <v>13</v>
      </c>
      <c r="H9" s="334"/>
      <c r="I9" s="323" t="s">
        <v>19</v>
      </c>
      <c r="J9" s="323"/>
      <c r="K9" s="333" t="s">
        <v>6</v>
      </c>
      <c r="L9" s="334"/>
      <c r="M9" s="335" t="s">
        <v>13</v>
      </c>
      <c r="N9" s="334"/>
      <c r="O9" s="323" t="s">
        <v>19</v>
      </c>
      <c r="P9" s="323"/>
      <c r="Q9" s="357"/>
      <c r="R9" s="352"/>
      <c r="S9" s="359"/>
      <c r="T9" s="323"/>
      <c r="U9" s="323"/>
      <c r="V9" s="323"/>
      <c r="W9" s="323"/>
      <c r="X9" s="323"/>
      <c r="Y9" s="323"/>
      <c r="AB9" s="327"/>
      <c r="AC9" s="343"/>
      <c r="AD9" s="343"/>
      <c r="AE9" s="347"/>
      <c r="AF9" s="348"/>
      <c r="AG9" s="351"/>
      <c r="AH9" s="352"/>
      <c r="AI9" s="354"/>
      <c r="AJ9" s="337"/>
      <c r="AK9" s="337"/>
      <c r="AM9" s="340"/>
      <c r="AN9" s="323"/>
      <c r="AO9" s="323"/>
      <c r="AP9" s="8" t="s">
        <v>3</v>
      </c>
      <c r="AQ9" s="8" t="s">
        <v>4</v>
      </c>
      <c r="AR9" s="43" t="s">
        <v>3</v>
      </c>
      <c r="AS9" s="43" t="s">
        <v>4</v>
      </c>
      <c r="AT9" s="325"/>
      <c r="AU9" s="55"/>
      <c r="AW9" s="327"/>
      <c r="AX9" s="314" t="s">
        <v>17</v>
      </c>
      <c r="AY9" s="314" t="s">
        <v>11</v>
      </c>
      <c r="AZ9" s="314" t="s">
        <v>32</v>
      </c>
      <c r="BA9" s="314" t="s">
        <v>37</v>
      </c>
      <c r="BB9" s="314" t="s">
        <v>34</v>
      </c>
      <c r="BC9" s="314" t="s">
        <v>12</v>
      </c>
      <c r="BD9" s="314" t="s">
        <v>33</v>
      </c>
      <c r="BE9" s="314" t="s">
        <v>11</v>
      </c>
      <c r="BF9" s="314" t="s">
        <v>35</v>
      </c>
      <c r="BG9" s="314" t="s">
        <v>37</v>
      </c>
      <c r="BH9" s="314" t="s">
        <v>34</v>
      </c>
      <c r="BI9" s="314" t="s">
        <v>12</v>
      </c>
    </row>
    <row r="10" spans="1:62" ht="53.5" customHeight="1" thickBot="1" x14ac:dyDescent="0.4">
      <c r="A10" s="328"/>
      <c r="B10" s="365"/>
      <c r="C10" s="366"/>
      <c r="D10" s="366"/>
      <c r="E10" s="7" t="s">
        <v>3</v>
      </c>
      <c r="F10" s="8" t="s">
        <v>4</v>
      </c>
      <c r="G10" s="7" t="s">
        <v>3</v>
      </c>
      <c r="H10" s="8" t="s">
        <v>4</v>
      </c>
      <c r="I10" s="8" t="s">
        <v>3</v>
      </c>
      <c r="J10" s="8" t="s">
        <v>4</v>
      </c>
      <c r="K10" s="7" t="s">
        <v>3</v>
      </c>
      <c r="L10" s="8" t="s">
        <v>4</v>
      </c>
      <c r="M10" s="7" t="s">
        <v>3</v>
      </c>
      <c r="N10" s="8" t="s">
        <v>4</v>
      </c>
      <c r="O10" s="8" t="s">
        <v>3</v>
      </c>
      <c r="P10" s="8" t="s">
        <v>4</v>
      </c>
      <c r="Q10" s="9" t="s">
        <v>3</v>
      </c>
      <c r="R10" s="9" t="s">
        <v>4</v>
      </c>
      <c r="S10" s="360"/>
      <c r="T10" s="8" t="s">
        <v>3</v>
      </c>
      <c r="U10" s="8" t="s">
        <v>4</v>
      </c>
      <c r="V10" s="8" t="s">
        <v>3</v>
      </c>
      <c r="W10" s="8" t="s">
        <v>4</v>
      </c>
      <c r="X10" s="8" t="s">
        <v>3</v>
      </c>
      <c r="Y10" s="8" t="s">
        <v>4</v>
      </c>
      <c r="AB10" s="361"/>
      <c r="AC10" s="344"/>
      <c r="AD10" s="344"/>
      <c r="AE10" s="49" t="s">
        <v>3</v>
      </c>
      <c r="AF10" s="50" t="s">
        <v>4</v>
      </c>
      <c r="AG10" s="51" t="s">
        <v>3</v>
      </c>
      <c r="AH10" s="52" t="s">
        <v>4</v>
      </c>
      <c r="AI10" s="355"/>
      <c r="AJ10" s="338"/>
      <c r="AK10" s="338"/>
      <c r="AM10" s="340"/>
      <c r="AN10" s="42" t="str">
        <f>'19'!AN10</f>
        <v>0124W120</v>
      </c>
      <c r="AO10" s="42">
        <f>'19'!AT10</f>
        <v>48</v>
      </c>
      <c r="AP10" s="42"/>
      <c r="AQ10" s="17">
        <f>AP10+'19'!AQ10</f>
        <v>73</v>
      </c>
      <c r="AR10" s="17"/>
      <c r="AS10" s="17">
        <f>AR10+'19'!AS10</f>
        <v>25</v>
      </c>
      <c r="AT10" s="44">
        <f>AO10+AP10-AR10</f>
        <v>48</v>
      </c>
      <c r="AU10" s="56"/>
      <c r="AW10" s="328"/>
      <c r="AX10" s="315"/>
      <c r="AY10" s="315"/>
      <c r="AZ10" s="315"/>
      <c r="BA10" s="315"/>
      <c r="BB10" s="315"/>
      <c r="BC10" s="315"/>
      <c r="BD10" s="315"/>
      <c r="BE10" s="315"/>
      <c r="BF10" s="315"/>
      <c r="BG10" s="315"/>
      <c r="BH10" s="315"/>
      <c r="BI10" s="315"/>
    </row>
    <row r="11" spans="1:62" ht="41.5" customHeight="1" x14ac:dyDescent="0.35">
      <c r="A11" s="5">
        <v>1</v>
      </c>
      <c r="B11" s="26" t="str">
        <f>'19'!B11</f>
        <v>مكتب الصحة</v>
      </c>
      <c r="C11" s="26">
        <f>'19'!C11</f>
        <v>12251</v>
      </c>
      <c r="D11" s="26"/>
      <c r="E11" s="12"/>
      <c r="F11" s="2">
        <f>E11+'19'!F11</f>
        <v>39</v>
      </c>
      <c r="G11" s="2"/>
      <c r="H11" s="2">
        <f>G11+'19'!H11</f>
        <v>1961</v>
      </c>
      <c r="I11" s="2"/>
      <c r="J11" s="2">
        <f>I11+'19'!J11</f>
        <v>5340</v>
      </c>
      <c r="K11" s="2"/>
      <c r="L11" s="2">
        <f>K11+'19'!L11</f>
        <v>0</v>
      </c>
      <c r="M11" s="2"/>
      <c r="N11" s="2">
        <f>M11+'19'!N11</f>
        <v>0</v>
      </c>
      <c r="O11" s="2"/>
      <c r="P11" s="2">
        <f>O11+'19'!P11</f>
        <v>0</v>
      </c>
      <c r="Q11" s="4">
        <f>O11+M11+K11+I11+G11+E11</f>
        <v>0</v>
      </c>
      <c r="R11" s="4">
        <f>Q11+'19'!R11</f>
        <v>7340</v>
      </c>
      <c r="S11" s="27">
        <f>R11/C11</f>
        <v>0.5991347645090197</v>
      </c>
      <c r="T11" s="12"/>
      <c r="U11" s="12">
        <f>T11+'19'!U11</f>
        <v>1397</v>
      </c>
      <c r="V11" s="12"/>
      <c r="W11" s="12">
        <f>V11+'19'!W11</f>
        <v>4</v>
      </c>
      <c r="X11" s="12"/>
      <c r="Y11" s="12">
        <f>X11+'19'!Y11</f>
        <v>1</v>
      </c>
      <c r="AB11" s="48">
        <v>1</v>
      </c>
      <c r="AC11" s="26" t="str">
        <f>'19'!AC11</f>
        <v>مكتب الصحة</v>
      </c>
      <c r="AD11" s="28">
        <f>'19'!AI11</f>
        <v>333</v>
      </c>
      <c r="AE11" s="3"/>
      <c r="AF11" s="28">
        <f>AE11+'19'!AF11</f>
        <v>1082</v>
      </c>
      <c r="AG11" s="4"/>
      <c r="AH11" s="28">
        <f>AG11+'19'!AH11</f>
        <v>749</v>
      </c>
      <c r="AI11" s="4">
        <f>AD11+AE11-AG11</f>
        <v>333</v>
      </c>
      <c r="AJ11" s="11" t="e">
        <f t="shared" ref="AJ11:AJ51" si="0">Q11/AG11</f>
        <v>#DIV/0!</v>
      </c>
      <c r="AK11" s="53">
        <f t="shared" ref="AK11:AK51" si="1">R11/AH11</f>
        <v>9.799732977303071</v>
      </c>
      <c r="AM11" s="340"/>
      <c r="AN11" s="42" t="str">
        <f>'19'!AN11</f>
        <v>420604325A</v>
      </c>
      <c r="AO11" s="42">
        <f>'19'!AT11</f>
        <v>3076</v>
      </c>
      <c r="AP11" s="16"/>
      <c r="AQ11" s="17">
        <f>AP11+'19'!AQ11</f>
        <v>8550</v>
      </c>
      <c r="AR11" s="16"/>
      <c r="AS11" s="17">
        <f>AR11+'19'!AS11</f>
        <v>5474</v>
      </c>
      <c r="AT11" s="44">
        <f>AO11+AP11-AR11</f>
        <v>3076</v>
      </c>
      <c r="AU11" s="56"/>
      <c r="AW11" s="26" t="str">
        <f>'19'!AW11</f>
        <v>مكتب الصحة</v>
      </c>
      <c r="AX11" s="12">
        <f>'19'!AX11</f>
        <v>11</v>
      </c>
      <c r="AY11" s="12">
        <f>'19'!AY11</f>
        <v>8411</v>
      </c>
      <c r="AZ11" s="12"/>
      <c r="BA11" s="12"/>
      <c r="BB11" s="12">
        <f>BA11+'19'!BB11</f>
        <v>5998</v>
      </c>
      <c r="BC11" s="30">
        <f t="shared" ref="BC11:BC51" si="2">BB11/AY11</f>
        <v>0.71311377957436695</v>
      </c>
      <c r="BD11" s="12">
        <f>'19'!BD11</f>
        <v>27</v>
      </c>
      <c r="BE11" s="12">
        <f>'19'!BE11</f>
        <v>1746</v>
      </c>
      <c r="BF11" s="12"/>
      <c r="BG11" s="12"/>
      <c r="BH11" s="12">
        <f>BG11+'19'!BH11</f>
        <v>477</v>
      </c>
      <c r="BI11" s="30">
        <f t="shared" ref="BI11:BI51" si="3">BH11/BE11</f>
        <v>0.27319587628865977</v>
      </c>
    </row>
    <row r="12" spans="1:62" ht="41.5" customHeight="1" x14ac:dyDescent="0.35">
      <c r="A12" s="5">
        <v>2</v>
      </c>
      <c r="B12" s="26" t="str">
        <f>'19'!B12</f>
        <v>شبرابخـــــــــــوم</v>
      </c>
      <c r="C12" s="26">
        <f>'19'!C12</f>
        <v>4445</v>
      </c>
      <c r="D12" s="26"/>
      <c r="E12" s="12"/>
      <c r="F12" s="2">
        <f>E12+'19'!F12</f>
        <v>14</v>
      </c>
      <c r="G12" s="2"/>
      <c r="H12" s="2">
        <f>G12+'19'!H12</f>
        <v>392</v>
      </c>
      <c r="I12" s="2"/>
      <c r="J12" s="2">
        <f>I12+'19'!J12</f>
        <v>1857</v>
      </c>
      <c r="K12" s="2"/>
      <c r="L12" s="2">
        <f>K12+'19'!L12</f>
        <v>0</v>
      </c>
      <c r="M12" s="2"/>
      <c r="N12" s="2">
        <f>M12+'19'!N12</f>
        <v>0</v>
      </c>
      <c r="O12" s="2"/>
      <c r="P12" s="2">
        <f>O12+'19'!P12</f>
        <v>0</v>
      </c>
      <c r="Q12" s="4">
        <f t="shared" ref="Q12:Q50" si="4">O12+M12+K12+I12+G12+E12</f>
        <v>0</v>
      </c>
      <c r="R12" s="4">
        <f>Q12+'19'!R12</f>
        <v>2263</v>
      </c>
      <c r="S12" s="27">
        <f t="shared" ref="S12:S50" si="5">R12/C12</f>
        <v>0.50911136107986499</v>
      </c>
      <c r="T12" s="12"/>
      <c r="U12" s="12">
        <f>T12+'19'!U12</f>
        <v>373</v>
      </c>
      <c r="V12" s="12"/>
      <c r="W12" s="12">
        <f>V12+'19'!W12</f>
        <v>15</v>
      </c>
      <c r="X12" s="12"/>
      <c r="Y12" s="12">
        <f>X12+'19'!Y12</f>
        <v>0</v>
      </c>
      <c r="AB12" s="5">
        <v>2</v>
      </c>
      <c r="AC12" s="26" t="str">
        <f>'19'!AC12</f>
        <v>شبرابخـــــــــــوم</v>
      </c>
      <c r="AD12" s="28">
        <f>'19'!AI12</f>
        <v>158</v>
      </c>
      <c r="AE12" s="3"/>
      <c r="AF12" s="28">
        <f>AE12+'19'!AF12</f>
        <v>390</v>
      </c>
      <c r="AG12" s="4"/>
      <c r="AH12" s="28">
        <f>AG12+'19'!AH12</f>
        <v>232</v>
      </c>
      <c r="AI12" s="4">
        <f>AD12+AE12-AG12</f>
        <v>158</v>
      </c>
      <c r="AJ12" s="11" t="e">
        <f t="shared" si="0"/>
        <v>#DIV/0!</v>
      </c>
      <c r="AK12" s="53">
        <f t="shared" si="1"/>
        <v>9.7543103448275854</v>
      </c>
      <c r="AM12" s="340"/>
      <c r="AN12" s="42" t="str">
        <f>'19'!AN12</f>
        <v>420604225A</v>
      </c>
      <c r="AO12" s="42">
        <f>'19'!AT12</f>
        <v>100</v>
      </c>
      <c r="AP12" s="16"/>
      <c r="AQ12" s="17">
        <f>AP12+'19'!AQ12</f>
        <v>100</v>
      </c>
      <c r="AR12" s="16"/>
      <c r="AS12" s="17">
        <f>AR12+'19'!AS12</f>
        <v>0</v>
      </c>
      <c r="AT12" s="44">
        <f>AO12+AP12-AR12</f>
        <v>100</v>
      </c>
      <c r="AU12" s="56"/>
      <c r="AW12" s="26" t="str">
        <f>'19'!AW12</f>
        <v>شبرابخـــــــــــوم</v>
      </c>
      <c r="AX12" s="12">
        <f>'19'!AX12</f>
        <v>6</v>
      </c>
      <c r="AY12" s="12">
        <f>'19'!AY12</f>
        <v>2215</v>
      </c>
      <c r="AZ12" s="12"/>
      <c r="BA12" s="12"/>
      <c r="BB12" s="12">
        <f>BA12+'19'!BB12</f>
        <v>2306</v>
      </c>
      <c r="BC12" s="30">
        <f t="shared" si="2"/>
        <v>1.0410835214446952</v>
      </c>
      <c r="BD12" s="12">
        <f>'19'!BD12</f>
        <v>16</v>
      </c>
      <c r="BE12" s="12">
        <f>'19'!BE12</f>
        <v>729</v>
      </c>
      <c r="BF12" s="12"/>
      <c r="BG12" s="12"/>
      <c r="BH12" s="12">
        <f>BG12+'19'!BH12</f>
        <v>224</v>
      </c>
      <c r="BI12" s="30">
        <f t="shared" si="3"/>
        <v>0.30727023319615915</v>
      </c>
    </row>
    <row r="13" spans="1:62" ht="41.5" customHeight="1" x14ac:dyDescent="0.35">
      <c r="A13" s="5">
        <v>3</v>
      </c>
      <c r="B13" s="26" t="str">
        <f>'19'!B13</f>
        <v>ميت بره</v>
      </c>
      <c r="C13" s="26">
        <f>'19'!C13</f>
        <v>11614</v>
      </c>
      <c r="D13" s="26"/>
      <c r="E13" s="12"/>
      <c r="F13" s="2">
        <f>E13+'19'!F13</f>
        <v>45</v>
      </c>
      <c r="G13" s="2"/>
      <c r="H13" s="2">
        <f>G13+'19'!H13</f>
        <v>465</v>
      </c>
      <c r="I13" s="2"/>
      <c r="J13" s="2">
        <f>I13+'19'!J13</f>
        <v>3703</v>
      </c>
      <c r="K13" s="2"/>
      <c r="L13" s="2">
        <f>K13+'19'!L13</f>
        <v>0</v>
      </c>
      <c r="M13" s="2"/>
      <c r="N13" s="2">
        <f>M13+'19'!N13</f>
        <v>0</v>
      </c>
      <c r="O13" s="2"/>
      <c r="P13" s="2">
        <f>O13+'19'!P13</f>
        <v>0</v>
      </c>
      <c r="Q13" s="4">
        <f t="shared" si="4"/>
        <v>0</v>
      </c>
      <c r="R13" s="4">
        <f>Q13+'19'!R13</f>
        <v>4213</v>
      </c>
      <c r="S13" s="27">
        <f t="shared" si="5"/>
        <v>0.36275185121405201</v>
      </c>
      <c r="T13" s="12"/>
      <c r="U13" s="12">
        <f>T13+'19'!U13</f>
        <v>641</v>
      </c>
      <c r="V13" s="12"/>
      <c r="W13" s="12">
        <f>V13+'19'!W13</f>
        <v>0</v>
      </c>
      <c r="X13" s="12"/>
      <c r="Y13" s="12">
        <f>X13+'19'!Y13</f>
        <v>0</v>
      </c>
      <c r="AB13" s="5">
        <v>3</v>
      </c>
      <c r="AC13" s="26" t="str">
        <f>'19'!AC13</f>
        <v>ميت بره</v>
      </c>
      <c r="AD13" s="28">
        <f>'19'!AI13</f>
        <v>584</v>
      </c>
      <c r="AE13" s="3"/>
      <c r="AF13" s="28">
        <f>AE13+'19'!AF13</f>
        <v>1020</v>
      </c>
      <c r="AG13" s="4"/>
      <c r="AH13" s="28">
        <f>AG13+'19'!AH13</f>
        <v>436</v>
      </c>
      <c r="AI13" s="4">
        <f t="shared" ref="AI13:AI50" si="6">AD13+AE13-AG13</f>
        <v>584</v>
      </c>
      <c r="AJ13" s="11" t="e">
        <f t="shared" si="0"/>
        <v>#DIV/0!</v>
      </c>
      <c r="AK13" s="53">
        <f t="shared" si="1"/>
        <v>9.6628440366972477</v>
      </c>
      <c r="AM13" s="340"/>
      <c r="AN13" s="46" t="s">
        <v>43</v>
      </c>
      <c r="AO13" s="45">
        <f t="shared" ref="AO13:AT13" si="7">SUM(AO10:AO12)</f>
        <v>3224</v>
      </c>
      <c r="AP13" s="45">
        <f t="shared" si="7"/>
        <v>0</v>
      </c>
      <c r="AQ13" s="45">
        <f t="shared" si="7"/>
        <v>8723</v>
      </c>
      <c r="AR13" s="45">
        <f t="shared" si="7"/>
        <v>0</v>
      </c>
      <c r="AS13" s="45">
        <f t="shared" si="7"/>
        <v>5499</v>
      </c>
      <c r="AT13" s="47">
        <f t="shared" si="7"/>
        <v>3224</v>
      </c>
      <c r="AU13" s="56"/>
      <c r="AW13" s="26" t="str">
        <f>'19'!AW13</f>
        <v>ميت بره</v>
      </c>
      <c r="AX13" s="12">
        <f>'19'!AX13</f>
        <v>8</v>
      </c>
      <c r="AY13" s="12">
        <f>'19'!AY13</f>
        <v>4849</v>
      </c>
      <c r="AZ13" s="12"/>
      <c r="BA13" s="12"/>
      <c r="BB13" s="12">
        <f>BA13+'19'!BB13</f>
        <v>4093</v>
      </c>
      <c r="BC13" s="30">
        <f t="shared" si="2"/>
        <v>0.84409156527118989</v>
      </c>
      <c r="BD13" s="12">
        <f>'19'!BD13</f>
        <v>21</v>
      </c>
      <c r="BE13" s="12">
        <f>'19'!BE13</f>
        <v>1129</v>
      </c>
      <c r="BF13" s="12"/>
      <c r="BG13" s="12"/>
      <c r="BH13" s="12">
        <f>BG13+'19'!BH13</f>
        <v>128</v>
      </c>
      <c r="BI13" s="30">
        <f t="shared" si="3"/>
        <v>0.11337466784765279</v>
      </c>
    </row>
    <row r="14" spans="1:62" ht="41.5" customHeight="1" thickBot="1" x14ac:dyDescent="0.4">
      <c r="A14" s="5">
        <v>4</v>
      </c>
      <c r="B14" s="26" t="str">
        <f>'19'!B14</f>
        <v>أبنــــــــــــــــهس</v>
      </c>
      <c r="C14" s="26">
        <f>'19'!C14</f>
        <v>5029</v>
      </c>
      <c r="D14" s="26"/>
      <c r="E14" s="12"/>
      <c r="F14" s="2">
        <f>E14+'19'!F14</f>
        <v>14</v>
      </c>
      <c r="G14" s="2"/>
      <c r="H14" s="2">
        <f>G14+'19'!H14</f>
        <v>349</v>
      </c>
      <c r="I14" s="2"/>
      <c r="J14" s="2">
        <f>I14+'19'!J14</f>
        <v>2016</v>
      </c>
      <c r="K14" s="2"/>
      <c r="L14" s="2">
        <f>K14+'19'!L14</f>
        <v>0</v>
      </c>
      <c r="M14" s="2"/>
      <c r="N14" s="2">
        <f>M14+'19'!N14</f>
        <v>0</v>
      </c>
      <c r="O14" s="2"/>
      <c r="P14" s="2">
        <f>O14+'19'!P14</f>
        <v>0</v>
      </c>
      <c r="Q14" s="4">
        <f t="shared" si="4"/>
        <v>0</v>
      </c>
      <c r="R14" s="4">
        <f>Q14+'19'!R14</f>
        <v>2379</v>
      </c>
      <c r="S14" s="27">
        <f t="shared" si="5"/>
        <v>0.47305627361304436</v>
      </c>
      <c r="T14" s="12"/>
      <c r="U14" s="12">
        <f>T14+'19'!U14</f>
        <v>341</v>
      </c>
      <c r="V14" s="12"/>
      <c r="W14" s="12">
        <f>V14+'19'!W14</f>
        <v>29</v>
      </c>
      <c r="X14" s="12"/>
      <c r="Y14" s="12">
        <f>X14+'19'!Y14</f>
        <v>0</v>
      </c>
      <c r="AB14" s="5">
        <v>4</v>
      </c>
      <c r="AC14" s="26" t="str">
        <f>'19'!AC14</f>
        <v>أبنــــــــــــــــهس</v>
      </c>
      <c r="AD14" s="28">
        <f>'19'!AI14</f>
        <v>196</v>
      </c>
      <c r="AE14" s="3"/>
      <c r="AF14" s="28">
        <f>AE14+'19'!AF14</f>
        <v>440</v>
      </c>
      <c r="AG14" s="4"/>
      <c r="AH14" s="28">
        <f>AG14+'19'!AH14</f>
        <v>244</v>
      </c>
      <c r="AI14" s="4">
        <f t="shared" si="6"/>
        <v>196</v>
      </c>
      <c r="AJ14" s="11" t="e">
        <f t="shared" si="0"/>
        <v>#DIV/0!</v>
      </c>
      <c r="AK14" s="53">
        <f t="shared" si="1"/>
        <v>9.75</v>
      </c>
      <c r="AM14" s="316" t="s">
        <v>42</v>
      </c>
      <c r="AN14" s="317"/>
      <c r="AO14" s="318"/>
      <c r="AP14" s="319"/>
      <c r="AQ14" s="319"/>
      <c r="AR14" s="319"/>
      <c r="AS14" s="320"/>
      <c r="AT14" s="39">
        <f>AT13+AI51</f>
        <v>6357</v>
      </c>
      <c r="AU14" s="57"/>
      <c r="AW14" s="26" t="str">
        <f>'19'!AW14</f>
        <v>أبنــــــــــــــــهس</v>
      </c>
      <c r="AX14" s="12">
        <f>'19'!AX14</f>
        <v>7</v>
      </c>
      <c r="AY14" s="12">
        <f>'19'!AY14</f>
        <v>2531</v>
      </c>
      <c r="AZ14" s="12"/>
      <c r="BA14" s="12"/>
      <c r="BB14" s="12">
        <f>BA14+'19'!BB14</f>
        <v>2092</v>
      </c>
      <c r="BC14" s="30">
        <f t="shared" si="2"/>
        <v>0.82655077044646386</v>
      </c>
      <c r="BD14" s="12">
        <f>'19'!BD14</f>
        <v>23</v>
      </c>
      <c r="BE14" s="12">
        <f>'19'!BE14</f>
        <v>921</v>
      </c>
      <c r="BF14" s="12"/>
      <c r="BG14" s="12"/>
      <c r="BH14" s="12">
        <f>BG14+'19'!BH14</f>
        <v>287</v>
      </c>
      <c r="BI14" s="30">
        <f t="shared" si="3"/>
        <v>0.31161780673181327</v>
      </c>
    </row>
    <row r="15" spans="1:62" ht="41.5" customHeight="1" x14ac:dyDescent="0.35">
      <c r="A15" s="5">
        <v>5</v>
      </c>
      <c r="B15" s="26" t="str">
        <f>'19'!B15</f>
        <v>ميت ســـــــــراج</v>
      </c>
      <c r="C15" s="26">
        <f>'19'!C15</f>
        <v>2369</v>
      </c>
      <c r="D15" s="26"/>
      <c r="E15" s="12"/>
      <c r="F15" s="2">
        <f>E15+'19'!F15</f>
        <v>4</v>
      </c>
      <c r="G15" s="2"/>
      <c r="H15" s="2">
        <f>G15+'19'!H15</f>
        <v>472</v>
      </c>
      <c r="I15" s="2"/>
      <c r="J15" s="2">
        <f>I15+'19'!J15</f>
        <v>839</v>
      </c>
      <c r="K15" s="2"/>
      <c r="L15" s="2">
        <f>K15+'19'!L15</f>
        <v>0</v>
      </c>
      <c r="M15" s="2"/>
      <c r="N15" s="2">
        <f>M15+'19'!N15</f>
        <v>0</v>
      </c>
      <c r="O15" s="2"/>
      <c r="P15" s="2">
        <f>O15+'19'!P15</f>
        <v>0</v>
      </c>
      <c r="Q15" s="4">
        <f t="shared" si="4"/>
        <v>0</v>
      </c>
      <c r="R15" s="4">
        <f>Q15+'19'!R15</f>
        <v>1315</v>
      </c>
      <c r="S15" s="27">
        <f t="shared" si="5"/>
        <v>0.55508653440270161</v>
      </c>
      <c r="T15" s="12"/>
      <c r="U15" s="12">
        <f>T15+'19'!U15</f>
        <v>105</v>
      </c>
      <c r="V15" s="12"/>
      <c r="W15" s="12">
        <f>V15+'19'!W15</f>
        <v>37</v>
      </c>
      <c r="X15" s="12"/>
      <c r="Y15" s="12">
        <f>X15+'19'!Y15</f>
        <v>0</v>
      </c>
      <c r="AB15" s="5">
        <v>5</v>
      </c>
      <c r="AC15" s="26" t="str">
        <f>'19'!AC15</f>
        <v>ميت ســـــــــراج</v>
      </c>
      <c r="AD15" s="28">
        <f>'19'!AI15</f>
        <v>74</v>
      </c>
      <c r="AE15" s="3"/>
      <c r="AF15" s="28">
        <f>AE15+'19'!AF15</f>
        <v>209</v>
      </c>
      <c r="AG15" s="4"/>
      <c r="AH15" s="28">
        <f>AG15+'19'!AH15</f>
        <v>135</v>
      </c>
      <c r="AI15" s="4">
        <f t="shared" si="6"/>
        <v>74</v>
      </c>
      <c r="AJ15" s="11" t="e">
        <f t="shared" si="0"/>
        <v>#DIV/0!</v>
      </c>
      <c r="AK15" s="53">
        <f t="shared" si="1"/>
        <v>9.7407407407407405</v>
      </c>
      <c r="AW15" s="26" t="str">
        <f>'19'!AW15</f>
        <v>ميت ســـــــــراج</v>
      </c>
      <c r="AX15" s="12">
        <f>'19'!AX15</f>
        <v>2</v>
      </c>
      <c r="AY15" s="12">
        <f>'19'!AY15</f>
        <v>1041</v>
      </c>
      <c r="AZ15" s="12"/>
      <c r="BA15" s="12"/>
      <c r="BB15" s="12">
        <f>BA15+'19'!BB15</f>
        <v>874</v>
      </c>
      <c r="BC15" s="30">
        <f t="shared" si="2"/>
        <v>0.83957732949087416</v>
      </c>
      <c r="BD15" s="12">
        <f>'19'!BD15</f>
        <v>5</v>
      </c>
      <c r="BE15" s="12">
        <f>'19'!BE15</f>
        <v>310</v>
      </c>
      <c r="BF15" s="12"/>
      <c r="BG15" s="12"/>
      <c r="BH15" s="12">
        <f>BG15+'19'!BH15</f>
        <v>385</v>
      </c>
      <c r="BI15" s="30">
        <f t="shared" si="3"/>
        <v>1.2419354838709677</v>
      </c>
    </row>
    <row r="16" spans="1:62" ht="41.5" customHeight="1" x14ac:dyDescent="0.35">
      <c r="A16" s="5">
        <v>6</v>
      </c>
      <c r="B16" s="26" t="str">
        <f>'19'!B16</f>
        <v>أم خــــــــــــــنان</v>
      </c>
      <c r="C16" s="26">
        <f>'19'!C16</f>
        <v>4900</v>
      </c>
      <c r="D16" s="26"/>
      <c r="E16" s="12"/>
      <c r="F16" s="2">
        <f>E16+'19'!F16</f>
        <v>11</v>
      </c>
      <c r="G16" s="2"/>
      <c r="H16" s="2">
        <f>G16+'19'!H16</f>
        <v>280</v>
      </c>
      <c r="I16" s="2"/>
      <c r="J16" s="2">
        <f>I16+'19'!J16</f>
        <v>1942</v>
      </c>
      <c r="K16" s="2"/>
      <c r="L16" s="2">
        <f>K16+'19'!L16</f>
        <v>0</v>
      </c>
      <c r="M16" s="2"/>
      <c r="N16" s="2">
        <f>M16+'19'!N16</f>
        <v>0</v>
      </c>
      <c r="O16" s="2"/>
      <c r="P16" s="2">
        <f>O16+'19'!P16</f>
        <v>0</v>
      </c>
      <c r="Q16" s="4">
        <f t="shared" si="4"/>
        <v>0</v>
      </c>
      <c r="R16" s="4">
        <f>Q16+'19'!R16</f>
        <v>2233</v>
      </c>
      <c r="S16" s="27">
        <f t="shared" si="5"/>
        <v>0.45571428571428574</v>
      </c>
      <c r="T16" s="12"/>
      <c r="U16" s="12">
        <f>T16+'19'!U16</f>
        <v>375</v>
      </c>
      <c r="V16" s="12"/>
      <c r="W16" s="12">
        <f>V16+'19'!W16</f>
        <v>0</v>
      </c>
      <c r="X16" s="12"/>
      <c r="Y16" s="12">
        <f>X16+'19'!Y16</f>
        <v>0</v>
      </c>
      <c r="AB16" s="5">
        <v>6</v>
      </c>
      <c r="AC16" s="26" t="str">
        <f>'19'!AC16</f>
        <v>أم خــــــــــــــنان</v>
      </c>
      <c r="AD16" s="28">
        <f>'19'!AI16</f>
        <v>204</v>
      </c>
      <c r="AE16" s="3"/>
      <c r="AF16" s="28">
        <f>AE16+'19'!AF16</f>
        <v>430</v>
      </c>
      <c r="AG16" s="4"/>
      <c r="AH16" s="28">
        <f>AG16+'19'!AH16</f>
        <v>226</v>
      </c>
      <c r="AI16" s="4">
        <f t="shared" si="6"/>
        <v>204</v>
      </c>
      <c r="AJ16" s="11" t="e">
        <f t="shared" si="0"/>
        <v>#DIV/0!</v>
      </c>
      <c r="AK16" s="53">
        <f t="shared" si="1"/>
        <v>9.8805309734513269</v>
      </c>
      <c r="AW16" s="26" t="str">
        <f>'19'!AW16</f>
        <v>أم خــــــــــــــنان</v>
      </c>
      <c r="AX16" s="12">
        <f>'19'!AX16</f>
        <v>8</v>
      </c>
      <c r="AY16" s="12">
        <f>'19'!AY16</f>
        <v>2981</v>
      </c>
      <c r="AZ16" s="12"/>
      <c r="BA16" s="12"/>
      <c r="BB16" s="12">
        <f>BA16+'19'!BB16</f>
        <v>2132</v>
      </c>
      <c r="BC16" s="30">
        <f t="shared" si="2"/>
        <v>0.71519624287151962</v>
      </c>
      <c r="BD16" s="12">
        <f>'19'!BD16</f>
        <v>12</v>
      </c>
      <c r="BE16" s="12">
        <f>'19'!BE16</f>
        <v>1313</v>
      </c>
      <c r="BF16" s="12"/>
      <c r="BG16" s="12"/>
      <c r="BH16" s="12">
        <f>BG16+'19'!BH16</f>
        <v>0</v>
      </c>
      <c r="BI16" s="30">
        <f t="shared" si="3"/>
        <v>0</v>
      </c>
    </row>
    <row r="17" spans="1:61" ht="41.5" customHeight="1" x14ac:dyDescent="0.35">
      <c r="A17" s="5">
        <v>7</v>
      </c>
      <c r="B17" s="26" t="str">
        <f>'19'!B17</f>
        <v>أجهور الرمل</v>
      </c>
      <c r="C17" s="26">
        <f>'19'!C17</f>
        <v>3590</v>
      </c>
      <c r="D17" s="26"/>
      <c r="E17" s="12"/>
      <c r="F17" s="2">
        <f>E17+'19'!F17</f>
        <v>17</v>
      </c>
      <c r="G17" s="2"/>
      <c r="H17" s="2">
        <f>G17+'19'!H17</f>
        <v>591</v>
      </c>
      <c r="I17" s="2"/>
      <c r="J17" s="2">
        <f>I17+'19'!J17</f>
        <v>1489</v>
      </c>
      <c r="K17" s="2"/>
      <c r="L17" s="2">
        <f>K17+'19'!L17</f>
        <v>0</v>
      </c>
      <c r="M17" s="2"/>
      <c r="N17" s="2">
        <f>M17+'19'!N17</f>
        <v>0</v>
      </c>
      <c r="O17" s="2"/>
      <c r="P17" s="2">
        <f>O17+'19'!P17</f>
        <v>0</v>
      </c>
      <c r="Q17" s="4">
        <f t="shared" si="4"/>
        <v>0</v>
      </c>
      <c r="R17" s="4">
        <f>Q17+'19'!R17</f>
        <v>2097</v>
      </c>
      <c r="S17" s="27">
        <f t="shared" si="5"/>
        <v>0.58412256267409468</v>
      </c>
      <c r="T17" s="12"/>
      <c r="U17" s="12">
        <f>T17+'19'!U17</f>
        <v>360</v>
      </c>
      <c r="V17" s="12"/>
      <c r="W17" s="12">
        <f>V17+'19'!W17</f>
        <v>121</v>
      </c>
      <c r="X17" s="12"/>
      <c r="Y17" s="12">
        <f>X17+'19'!Y17</f>
        <v>0</v>
      </c>
      <c r="AB17" s="5">
        <v>7</v>
      </c>
      <c r="AC17" s="26" t="str">
        <f>'19'!AC17</f>
        <v>أجهور الرمل</v>
      </c>
      <c r="AD17" s="28">
        <f>'19'!AI17</f>
        <v>100</v>
      </c>
      <c r="AE17" s="3"/>
      <c r="AF17" s="28">
        <f>AE17+'19'!AF17</f>
        <v>316</v>
      </c>
      <c r="AG17" s="4"/>
      <c r="AH17" s="28">
        <f>AG17+'19'!AH17</f>
        <v>216</v>
      </c>
      <c r="AI17" s="4">
        <f t="shared" si="6"/>
        <v>100</v>
      </c>
      <c r="AJ17" s="11" t="e">
        <f t="shared" si="0"/>
        <v>#DIV/0!</v>
      </c>
      <c r="AK17" s="53">
        <f t="shared" si="1"/>
        <v>9.7083333333333339</v>
      </c>
      <c r="AW17" s="26" t="str">
        <f>'19'!AW17</f>
        <v>أجهور الرمل</v>
      </c>
      <c r="AX17" s="12">
        <f>'19'!AX17</f>
        <v>4</v>
      </c>
      <c r="AY17" s="12">
        <f>'19'!AY17</f>
        <v>1796</v>
      </c>
      <c r="AZ17" s="12"/>
      <c r="BA17" s="12"/>
      <c r="BB17" s="12">
        <f>BA17+'19'!BB17</f>
        <v>1422</v>
      </c>
      <c r="BC17" s="30">
        <f t="shared" si="2"/>
        <v>0.79175946547884191</v>
      </c>
      <c r="BD17" s="12">
        <f>'19'!BD17</f>
        <v>3</v>
      </c>
      <c r="BE17" s="12">
        <f>'19'!BE17</f>
        <v>100</v>
      </c>
      <c r="BF17" s="12"/>
      <c r="BG17" s="12"/>
      <c r="BH17" s="12">
        <f>BG17+'19'!BH17</f>
        <v>441</v>
      </c>
      <c r="BI17" s="30">
        <f t="shared" si="3"/>
        <v>4.41</v>
      </c>
    </row>
    <row r="18" spans="1:61" ht="41.5" customHeight="1" x14ac:dyDescent="0.35">
      <c r="A18" s="5">
        <v>8</v>
      </c>
      <c r="B18" s="26" t="str">
        <f>'19'!B18</f>
        <v>منشأة دمــــــــــلو</v>
      </c>
      <c r="C18" s="26">
        <f>'19'!C18</f>
        <v>1320</v>
      </c>
      <c r="D18" s="26"/>
      <c r="E18" s="12"/>
      <c r="F18" s="2">
        <f>E18+'19'!F18</f>
        <v>18</v>
      </c>
      <c r="G18" s="2"/>
      <c r="H18" s="2">
        <f>G18+'19'!H18</f>
        <v>528</v>
      </c>
      <c r="I18" s="2"/>
      <c r="J18" s="2">
        <f>I18+'19'!J18</f>
        <v>704</v>
      </c>
      <c r="K18" s="2"/>
      <c r="L18" s="2">
        <f>K18+'19'!L18</f>
        <v>0</v>
      </c>
      <c r="M18" s="2"/>
      <c r="N18" s="2">
        <f>M18+'19'!N18</f>
        <v>0</v>
      </c>
      <c r="O18" s="2"/>
      <c r="P18" s="2">
        <f>O18+'19'!P18</f>
        <v>0</v>
      </c>
      <c r="Q18" s="4">
        <f t="shared" si="4"/>
        <v>0</v>
      </c>
      <c r="R18" s="4">
        <f>Q18+'19'!R18</f>
        <v>1250</v>
      </c>
      <c r="S18" s="27">
        <f t="shared" si="5"/>
        <v>0.94696969696969702</v>
      </c>
      <c r="T18" s="12"/>
      <c r="U18" s="12">
        <f>T18+'19'!U18</f>
        <v>175</v>
      </c>
      <c r="V18" s="12"/>
      <c r="W18" s="12">
        <f>V18+'19'!W18</f>
        <v>38</v>
      </c>
      <c r="X18" s="12"/>
      <c r="Y18" s="12">
        <f>X18+'19'!Y18</f>
        <v>0</v>
      </c>
      <c r="AB18" s="5">
        <v>8</v>
      </c>
      <c r="AC18" s="26" t="str">
        <f>'19'!AC18</f>
        <v>منشأة دمــــــــــلو</v>
      </c>
      <c r="AD18" s="28">
        <f>'19'!AI18</f>
        <v>4</v>
      </c>
      <c r="AE18" s="3"/>
      <c r="AF18" s="28">
        <f>AE18+'19'!AF18</f>
        <v>135</v>
      </c>
      <c r="AG18" s="4"/>
      <c r="AH18" s="28">
        <f>AG18+'19'!AH18</f>
        <v>131</v>
      </c>
      <c r="AI18" s="4">
        <f t="shared" si="6"/>
        <v>4</v>
      </c>
      <c r="AJ18" s="11" t="e">
        <f t="shared" si="0"/>
        <v>#DIV/0!</v>
      </c>
      <c r="AK18" s="53">
        <f t="shared" si="1"/>
        <v>9.5419847328244281</v>
      </c>
      <c r="AW18" s="26" t="str">
        <f>'19'!AW18</f>
        <v>منشأة دمــــــــــلو</v>
      </c>
      <c r="AX18" s="12">
        <f>'19'!AX18</f>
        <v>2</v>
      </c>
      <c r="AY18" s="12">
        <f>'19'!AY18</f>
        <v>896</v>
      </c>
      <c r="AZ18" s="12"/>
      <c r="BA18" s="12"/>
      <c r="BB18" s="12">
        <f>BA18+'19'!BB18</f>
        <v>748</v>
      </c>
      <c r="BC18" s="30">
        <f t="shared" si="2"/>
        <v>0.8348214285714286</v>
      </c>
      <c r="BD18" s="12">
        <f>'19'!BD18</f>
        <v>8</v>
      </c>
      <c r="BE18" s="12">
        <f>'19'!BE18</f>
        <v>340</v>
      </c>
      <c r="BF18" s="12"/>
      <c r="BG18" s="12"/>
      <c r="BH18" s="12">
        <f>BG18+'19'!BH18</f>
        <v>328</v>
      </c>
      <c r="BI18" s="30">
        <f t="shared" si="3"/>
        <v>0.96470588235294119</v>
      </c>
    </row>
    <row r="19" spans="1:61" ht="41.5" customHeight="1" x14ac:dyDescent="0.35">
      <c r="A19" s="5">
        <v>9</v>
      </c>
      <c r="B19" s="26" t="str">
        <f>'19'!B19</f>
        <v>شـــــــــــــرانيس</v>
      </c>
      <c r="C19" s="26">
        <f>'19'!C19</f>
        <v>1414</v>
      </c>
      <c r="D19" s="26"/>
      <c r="E19" s="12"/>
      <c r="F19" s="2">
        <f>E19+'19'!F19</f>
        <v>11</v>
      </c>
      <c r="G19" s="2"/>
      <c r="H19" s="2">
        <f>G19+'19'!H19</f>
        <v>359</v>
      </c>
      <c r="I19" s="2"/>
      <c r="J19" s="2">
        <f>I19+'19'!J19</f>
        <v>618</v>
      </c>
      <c r="K19" s="2"/>
      <c r="L19" s="2">
        <f>K19+'19'!L19</f>
        <v>0</v>
      </c>
      <c r="M19" s="2"/>
      <c r="N19" s="2">
        <f>M19+'19'!N19</f>
        <v>0</v>
      </c>
      <c r="O19" s="2"/>
      <c r="P19" s="2">
        <f>O19+'19'!P19</f>
        <v>0</v>
      </c>
      <c r="Q19" s="4">
        <f t="shared" si="4"/>
        <v>0</v>
      </c>
      <c r="R19" s="4">
        <f>Q19+'19'!R19</f>
        <v>988</v>
      </c>
      <c r="S19" s="27">
        <f t="shared" si="5"/>
        <v>0.69872701555869876</v>
      </c>
      <c r="T19" s="12"/>
      <c r="U19" s="12">
        <f>T19+'19'!U19</f>
        <v>143</v>
      </c>
      <c r="V19" s="12"/>
      <c r="W19" s="12">
        <f>V19+'19'!W19</f>
        <v>0</v>
      </c>
      <c r="X19" s="12"/>
      <c r="Y19" s="12">
        <f>X19+'19'!Y19</f>
        <v>0</v>
      </c>
      <c r="AB19" s="5">
        <v>9</v>
      </c>
      <c r="AC19" s="26" t="str">
        <f>'19'!AC19</f>
        <v>شـــــــــــــرانيس</v>
      </c>
      <c r="AD19" s="28">
        <f>'19'!AI19</f>
        <v>22</v>
      </c>
      <c r="AE19" s="3"/>
      <c r="AF19" s="28">
        <f>AE19+'19'!AF19</f>
        <v>125</v>
      </c>
      <c r="AG19" s="4"/>
      <c r="AH19" s="28">
        <f>AG19+'19'!AH19</f>
        <v>103</v>
      </c>
      <c r="AI19" s="4">
        <f t="shared" si="6"/>
        <v>22</v>
      </c>
      <c r="AJ19" s="11" t="e">
        <f t="shared" si="0"/>
        <v>#DIV/0!</v>
      </c>
      <c r="AK19" s="53">
        <f t="shared" si="1"/>
        <v>9.5922330097087372</v>
      </c>
      <c r="AW19" s="26" t="str">
        <f>'19'!AW19</f>
        <v>شـــــــــــــرانيس</v>
      </c>
      <c r="AX19" s="12">
        <f>'19'!AX19</f>
        <v>2</v>
      </c>
      <c r="AY19" s="12">
        <f>'19'!AY19</f>
        <v>675</v>
      </c>
      <c r="AZ19" s="12"/>
      <c r="BA19" s="12"/>
      <c r="BB19" s="12">
        <f>BA19+'19'!BB19</f>
        <v>569</v>
      </c>
      <c r="BC19" s="30">
        <f t="shared" si="2"/>
        <v>0.84296296296296291</v>
      </c>
      <c r="BD19" s="12">
        <f>'19'!BD19</f>
        <v>2</v>
      </c>
      <c r="BE19" s="12">
        <f>'19'!BE19</f>
        <v>397</v>
      </c>
      <c r="BF19" s="12"/>
      <c r="BG19" s="12"/>
      <c r="BH19" s="12">
        <f>BG19+'19'!BH19</f>
        <v>349</v>
      </c>
      <c r="BI19" s="30">
        <f t="shared" si="3"/>
        <v>0.87909319899244331</v>
      </c>
    </row>
    <row r="20" spans="1:61" ht="41.5" customHeight="1" x14ac:dyDescent="0.35">
      <c r="A20" s="5">
        <v>10</v>
      </c>
      <c r="B20" s="26" t="str">
        <f>'19'!B20</f>
        <v>قويســـــــــنا البلد</v>
      </c>
      <c r="C20" s="26">
        <f>'19'!C20</f>
        <v>4115</v>
      </c>
      <c r="D20" s="26"/>
      <c r="E20" s="12"/>
      <c r="F20" s="2">
        <f>E20+'19'!F20</f>
        <v>27</v>
      </c>
      <c r="G20" s="2"/>
      <c r="H20" s="2">
        <f>G20+'19'!H20</f>
        <v>406</v>
      </c>
      <c r="I20" s="2"/>
      <c r="J20" s="2">
        <f>I20+'19'!J20</f>
        <v>1286</v>
      </c>
      <c r="K20" s="2"/>
      <c r="L20" s="2">
        <f>K20+'19'!L20</f>
        <v>0</v>
      </c>
      <c r="M20" s="2"/>
      <c r="N20" s="2">
        <f>M20+'19'!N20</f>
        <v>0</v>
      </c>
      <c r="O20" s="2"/>
      <c r="P20" s="2">
        <f>O20+'19'!P20</f>
        <v>0</v>
      </c>
      <c r="Q20" s="4">
        <f t="shared" si="4"/>
        <v>0</v>
      </c>
      <c r="R20" s="4">
        <f>Q20+'19'!R20</f>
        <v>1719</v>
      </c>
      <c r="S20" s="27">
        <f t="shared" si="5"/>
        <v>0.41773997569866345</v>
      </c>
      <c r="T20" s="12"/>
      <c r="U20" s="12">
        <f>T20+'19'!U20</f>
        <v>405</v>
      </c>
      <c r="V20" s="12"/>
      <c r="W20" s="12">
        <f>V20+'19'!W20</f>
        <v>144</v>
      </c>
      <c r="X20" s="12"/>
      <c r="Y20" s="12">
        <f>X20+'19'!Y20</f>
        <v>0</v>
      </c>
      <c r="AB20" s="5">
        <v>10</v>
      </c>
      <c r="AC20" s="26" t="str">
        <f>'19'!AC20</f>
        <v>قويســـــــــنا البلد</v>
      </c>
      <c r="AD20" s="28">
        <f>'19'!AI20</f>
        <v>185</v>
      </c>
      <c r="AE20" s="3"/>
      <c r="AF20" s="28">
        <f>AE20+'19'!AF20</f>
        <v>360</v>
      </c>
      <c r="AG20" s="4"/>
      <c r="AH20" s="28">
        <f>AG20+'19'!AH20</f>
        <v>175</v>
      </c>
      <c r="AI20" s="4">
        <f t="shared" si="6"/>
        <v>185</v>
      </c>
      <c r="AJ20" s="11" t="e">
        <f t="shared" si="0"/>
        <v>#DIV/0!</v>
      </c>
      <c r="AK20" s="53">
        <f t="shared" si="1"/>
        <v>9.8228571428571421</v>
      </c>
      <c r="AW20" s="26" t="str">
        <f>'19'!AW20</f>
        <v>قويســـــــــنا البلد</v>
      </c>
      <c r="AX20" s="12">
        <f>'19'!AX20</f>
        <v>2</v>
      </c>
      <c r="AY20" s="12">
        <f>'19'!AY20</f>
        <v>1539</v>
      </c>
      <c r="AZ20" s="12"/>
      <c r="BA20" s="12"/>
      <c r="BB20" s="12">
        <f>BA20+'19'!BB20</f>
        <v>1355</v>
      </c>
      <c r="BC20" s="30">
        <f t="shared" si="2"/>
        <v>0.88044184535412606</v>
      </c>
      <c r="BD20" s="12">
        <f>'19'!BD20</f>
        <v>7</v>
      </c>
      <c r="BE20" s="12">
        <f>'19'!BE20</f>
        <v>580</v>
      </c>
      <c r="BF20" s="12"/>
      <c r="BG20" s="12"/>
      <c r="BH20" s="12">
        <f>BG20+'19'!BH20</f>
        <v>204</v>
      </c>
      <c r="BI20" s="30">
        <f t="shared" si="3"/>
        <v>0.35172413793103446</v>
      </c>
    </row>
    <row r="21" spans="1:61" ht="41.5" customHeight="1" x14ac:dyDescent="0.35">
      <c r="A21" s="5">
        <v>11</v>
      </c>
      <c r="B21" s="26" t="str">
        <f>'19'!B21</f>
        <v>بجيرم</v>
      </c>
      <c r="C21" s="26">
        <f>'19'!C21</f>
        <v>1782</v>
      </c>
      <c r="D21" s="26"/>
      <c r="E21" s="12"/>
      <c r="F21" s="2">
        <f>E21+'19'!F21</f>
        <v>8</v>
      </c>
      <c r="G21" s="2"/>
      <c r="H21" s="2">
        <f>G21+'19'!H21</f>
        <v>406</v>
      </c>
      <c r="I21" s="2"/>
      <c r="J21" s="2">
        <f>I21+'19'!J21</f>
        <v>755</v>
      </c>
      <c r="K21" s="2"/>
      <c r="L21" s="2">
        <f>K21+'19'!L21</f>
        <v>0</v>
      </c>
      <c r="M21" s="2"/>
      <c r="N21" s="2">
        <f>M21+'19'!N21</f>
        <v>0</v>
      </c>
      <c r="O21" s="2"/>
      <c r="P21" s="2">
        <f>O21+'19'!P21</f>
        <v>0</v>
      </c>
      <c r="Q21" s="4">
        <f t="shared" si="4"/>
        <v>0</v>
      </c>
      <c r="R21" s="4">
        <f>Q21+'19'!R21</f>
        <v>1169</v>
      </c>
      <c r="S21" s="27">
        <f t="shared" si="5"/>
        <v>0.65600448933782263</v>
      </c>
      <c r="T21" s="12"/>
      <c r="U21" s="12">
        <f>T21+'19'!U21</f>
        <v>126</v>
      </c>
      <c r="V21" s="12"/>
      <c r="W21" s="12">
        <f>V21+'19'!W21</f>
        <v>44</v>
      </c>
      <c r="X21" s="12"/>
      <c r="Y21" s="12">
        <f>X21+'19'!Y21</f>
        <v>0</v>
      </c>
      <c r="AB21" s="5">
        <v>11</v>
      </c>
      <c r="AC21" s="26" t="str">
        <f>'19'!AC21</f>
        <v>بجيرم</v>
      </c>
      <c r="AD21" s="28">
        <f>'19'!AI21</f>
        <v>37</v>
      </c>
      <c r="AE21" s="3"/>
      <c r="AF21" s="28">
        <f>AE21+'19'!AF21</f>
        <v>157</v>
      </c>
      <c r="AG21" s="4"/>
      <c r="AH21" s="28">
        <f>AG21+'19'!AH21</f>
        <v>120</v>
      </c>
      <c r="AI21" s="4">
        <f t="shared" si="6"/>
        <v>37</v>
      </c>
      <c r="AJ21" s="11" t="e">
        <f t="shared" si="0"/>
        <v>#DIV/0!</v>
      </c>
      <c r="AK21" s="53">
        <f t="shared" si="1"/>
        <v>9.7416666666666671</v>
      </c>
      <c r="AW21" s="26" t="str">
        <f>'19'!AW21</f>
        <v>بجيرم</v>
      </c>
      <c r="AX21" s="12">
        <f>'19'!AX21</f>
        <v>4</v>
      </c>
      <c r="AY21" s="12">
        <f>'19'!AY21</f>
        <v>946</v>
      </c>
      <c r="AZ21" s="12"/>
      <c r="BA21" s="12"/>
      <c r="BB21" s="12">
        <f>BA21+'19'!BB21</f>
        <v>823</v>
      </c>
      <c r="BC21" s="30">
        <f t="shared" si="2"/>
        <v>0.86997885835095135</v>
      </c>
      <c r="BD21" s="12">
        <f>'19'!BD21</f>
        <v>4</v>
      </c>
      <c r="BE21" s="12">
        <f>'19'!BE21</f>
        <v>99</v>
      </c>
      <c r="BF21" s="12"/>
      <c r="BG21" s="12"/>
      <c r="BH21" s="12">
        <f>BG21+'19'!BH21</f>
        <v>99</v>
      </c>
      <c r="BI21" s="30">
        <f t="shared" si="3"/>
        <v>1</v>
      </c>
    </row>
    <row r="22" spans="1:61" ht="30" customHeight="1" x14ac:dyDescent="0.35">
      <c r="A22" s="5">
        <v>12</v>
      </c>
      <c r="B22" s="26" t="str">
        <f>'19'!B22</f>
        <v>كفر بنى غريـــان</v>
      </c>
      <c r="C22" s="26">
        <f>'19'!C22</f>
        <v>2184</v>
      </c>
      <c r="D22" s="26"/>
      <c r="E22" s="12"/>
      <c r="F22" s="2">
        <f>E22+'19'!F22</f>
        <v>12</v>
      </c>
      <c r="G22" s="2"/>
      <c r="H22" s="2">
        <f>G22+'19'!H22</f>
        <v>471</v>
      </c>
      <c r="I22" s="2"/>
      <c r="J22" s="2">
        <f>I22+'19'!J22</f>
        <v>971</v>
      </c>
      <c r="K22" s="2"/>
      <c r="L22" s="2">
        <f>K22+'19'!L22</f>
        <v>0</v>
      </c>
      <c r="M22" s="2"/>
      <c r="N22" s="2">
        <f>M22+'19'!N22</f>
        <v>0</v>
      </c>
      <c r="O22" s="2"/>
      <c r="P22" s="2">
        <f>O22+'19'!P22</f>
        <v>0</v>
      </c>
      <c r="Q22" s="4">
        <f t="shared" si="4"/>
        <v>0</v>
      </c>
      <c r="R22" s="4">
        <f>Q22+'19'!R22</f>
        <v>1454</v>
      </c>
      <c r="S22" s="27">
        <f t="shared" si="5"/>
        <v>0.66575091575091572</v>
      </c>
      <c r="T22" s="12"/>
      <c r="U22" s="12">
        <f>T22+'19'!U22</f>
        <v>174</v>
      </c>
      <c r="V22" s="12"/>
      <c r="W22" s="12">
        <f>V22+'19'!W22</f>
        <v>7</v>
      </c>
      <c r="X22" s="12"/>
      <c r="Y22" s="12">
        <f>X22+'19'!Y22</f>
        <v>0</v>
      </c>
      <c r="AB22" s="5">
        <v>12</v>
      </c>
      <c r="AC22" s="26" t="str">
        <f>'19'!AC22</f>
        <v>كفر بنى غريـــان</v>
      </c>
      <c r="AD22" s="28">
        <f>'19'!AI22</f>
        <v>42</v>
      </c>
      <c r="AE22" s="3"/>
      <c r="AF22" s="28">
        <f>AE22+'19'!AF22</f>
        <v>192</v>
      </c>
      <c r="AG22" s="4"/>
      <c r="AH22" s="28">
        <f>AG22+'19'!AH22</f>
        <v>150</v>
      </c>
      <c r="AI22" s="4">
        <f t="shared" si="6"/>
        <v>42</v>
      </c>
      <c r="AJ22" s="11" t="e">
        <f t="shared" si="0"/>
        <v>#DIV/0!</v>
      </c>
      <c r="AK22" s="53">
        <f t="shared" si="1"/>
        <v>9.6933333333333334</v>
      </c>
      <c r="AW22" s="26" t="str">
        <f>'19'!AW22</f>
        <v>كفر بنى غريـــان</v>
      </c>
      <c r="AX22" s="12">
        <f>'19'!AX22</f>
        <v>3</v>
      </c>
      <c r="AY22" s="12">
        <f>'19'!AY22</f>
        <v>1327</v>
      </c>
      <c r="AZ22" s="12"/>
      <c r="BA22" s="12"/>
      <c r="BB22" s="12">
        <f>BA22+'19'!BB22</f>
        <v>994</v>
      </c>
      <c r="BC22" s="30">
        <f t="shared" si="2"/>
        <v>0.74905802562170309</v>
      </c>
      <c r="BD22" s="12">
        <f>'19'!BD22</f>
        <v>9</v>
      </c>
      <c r="BE22" s="12">
        <f>'19'!BE22</f>
        <v>381</v>
      </c>
      <c r="BF22" s="12"/>
      <c r="BG22" s="12"/>
      <c r="BH22" s="12">
        <f>BG22+'19'!BH22</f>
        <v>387</v>
      </c>
      <c r="BI22" s="30">
        <f t="shared" si="3"/>
        <v>1.015748031496063</v>
      </c>
    </row>
    <row r="23" spans="1:61" ht="30" customHeight="1" x14ac:dyDescent="0.35">
      <c r="A23" s="5">
        <v>13</v>
      </c>
      <c r="B23" s="26" t="str">
        <f>'19'!B23</f>
        <v>بــقســـــــــــــــــا</v>
      </c>
      <c r="C23" s="26">
        <f>'19'!C23</f>
        <v>862</v>
      </c>
      <c r="D23" s="26"/>
      <c r="E23" s="12"/>
      <c r="F23" s="2">
        <f>E23+'19'!F23</f>
        <v>8</v>
      </c>
      <c r="G23" s="2"/>
      <c r="H23" s="2">
        <f>G23+'19'!H23</f>
        <v>160</v>
      </c>
      <c r="I23" s="2"/>
      <c r="J23" s="2">
        <f>I23+'19'!J23</f>
        <v>359</v>
      </c>
      <c r="K23" s="2"/>
      <c r="L23" s="2">
        <f>K23+'19'!L23</f>
        <v>0</v>
      </c>
      <c r="M23" s="2"/>
      <c r="N23" s="2">
        <f>M23+'19'!N23</f>
        <v>0</v>
      </c>
      <c r="O23" s="2"/>
      <c r="P23" s="2">
        <f>O23+'19'!P23</f>
        <v>0</v>
      </c>
      <c r="Q23" s="4">
        <f t="shared" si="4"/>
        <v>0</v>
      </c>
      <c r="R23" s="4">
        <f>Q23+'19'!R23</f>
        <v>527</v>
      </c>
      <c r="S23" s="27">
        <f t="shared" si="5"/>
        <v>0.61136890951276102</v>
      </c>
      <c r="T23" s="12"/>
      <c r="U23" s="12">
        <f>T23+'19'!U23</f>
        <v>36</v>
      </c>
      <c r="V23" s="12"/>
      <c r="W23" s="12">
        <f>V23+'19'!W23</f>
        <v>14</v>
      </c>
      <c r="X23" s="12"/>
      <c r="Y23" s="12">
        <f>X23+'19'!Y23</f>
        <v>0</v>
      </c>
      <c r="AB23" s="5">
        <v>13</v>
      </c>
      <c r="AC23" s="26" t="str">
        <f>'19'!AC23</f>
        <v>بــقســـــــــــــــــا</v>
      </c>
      <c r="AD23" s="28">
        <f>'19'!AI23</f>
        <v>22</v>
      </c>
      <c r="AE23" s="3"/>
      <c r="AF23" s="28">
        <f>AE23+'19'!AF23</f>
        <v>75</v>
      </c>
      <c r="AG23" s="4"/>
      <c r="AH23" s="28">
        <f>AG23+'19'!AH23</f>
        <v>53</v>
      </c>
      <c r="AI23" s="4">
        <f t="shared" si="6"/>
        <v>22</v>
      </c>
      <c r="AJ23" s="11" t="e">
        <f t="shared" si="0"/>
        <v>#DIV/0!</v>
      </c>
      <c r="AK23" s="53">
        <f t="shared" si="1"/>
        <v>9.9433962264150946</v>
      </c>
      <c r="AW23" s="26" t="str">
        <f>'19'!AW23</f>
        <v>بــقســـــــــــــــــا</v>
      </c>
      <c r="AX23" s="12">
        <f>'19'!AX23</f>
        <v>1</v>
      </c>
      <c r="AY23" s="12">
        <f>'19'!AY23</f>
        <v>311</v>
      </c>
      <c r="AZ23" s="12"/>
      <c r="BA23" s="12"/>
      <c r="BB23" s="12">
        <f>BA23+'19'!BB23</f>
        <v>297</v>
      </c>
      <c r="BC23" s="30">
        <f t="shared" si="2"/>
        <v>0.954983922829582</v>
      </c>
      <c r="BD23" s="12">
        <f>'19'!BD23</f>
        <v>1</v>
      </c>
      <c r="BE23" s="12">
        <f>'19'!BE23</f>
        <v>40</v>
      </c>
      <c r="BF23" s="12"/>
      <c r="BG23" s="12"/>
      <c r="BH23" s="12">
        <f>BG23+'19'!BH23</f>
        <v>30</v>
      </c>
      <c r="BI23" s="30">
        <f t="shared" si="3"/>
        <v>0.75</v>
      </c>
    </row>
    <row r="24" spans="1:61" ht="37.15" customHeight="1" x14ac:dyDescent="0.35">
      <c r="A24" s="5">
        <v>14</v>
      </c>
      <c r="B24" s="26" t="str">
        <f>'19'!B24</f>
        <v>كفــــــــر الأكرم</v>
      </c>
      <c r="C24" s="26">
        <f>'19'!C24</f>
        <v>918</v>
      </c>
      <c r="D24" s="26"/>
      <c r="E24" s="12"/>
      <c r="F24" s="2">
        <f>E24+'19'!F24</f>
        <v>3</v>
      </c>
      <c r="G24" s="2"/>
      <c r="H24" s="2">
        <f>G24+'19'!H24</f>
        <v>233</v>
      </c>
      <c r="I24" s="2"/>
      <c r="J24" s="2">
        <f>I24+'19'!J24</f>
        <v>392</v>
      </c>
      <c r="K24" s="2"/>
      <c r="L24" s="2">
        <f>K24+'19'!L24</f>
        <v>0</v>
      </c>
      <c r="M24" s="2"/>
      <c r="N24" s="2">
        <f>M24+'19'!N24</f>
        <v>0</v>
      </c>
      <c r="O24" s="2"/>
      <c r="P24" s="2">
        <f>O24+'19'!P24</f>
        <v>0</v>
      </c>
      <c r="Q24" s="4">
        <f t="shared" si="4"/>
        <v>0</v>
      </c>
      <c r="R24" s="4">
        <f>Q24+'19'!R24</f>
        <v>628</v>
      </c>
      <c r="S24" s="27">
        <f t="shared" si="5"/>
        <v>0.68409586056644878</v>
      </c>
      <c r="T24" s="12"/>
      <c r="U24" s="12">
        <f>T24+'19'!U24</f>
        <v>87</v>
      </c>
      <c r="V24" s="12"/>
      <c r="W24" s="12">
        <f>V24+'19'!W24</f>
        <v>9</v>
      </c>
      <c r="X24" s="12"/>
      <c r="Y24" s="12">
        <f>X24+'19'!Y24</f>
        <v>0</v>
      </c>
      <c r="AB24" s="5">
        <v>14</v>
      </c>
      <c r="AC24" s="26" t="str">
        <f>'19'!AC24</f>
        <v>كفــــــــر الأكرم</v>
      </c>
      <c r="AD24" s="28">
        <f>'19'!AI24</f>
        <v>15</v>
      </c>
      <c r="AE24" s="3"/>
      <c r="AF24" s="28">
        <f>AE24+'19'!AF24</f>
        <v>80</v>
      </c>
      <c r="AG24" s="4"/>
      <c r="AH24" s="28">
        <f>AG24+'19'!AH24</f>
        <v>65</v>
      </c>
      <c r="AI24" s="4">
        <f t="shared" si="6"/>
        <v>15</v>
      </c>
      <c r="AJ24" s="11" t="e">
        <f t="shared" si="0"/>
        <v>#DIV/0!</v>
      </c>
      <c r="AK24" s="53">
        <f t="shared" si="1"/>
        <v>9.661538461538461</v>
      </c>
      <c r="AW24" s="26" t="str">
        <f>'19'!AW24</f>
        <v>كفــــــــر الأكرم</v>
      </c>
      <c r="AX24" s="12">
        <f>'19'!AX24</f>
        <v>2</v>
      </c>
      <c r="AY24" s="12">
        <f>'19'!AY24</f>
        <v>540</v>
      </c>
      <c r="AZ24" s="12"/>
      <c r="BA24" s="12"/>
      <c r="BB24" s="12">
        <f>BA24+'19'!BB24</f>
        <v>380</v>
      </c>
      <c r="BC24" s="30">
        <f t="shared" si="2"/>
        <v>0.70370370370370372</v>
      </c>
      <c r="BD24" s="12">
        <f>'19'!BD24</f>
        <v>2</v>
      </c>
      <c r="BE24" s="12">
        <f>'19'!BE24</f>
        <v>115</v>
      </c>
      <c r="BF24" s="12"/>
      <c r="BG24" s="12"/>
      <c r="BH24" s="12">
        <f>BG24+'19'!BH24</f>
        <v>160</v>
      </c>
      <c r="BI24" s="30">
        <f t="shared" si="3"/>
        <v>1.3913043478260869</v>
      </c>
    </row>
    <row r="25" spans="1:61" ht="28.9" customHeight="1" x14ac:dyDescent="0.35">
      <c r="A25" s="5">
        <v>15</v>
      </c>
      <c r="B25" s="26" t="str">
        <f>'19'!B25</f>
        <v>كفـــــــــر إبنهس</v>
      </c>
      <c r="C25" s="26">
        <f>'19'!C25</f>
        <v>2072</v>
      </c>
      <c r="D25" s="26"/>
      <c r="E25" s="12"/>
      <c r="F25" s="2">
        <f>E25+'19'!F25</f>
        <v>6</v>
      </c>
      <c r="G25" s="2"/>
      <c r="H25" s="2">
        <f>G25+'19'!H25</f>
        <v>345</v>
      </c>
      <c r="I25" s="2"/>
      <c r="J25" s="2">
        <f>I25+'19'!J25</f>
        <v>974</v>
      </c>
      <c r="K25" s="2"/>
      <c r="L25" s="2">
        <f>K25+'19'!L25</f>
        <v>0</v>
      </c>
      <c r="M25" s="2"/>
      <c r="N25" s="2">
        <f>M25+'19'!N25</f>
        <v>0</v>
      </c>
      <c r="O25" s="2"/>
      <c r="P25" s="2">
        <f>O25+'19'!P25</f>
        <v>0</v>
      </c>
      <c r="Q25" s="4">
        <f t="shared" si="4"/>
        <v>0</v>
      </c>
      <c r="R25" s="4">
        <f>Q25+'19'!R25</f>
        <v>1325</v>
      </c>
      <c r="S25" s="27">
        <f t="shared" si="5"/>
        <v>0.63947876447876451</v>
      </c>
      <c r="T25" s="12"/>
      <c r="U25" s="12">
        <f>T25+'19'!U25</f>
        <v>173</v>
      </c>
      <c r="V25" s="12"/>
      <c r="W25" s="12">
        <f>V25+'19'!W25</f>
        <v>50</v>
      </c>
      <c r="X25" s="12"/>
      <c r="Y25" s="12">
        <f>X25+'19'!Y25</f>
        <v>0</v>
      </c>
      <c r="AB25" s="5">
        <v>15</v>
      </c>
      <c r="AC25" s="26" t="str">
        <f>'19'!AC25</f>
        <v>كفـــــــــر إبنهس</v>
      </c>
      <c r="AD25" s="28">
        <f>'19'!AI25</f>
        <v>31</v>
      </c>
      <c r="AE25" s="3"/>
      <c r="AF25" s="28">
        <f>AE25+'19'!AF25</f>
        <v>180</v>
      </c>
      <c r="AG25" s="4"/>
      <c r="AH25" s="28">
        <f>AG25+'19'!AH25</f>
        <v>149</v>
      </c>
      <c r="AI25" s="4">
        <f t="shared" si="6"/>
        <v>31</v>
      </c>
      <c r="AJ25" s="11" t="e">
        <f t="shared" si="0"/>
        <v>#DIV/0!</v>
      </c>
      <c r="AK25" s="53">
        <f t="shared" si="1"/>
        <v>8.8926174496644297</v>
      </c>
      <c r="AW25" s="26" t="str">
        <f>'19'!AW25</f>
        <v>كفـــــــــر إبنهس</v>
      </c>
      <c r="AX25" s="12">
        <f>'19'!AX25</f>
        <v>3</v>
      </c>
      <c r="AY25" s="12">
        <f>'19'!AY25</f>
        <v>1013</v>
      </c>
      <c r="AZ25" s="12"/>
      <c r="BA25" s="12"/>
      <c r="BB25" s="12">
        <f>BA25+'19'!BB25</f>
        <v>838</v>
      </c>
      <c r="BC25" s="30">
        <f t="shared" si="2"/>
        <v>0.82724580454096741</v>
      </c>
      <c r="BD25" s="12">
        <f>'19'!BD25</f>
        <v>4</v>
      </c>
      <c r="BE25" s="12">
        <f>'19'!BE25</f>
        <v>620</v>
      </c>
      <c r="BF25" s="12"/>
      <c r="BG25" s="12"/>
      <c r="BH25" s="12">
        <f>BG25+'19'!BH25</f>
        <v>507</v>
      </c>
      <c r="BI25" s="30">
        <f t="shared" si="3"/>
        <v>0.81774193548387097</v>
      </c>
    </row>
    <row r="26" spans="1:61" ht="28.9" customHeight="1" x14ac:dyDescent="0.35">
      <c r="A26" s="5">
        <v>16</v>
      </c>
      <c r="B26" s="26" t="str">
        <f>'19'!B26</f>
        <v>الرمــــــــــــــالى</v>
      </c>
      <c r="C26" s="26">
        <f>'19'!C26</f>
        <v>2699</v>
      </c>
      <c r="D26" s="26"/>
      <c r="E26" s="12"/>
      <c r="F26" s="2">
        <f>E26+'19'!F26</f>
        <v>27</v>
      </c>
      <c r="G26" s="2"/>
      <c r="H26" s="2">
        <f>G26+'19'!H26</f>
        <v>312</v>
      </c>
      <c r="I26" s="2"/>
      <c r="J26" s="2">
        <f>I26+'19'!J26</f>
        <v>993</v>
      </c>
      <c r="K26" s="2"/>
      <c r="L26" s="2">
        <f>K26+'19'!L26</f>
        <v>0</v>
      </c>
      <c r="M26" s="2"/>
      <c r="N26" s="2">
        <f>M26+'19'!N26</f>
        <v>0</v>
      </c>
      <c r="O26" s="2"/>
      <c r="P26" s="2">
        <f>O26+'19'!P26</f>
        <v>0</v>
      </c>
      <c r="Q26" s="4">
        <f t="shared" si="4"/>
        <v>0</v>
      </c>
      <c r="R26" s="4">
        <f>Q26+'19'!R26</f>
        <v>1332</v>
      </c>
      <c r="S26" s="27">
        <f t="shared" si="5"/>
        <v>0.49351611708040016</v>
      </c>
      <c r="T26" s="12"/>
      <c r="U26" s="12">
        <f>T26+'19'!U26</f>
        <v>114</v>
      </c>
      <c r="V26" s="12"/>
      <c r="W26" s="12">
        <f>V26+'19'!W26</f>
        <v>108</v>
      </c>
      <c r="X26" s="12"/>
      <c r="Y26" s="12">
        <f>X26+'19'!Y26</f>
        <v>1</v>
      </c>
      <c r="Z26" s="38"/>
      <c r="AB26" s="5">
        <v>16</v>
      </c>
      <c r="AC26" s="26" t="str">
        <f>'19'!AC26</f>
        <v>الرمــــــــــــــالى</v>
      </c>
      <c r="AD26" s="28">
        <f>'19'!AI26</f>
        <v>96</v>
      </c>
      <c r="AE26" s="3"/>
      <c r="AF26" s="28">
        <f>AE26+'19'!AF26</f>
        <v>235</v>
      </c>
      <c r="AG26" s="4"/>
      <c r="AH26" s="28">
        <f>AG26+'19'!AH26</f>
        <v>139</v>
      </c>
      <c r="AI26" s="4">
        <f t="shared" si="6"/>
        <v>96</v>
      </c>
      <c r="AJ26" s="11" t="e">
        <f t="shared" si="0"/>
        <v>#DIV/0!</v>
      </c>
      <c r="AK26" s="53">
        <f t="shared" si="1"/>
        <v>9.5827338129496411</v>
      </c>
      <c r="AV26" s="38"/>
      <c r="AW26" s="26" t="str">
        <f>'19'!AW26</f>
        <v>الرمــــــــــــــالى</v>
      </c>
      <c r="AX26" s="12">
        <f>'19'!AX26</f>
        <v>3</v>
      </c>
      <c r="AY26" s="12">
        <f>'19'!AY26</f>
        <v>1486</v>
      </c>
      <c r="AZ26" s="12"/>
      <c r="BA26" s="12"/>
      <c r="BB26" s="12">
        <f>BA26+'19'!BB26</f>
        <v>1149</v>
      </c>
      <c r="BC26" s="30">
        <f t="shared" si="2"/>
        <v>0.77321668909825036</v>
      </c>
      <c r="BD26" s="12">
        <f>'19'!BD26</f>
        <v>3</v>
      </c>
      <c r="BE26" s="12">
        <f>'19'!BE26</f>
        <v>98</v>
      </c>
      <c r="BF26" s="12"/>
      <c r="BG26" s="12"/>
      <c r="BH26" s="12">
        <f>BG26+'19'!BH26</f>
        <v>0</v>
      </c>
      <c r="BI26" s="30">
        <f t="shared" si="3"/>
        <v>0</v>
      </c>
    </row>
    <row r="27" spans="1:61" ht="28.9" customHeight="1" x14ac:dyDescent="0.35">
      <c r="A27" s="5">
        <v>17</v>
      </c>
      <c r="B27" s="26" t="str">
        <f>'19'!B27</f>
        <v>مصطــــــــــــاى</v>
      </c>
      <c r="C27" s="26">
        <f>'19'!C27</f>
        <v>2666</v>
      </c>
      <c r="D27" s="26"/>
      <c r="E27" s="12"/>
      <c r="F27" s="2">
        <f>E27+'19'!F27</f>
        <v>54</v>
      </c>
      <c r="G27" s="2"/>
      <c r="H27" s="2">
        <f>G27+'19'!H27</f>
        <v>364</v>
      </c>
      <c r="I27" s="2"/>
      <c r="J27" s="2">
        <f>I27+'19'!J27</f>
        <v>1154</v>
      </c>
      <c r="K27" s="2"/>
      <c r="L27" s="2">
        <f>K27+'19'!L27</f>
        <v>0</v>
      </c>
      <c r="M27" s="2"/>
      <c r="N27" s="2">
        <f>M27+'19'!N27</f>
        <v>0</v>
      </c>
      <c r="O27" s="2"/>
      <c r="P27" s="2">
        <f>O27+'19'!P27</f>
        <v>0</v>
      </c>
      <c r="Q27" s="4">
        <f t="shared" si="4"/>
        <v>0</v>
      </c>
      <c r="R27" s="4">
        <f>Q27+'19'!R27</f>
        <v>1572</v>
      </c>
      <c r="S27" s="27">
        <f t="shared" si="5"/>
        <v>0.58964741185296321</v>
      </c>
      <c r="T27" s="12"/>
      <c r="U27" s="12">
        <f>T27+'19'!U27</f>
        <v>45</v>
      </c>
      <c r="V27" s="12"/>
      <c r="W27" s="12">
        <f>V27+'19'!W27</f>
        <v>15</v>
      </c>
      <c r="X27" s="12"/>
      <c r="Y27" s="12">
        <f>X27+'19'!Y27</f>
        <v>0</v>
      </c>
      <c r="AB27" s="5">
        <v>17</v>
      </c>
      <c r="AC27" s="26" t="str">
        <f>'19'!AC27</f>
        <v>مصطــــــــــــاى</v>
      </c>
      <c r="AD27" s="28">
        <f>'19'!AI27</f>
        <v>74</v>
      </c>
      <c r="AE27" s="3"/>
      <c r="AF27" s="28">
        <f>AE27+'19'!AF27</f>
        <v>234</v>
      </c>
      <c r="AG27" s="4"/>
      <c r="AH27" s="28">
        <f>AG27+'19'!AH27</f>
        <v>160</v>
      </c>
      <c r="AI27" s="4">
        <f t="shared" si="6"/>
        <v>74</v>
      </c>
      <c r="AJ27" s="11" t="e">
        <f t="shared" si="0"/>
        <v>#DIV/0!</v>
      </c>
      <c r="AK27" s="53">
        <f t="shared" si="1"/>
        <v>9.8249999999999993</v>
      </c>
      <c r="AW27" s="26" t="str">
        <f>'19'!AW27</f>
        <v>مصطــــــــــــاى</v>
      </c>
      <c r="AX27" s="12">
        <f>'19'!AX27</f>
        <v>3</v>
      </c>
      <c r="AY27" s="12">
        <f>'19'!AY27</f>
        <v>1709</v>
      </c>
      <c r="AZ27" s="12"/>
      <c r="BA27" s="12"/>
      <c r="BB27" s="12">
        <f>BA27+'19'!BB27</f>
        <v>1252</v>
      </c>
      <c r="BC27" s="30">
        <f t="shared" si="2"/>
        <v>0.73259215915740195</v>
      </c>
      <c r="BD27" s="12">
        <f>'19'!BD27</f>
        <v>6</v>
      </c>
      <c r="BE27" s="12">
        <f>'19'!BE27</f>
        <v>696</v>
      </c>
      <c r="BF27" s="12"/>
      <c r="BG27" s="12"/>
      <c r="BH27" s="12">
        <f>BG27+'19'!BH27</f>
        <v>120</v>
      </c>
      <c r="BI27" s="30">
        <f t="shared" si="3"/>
        <v>0.17241379310344829</v>
      </c>
    </row>
    <row r="28" spans="1:61" ht="28.9" customHeight="1" x14ac:dyDescent="0.35">
      <c r="A28" s="5">
        <v>18</v>
      </c>
      <c r="B28" s="26" t="str">
        <f>'19'!B28</f>
        <v>كفر طـــــــه شبرا</v>
      </c>
      <c r="C28" s="26">
        <f>'19'!C28</f>
        <v>1795</v>
      </c>
      <c r="D28" s="26"/>
      <c r="E28" s="12"/>
      <c r="F28" s="2">
        <f>E28+'19'!F28</f>
        <v>8</v>
      </c>
      <c r="G28" s="2"/>
      <c r="H28" s="2">
        <f>G28+'19'!H28</f>
        <v>294</v>
      </c>
      <c r="I28" s="2"/>
      <c r="J28" s="2">
        <f>I28+'19'!J28</f>
        <v>940</v>
      </c>
      <c r="K28" s="2"/>
      <c r="L28" s="2">
        <f>K28+'19'!L28</f>
        <v>0</v>
      </c>
      <c r="M28" s="2"/>
      <c r="N28" s="2">
        <f>M28+'19'!N28</f>
        <v>0</v>
      </c>
      <c r="O28" s="2"/>
      <c r="P28" s="2">
        <f>O28+'19'!P28</f>
        <v>0</v>
      </c>
      <c r="Q28" s="4">
        <f t="shared" si="4"/>
        <v>0</v>
      </c>
      <c r="R28" s="4">
        <f>Q28+'19'!R28</f>
        <v>1242</v>
      </c>
      <c r="S28" s="27">
        <f t="shared" si="5"/>
        <v>0.69192200557103067</v>
      </c>
      <c r="T28" s="12"/>
      <c r="U28" s="12">
        <f>T28+'19'!U28</f>
        <v>136</v>
      </c>
      <c r="V28" s="12"/>
      <c r="W28" s="12">
        <f>V28+'19'!W28</f>
        <v>33</v>
      </c>
      <c r="X28" s="12"/>
      <c r="Y28" s="12">
        <f>X28+'19'!Y28</f>
        <v>0</v>
      </c>
      <c r="AB28" s="5">
        <v>18</v>
      </c>
      <c r="AC28" s="26" t="str">
        <f>'19'!AC28</f>
        <v>كفر طـــــــه شبرا</v>
      </c>
      <c r="AD28" s="28">
        <f>'19'!AI28</f>
        <v>28</v>
      </c>
      <c r="AE28" s="3"/>
      <c r="AF28" s="28">
        <f>AE28+'19'!AF28</f>
        <v>158</v>
      </c>
      <c r="AG28" s="4"/>
      <c r="AH28" s="28">
        <f>AG28+'19'!AH28</f>
        <v>130</v>
      </c>
      <c r="AI28" s="4">
        <f t="shared" si="6"/>
        <v>28</v>
      </c>
      <c r="AJ28" s="11" t="e">
        <f t="shared" si="0"/>
        <v>#DIV/0!</v>
      </c>
      <c r="AK28" s="53">
        <f t="shared" si="1"/>
        <v>9.5538461538461537</v>
      </c>
      <c r="AW28" s="26" t="str">
        <f>'19'!AW28</f>
        <v>كفر طـــــــه شبرا</v>
      </c>
      <c r="AX28" s="12">
        <f>'19'!AX28</f>
        <v>4</v>
      </c>
      <c r="AY28" s="12">
        <f>'19'!AY28</f>
        <v>948</v>
      </c>
      <c r="AZ28" s="12"/>
      <c r="BA28" s="12"/>
      <c r="BB28" s="12">
        <f>BA28+'19'!BB28</f>
        <v>827</v>
      </c>
      <c r="BC28" s="30">
        <f t="shared" si="2"/>
        <v>0.87236286919831219</v>
      </c>
      <c r="BD28" s="12">
        <f>'19'!BD28</f>
        <v>7</v>
      </c>
      <c r="BE28" s="12">
        <f>'19'!BE28</f>
        <v>300</v>
      </c>
      <c r="BF28" s="12"/>
      <c r="BG28" s="12"/>
      <c r="BH28" s="12">
        <f>BG28+'19'!BH28</f>
        <v>403</v>
      </c>
      <c r="BI28" s="30">
        <f t="shared" si="3"/>
        <v>1.3433333333333333</v>
      </c>
    </row>
    <row r="29" spans="1:61" ht="28.9" customHeight="1" x14ac:dyDescent="0.35">
      <c r="A29" s="5">
        <v>19</v>
      </c>
      <c r="B29" s="26" t="str">
        <f>'19'!B29</f>
        <v>كفر أبـــو الحسن</v>
      </c>
      <c r="C29" s="26">
        <f>'19'!C29</f>
        <v>1397</v>
      </c>
      <c r="D29" s="26"/>
      <c r="E29" s="12"/>
      <c r="F29" s="2">
        <f>E29+'19'!F29</f>
        <v>4</v>
      </c>
      <c r="G29" s="2"/>
      <c r="H29" s="2">
        <f>G29+'19'!H29</f>
        <v>238</v>
      </c>
      <c r="I29" s="2"/>
      <c r="J29" s="2">
        <f>I29+'19'!J29</f>
        <v>841</v>
      </c>
      <c r="K29" s="2"/>
      <c r="L29" s="2">
        <f>K29+'19'!L29</f>
        <v>0</v>
      </c>
      <c r="M29" s="2"/>
      <c r="N29" s="2">
        <f>M29+'19'!N29</f>
        <v>0</v>
      </c>
      <c r="O29" s="2"/>
      <c r="P29" s="2">
        <f>O29+'19'!P29</f>
        <v>0</v>
      </c>
      <c r="Q29" s="4">
        <f t="shared" si="4"/>
        <v>0</v>
      </c>
      <c r="R29" s="4">
        <f>Q29+'19'!R29</f>
        <v>1083</v>
      </c>
      <c r="S29" s="27">
        <f t="shared" si="5"/>
        <v>0.77523264137437364</v>
      </c>
      <c r="T29" s="12"/>
      <c r="U29" s="12">
        <f>T29+'19'!U29</f>
        <v>205</v>
      </c>
      <c r="V29" s="12"/>
      <c r="W29" s="12">
        <f>V29+'19'!W29</f>
        <v>18</v>
      </c>
      <c r="X29" s="12"/>
      <c r="Y29" s="12">
        <f>X29+'19'!Y29</f>
        <v>0</v>
      </c>
      <c r="AB29" s="5">
        <v>19</v>
      </c>
      <c r="AC29" s="26" t="str">
        <f>'19'!AC29</f>
        <v>كفر أبـــو الحسن</v>
      </c>
      <c r="AD29" s="28">
        <f>'19'!AI29</f>
        <v>22</v>
      </c>
      <c r="AE29" s="3"/>
      <c r="AF29" s="28">
        <f>AE29+'19'!AF29</f>
        <v>133</v>
      </c>
      <c r="AG29" s="4"/>
      <c r="AH29" s="28">
        <f>AG29+'19'!AH29</f>
        <v>111</v>
      </c>
      <c r="AI29" s="4">
        <f t="shared" si="6"/>
        <v>22</v>
      </c>
      <c r="AJ29" s="11" t="e">
        <f t="shared" si="0"/>
        <v>#DIV/0!</v>
      </c>
      <c r="AK29" s="53">
        <f t="shared" si="1"/>
        <v>9.7567567567567561</v>
      </c>
      <c r="AW29" s="26" t="str">
        <f>'19'!AW29</f>
        <v>كفر أبـــو الحسن</v>
      </c>
      <c r="AX29" s="12">
        <f>'19'!AX29</f>
        <v>3</v>
      </c>
      <c r="AY29" s="12">
        <f>'19'!AY29</f>
        <v>912</v>
      </c>
      <c r="AZ29" s="12"/>
      <c r="BA29" s="12"/>
      <c r="BB29" s="12">
        <f>BA29+'19'!BB29</f>
        <v>760</v>
      </c>
      <c r="BC29" s="30">
        <f t="shared" si="2"/>
        <v>0.83333333333333337</v>
      </c>
      <c r="BD29" s="12">
        <f>'19'!BD29</f>
        <v>9</v>
      </c>
      <c r="BE29" s="12">
        <f>'19'!BE29</f>
        <v>258</v>
      </c>
      <c r="BF29" s="12"/>
      <c r="BG29" s="12"/>
      <c r="BH29" s="12">
        <f>BG29+'19'!BH29</f>
        <v>351</v>
      </c>
      <c r="BI29" s="30">
        <f t="shared" si="3"/>
        <v>1.3604651162790697</v>
      </c>
    </row>
    <row r="30" spans="1:61" ht="28.9" customHeight="1" x14ac:dyDescent="0.35">
      <c r="A30" s="5">
        <v>20</v>
      </c>
      <c r="B30" s="26" t="str">
        <f>'19'!B30</f>
        <v>ميت أبـــــوشيخه</v>
      </c>
      <c r="C30" s="26">
        <f>'19'!C30</f>
        <v>1134</v>
      </c>
      <c r="D30" s="26"/>
      <c r="E30" s="12"/>
      <c r="F30" s="2">
        <f>E30+'19'!F30</f>
        <v>10</v>
      </c>
      <c r="G30" s="2"/>
      <c r="H30" s="2">
        <f>G30+'19'!H30</f>
        <v>144</v>
      </c>
      <c r="I30" s="2"/>
      <c r="J30" s="2">
        <f>I30+'19'!J30</f>
        <v>435</v>
      </c>
      <c r="K30" s="2"/>
      <c r="L30" s="2">
        <f>K30+'19'!L30</f>
        <v>0</v>
      </c>
      <c r="M30" s="2"/>
      <c r="N30" s="2">
        <f>M30+'19'!N30</f>
        <v>0</v>
      </c>
      <c r="O30" s="2"/>
      <c r="P30" s="2">
        <f>O30+'19'!P30</f>
        <v>0</v>
      </c>
      <c r="Q30" s="4">
        <f t="shared" si="4"/>
        <v>0</v>
      </c>
      <c r="R30" s="4">
        <f>Q30+'19'!R30</f>
        <v>589</v>
      </c>
      <c r="S30" s="27">
        <f t="shared" si="5"/>
        <v>0.51940035273368612</v>
      </c>
      <c r="T30" s="12"/>
      <c r="U30" s="12">
        <f>T30+'19'!U30</f>
        <v>68</v>
      </c>
      <c r="V30" s="12"/>
      <c r="W30" s="12">
        <f>V30+'19'!W30</f>
        <v>10</v>
      </c>
      <c r="X30" s="12"/>
      <c r="Y30" s="12">
        <f>X30+'19'!Y30</f>
        <v>0</v>
      </c>
      <c r="AB30" s="5">
        <v>20</v>
      </c>
      <c r="AC30" s="26" t="str">
        <f>'19'!AC30</f>
        <v>ميت أبـــــوشيخه</v>
      </c>
      <c r="AD30" s="28">
        <f>'19'!AI30</f>
        <v>40</v>
      </c>
      <c r="AE30" s="3"/>
      <c r="AF30" s="28">
        <f>AE30+'19'!AF30</f>
        <v>100</v>
      </c>
      <c r="AG30" s="4"/>
      <c r="AH30" s="28">
        <f>AG30+'19'!AH30</f>
        <v>60</v>
      </c>
      <c r="AI30" s="4">
        <f t="shared" si="6"/>
        <v>40</v>
      </c>
      <c r="AJ30" s="11" t="e">
        <f t="shared" si="0"/>
        <v>#DIV/0!</v>
      </c>
      <c r="AK30" s="53">
        <f t="shared" si="1"/>
        <v>9.8166666666666664</v>
      </c>
      <c r="AW30" s="26" t="str">
        <f>'19'!AW30</f>
        <v>ميت أبـــــوشيخه</v>
      </c>
      <c r="AX30" s="12">
        <f>'19'!AX30</f>
        <v>2</v>
      </c>
      <c r="AY30" s="12">
        <f>'19'!AY30</f>
        <v>560</v>
      </c>
      <c r="AZ30" s="12"/>
      <c r="BA30" s="12"/>
      <c r="BB30" s="12">
        <f>BA30+'19'!BB30</f>
        <v>459</v>
      </c>
      <c r="BC30" s="30">
        <f t="shared" si="2"/>
        <v>0.81964285714285712</v>
      </c>
      <c r="BD30" s="12">
        <f>'19'!BD30</f>
        <v>2</v>
      </c>
      <c r="BE30" s="12">
        <f>'19'!BE30</f>
        <v>107</v>
      </c>
      <c r="BF30" s="12"/>
      <c r="BG30" s="12"/>
      <c r="BH30" s="12">
        <f>BG30+'19'!BH30</f>
        <v>85</v>
      </c>
      <c r="BI30" s="30">
        <f t="shared" si="3"/>
        <v>0.79439252336448596</v>
      </c>
    </row>
    <row r="31" spans="1:61" ht="28.9" customHeight="1" x14ac:dyDescent="0.35">
      <c r="A31" s="5">
        <v>21</v>
      </c>
      <c r="B31" s="26" t="str">
        <f>'19'!B31</f>
        <v>طــــــــــــه شبرا</v>
      </c>
      <c r="C31" s="26">
        <f>'19'!C31</f>
        <v>5149</v>
      </c>
      <c r="D31" s="26"/>
      <c r="E31" s="12"/>
      <c r="F31" s="2">
        <f>E31+'19'!F31</f>
        <v>22</v>
      </c>
      <c r="G31" s="2"/>
      <c r="H31" s="2">
        <f>G31+'19'!H31</f>
        <v>967</v>
      </c>
      <c r="I31" s="2"/>
      <c r="J31" s="2">
        <f>I31+'19'!J31</f>
        <v>1288</v>
      </c>
      <c r="K31" s="2"/>
      <c r="L31" s="2">
        <f>K31+'19'!L31</f>
        <v>0</v>
      </c>
      <c r="M31" s="2"/>
      <c r="N31" s="2">
        <f>M31+'19'!N31</f>
        <v>0</v>
      </c>
      <c r="O31" s="2"/>
      <c r="P31" s="2">
        <f>O31+'19'!P31</f>
        <v>0</v>
      </c>
      <c r="Q31" s="4">
        <f t="shared" si="4"/>
        <v>0</v>
      </c>
      <c r="R31" s="4">
        <f>Q31+'19'!R31</f>
        <v>2277</v>
      </c>
      <c r="S31" s="27">
        <f t="shared" si="5"/>
        <v>0.442221790638959</v>
      </c>
      <c r="T31" s="12"/>
      <c r="U31" s="12">
        <f>T31+'19'!U31</f>
        <v>277</v>
      </c>
      <c r="V31" s="12"/>
      <c r="W31" s="12">
        <f>V31+'19'!W31</f>
        <v>3</v>
      </c>
      <c r="X31" s="12"/>
      <c r="Y31" s="12">
        <f>X31+'19'!Y31</f>
        <v>0</v>
      </c>
      <c r="AB31" s="5">
        <v>21</v>
      </c>
      <c r="AC31" s="26" t="str">
        <f>'19'!AC31</f>
        <v>طــــــــــــه شبرا</v>
      </c>
      <c r="AD31" s="28">
        <f>'19'!AI31</f>
        <v>216</v>
      </c>
      <c r="AE31" s="3"/>
      <c r="AF31" s="28">
        <f>AE31+'19'!AF31</f>
        <v>452</v>
      </c>
      <c r="AG31" s="4"/>
      <c r="AH31" s="28">
        <f>AG31+'19'!AH31</f>
        <v>236</v>
      </c>
      <c r="AI31" s="4">
        <f t="shared" si="6"/>
        <v>216</v>
      </c>
      <c r="AJ31" s="11" t="e">
        <f t="shared" si="0"/>
        <v>#DIV/0!</v>
      </c>
      <c r="AK31" s="53">
        <f t="shared" si="1"/>
        <v>9.648305084745763</v>
      </c>
      <c r="AW31" s="26" t="str">
        <f>'19'!AW31</f>
        <v>طــــــــــــه شبرا</v>
      </c>
      <c r="AX31" s="12">
        <f>'19'!AX31</f>
        <v>6</v>
      </c>
      <c r="AY31" s="12">
        <f>'19'!AY31</f>
        <v>2219</v>
      </c>
      <c r="AZ31" s="12"/>
      <c r="BA31" s="12"/>
      <c r="BB31" s="12">
        <f>BA31+'19'!BB31</f>
        <v>1367</v>
      </c>
      <c r="BC31" s="30">
        <f t="shared" si="2"/>
        <v>0.61604326273095988</v>
      </c>
      <c r="BD31" s="12">
        <f>'19'!BD31</f>
        <v>8</v>
      </c>
      <c r="BE31" s="12">
        <f>'19'!BE31</f>
        <v>748</v>
      </c>
      <c r="BF31" s="12"/>
      <c r="BG31" s="12"/>
      <c r="BH31" s="12">
        <f>BG31+'19'!BH31</f>
        <v>690</v>
      </c>
      <c r="BI31" s="30">
        <f t="shared" si="3"/>
        <v>0.92245989304812837</v>
      </c>
    </row>
    <row r="32" spans="1:61" ht="28.9" customHeight="1" x14ac:dyDescent="0.35">
      <c r="A32" s="5">
        <v>22</v>
      </c>
      <c r="B32" s="26" t="str">
        <f>'19'!B32</f>
        <v>أشـــــــــــــــــليم</v>
      </c>
      <c r="C32" s="26">
        <f>'19'!C32</f>
        <v>2638</v>
      </c>
      <c r="D32" s="26"/>
      <c r="E32" s="12"/>
      <c r="F32" s="2">
        <f>E32+'19'!F32</f>
        <v>19</v>
      </c>
      <c r="G32" s="2"/>
      <c r="H32" s="2">
        <f>G32+'19'!H32</f>
        <v>606</v>
      </c>
      <c r="I32" s="2"/>
      <c r="J32" s="2">
        <f>I32+'19'!J32</f>
        <v>1522</v>
      </c>
      <c r="K32" s="2"/>
      <c r="L32" s="2">
        <f>K32+'19'!L32</f>
        <v>0</v>
      </c>
      <c r="M32" s="2"/>
      <c r="N32" s="2">
        <f>M32+'19'!N32</f>
        <v>0</v>
      </c>
      <c r="O32" s="2"/>
      <c r="P32" s="2">
        <f>O32+'19'!P32</f>
        <v>0</v>
      </c>
      <c r="Q32" s="4">
        <f t="shared" si="4"/>
        <v>0</v>
      </c>
      <c r="R32" s="4">
        <f>Q32+'19'!R32</f>
        <v>2147</v>
      </c>
      <c r="S32" s="27">
        <f t="shared" si="5"/>
        <v>0.81387414708112205</v>
      </c>
      <c r="T32" s="12"/>
      <c r="U32" s="12">
        <f>T32+'19'!U32</f>
        <v>149</v>
      </c>
      <c r="V32" s="12"/>
      <c r="W32" s="12">
        <f>V32+'19'!W32</f>
        <v>119</v>
      </c>
      <c r="X32" s="12"/>
      <c r="Y32" s="12">
        <f>X32+'19'!Y32</f>
        <v>0</v>
      </c>
      <c r="AB32" s="5">
        <v>22</v>
      </c>
      <c r="AC32" s="26" t="str">
        <f>'19'!AC32</f>
        <v>أشـــــــــــــــــليم</v>
      </c>
      <c r="AD32" s="28">
        <f>'19'!AI32</f>
        <v>31</v>
      </c>
      <c r="AE32" s="3"/>
      <c r="AF32" s="28">
        <f>AE32+'19'!AF32</f>
        <v>252</v>
      </c>
      <c r="AG32" s="4"/>
      <c r="AH32" s="28">
        <f>AG32+'19'!AH32</f>
        <v>221</v>
      </c>
      <c r="AI32" s="4">
        <f t="shared" si="6"/>
        <v>31</v>
      </c>
      <c r="AJ32" s="11" t="e">
        <f t="shared" si="0"/>
        <v>#DIV/0!</v>
      </c>
      <c r="AK32" s="53">
        <f t="shared" si="1"/>
        <v>9.7149321266968318</v>
      </c>
      <c r="AW32" s="26" t="str">
        <f>'19'!AW32</f>
        <v>أشـــــــــــــــــليم</v>
      </c>
      <c r="AX32" s="12">
        <f>'19'!AX32</f>
        <v>8</v>
      </c>
      <c r="AY32" s="12">
        <f>'19'!AY32</f>
        <v>1819</v>
      </c>
      <c r="AZ32" s="12"/>
      <c r="BA32" s="12"/>
      <c r="BB32" s="12">
        <f>BA32+'19'!BB32</f>
        <v>1506</v>
      </c>
      <c r="BC32" s="30">
        <f t="shared" si="2"/>
        <v>0.82792743265530511</v>
      </c>
      <c r="BD32" s="12">
        <f>'19'!BD32</f>
        <v>7</v>
      </c>
      <c r="BE32" s="12">
        <f>'19'!BE32</f>
        <v>176</v>
      </c>
      <c r="BF32" s="12"/>
      <c r="BG32" s="12"/>
      <c r="BH32" s="12">
        <f>BG32+'19'!BH32</f>
        <v>531</v>
      </c>
      <c r="BI32" s="30">
        <f t="shared" si="3"/>
        <v>3.0170454545454546</v>
      </c>
    </row>
    <row r="33" spans="1:61" ht="28.9" customHeight="1" x14ac:dyDescent="0.35">
      <c r="A33" s="5">
        <v>23</v>
      </c>
      <c r="B33" s="26" t="str">
        <f>'19'!B33</f>
        <v>شبرا قبالــــــــــه</v>
      </c>
      <c r="C33" s="26">
        <f>'19'!C33</f>
        <v>2050</v>
      </c>
      <c r="D33" s="26"/>
      <c r="E33" s="12"/>
      <c r="F33" s="2">
        <f>E33+'19'!F33</f>
        <v>23</v>
      </c>
      <c r="G33" s="2"/>
      <c r="H33" s="2">
        <f>G33+'19'!H33</f>
        <v>644</v>
      </c>
      <c r="I33" s="2"/>
      <c r="J33" s="2">
        <f>I33+'19'!J33</f>
        <v>773</v>
      </c>
      <c r="K33" s="2"/>
      <c r="L33" s="2">
        <f>K33+'19'!L33</f>
        <v>0</v>
      </c>
      <c r="M33" s="2"/>
      <c r="N33" s="2">
        <f>M33+'19'!N33</f>
        <v>0</v>
      </c>
      <c r="O33" s="2"/>
      <c r="P33" s="2">
        <f>O33+'19'!P33</f>
        <v>0</v>
      </c>
      <c r="Q33" s="4">
        <f t="shared" si="4"/>
        <v>0</v>
      </c>
      <c r="R33" s="4">
        <f>Q33+'19'!R33</f>
        <v>1440</v>
      </c>
      <c r="S33" s="27">
        <f t="shared" si="5"/>
        <v>0.70243902439024386</v>
      </c>
      <c r="T33" s="12"/>
      <c r="U33" s="12">
        <f>T33+'19'!U33</f>
        <v>96</v>
      </c>
      <c r="V33" s="12"/>
      <c r="W33" s="12">
        <f>V33+'19'!W33</f>
        <v>64</v>
      </c>
      <c r="X33" s="12"/>
      <c r="Y33" s="12">
        <f>X33+'19'!Y33</f>
        <v>0</v>
      </c>
      <c r="AB33" s="5">
        <v>23</v>
      </c>
      <c r="AC33" s="26" t="str">
        <f>'19'!AC33</f>
        <v>شبرا قبالــــــــــه</v>
      </c>
      <c r="AD33" s="28">
        <f>'19'!AI33</f>
        <v>36</v>
      </c>
      <c r="AE33" s="3"/>
      <c r="AF33" s="28">
        <f>AE33+'19'!AF33</f>
        <v>180</v>
      </c>
      <c r="AG33" s="4"/>
      <c r="AH33" s="28">
        <f>AG33+'19'!AH33</f>
        <v>144</v>
      </c>
      <c r="AI33" s="4">
        <f t="shared" si="6"/>
        <v>36</v>
      </c>
      <c r="AJ33" s="11" t="e">
        <f t="shared" si="0"/>
        <v>#DIV/0!</v>
      </c>
      <c r="AK33" s="53">
        <f t="shared" si="1"/>
        <v>10</v>
      </c>
      <c r="AW33" s="26" t="str">
        <f>'19'!AW33</f>
        <v>شبرا قبالــــــــــه</v>
      </c>
      <c r="AX33" s="12">
        <f>'19'!AX33</f>
        <v>1</v>
      </c>
      <c r="AY33" s="12">
        <f>'19'!AY33</f>
        <v>918</v>
      </c>
      <c r="AZ33" s="12"/>
      <c r="BA33" s="12"/>
      <c r="BB33" s="12">
        <f>BA33+'19'!BB33</f>
        <v>780</v>
      </c>
      <c r="BC33" s="30">
        <f t="shared" si="2"/>
        <v>0.84967320261437906</v>
      </c>
      <c r="BD33" s="12">
        <f>'19'!BD33</f>
        <v>5</v>
      </c>
      <c r="BE33" s="12">
        <f>'19'!BE33</f>
        <v>375</v>
      </c>
      <c r="BF33" s="12"/>
      <c r="BG33" s="12"/>
      <c r="BH33" s="12">
        <f>BG33+'19'!BH33</f>
        <v>430</v>
      </c>
      <c r="BI33" s="30">
        <f t="shared" si="3"/>
        <v>1.1466666666666667</v>
      </c>
    </row>
    <row r="34" spans="1:61" ht="28.9" customHeight="1" x14ac:dyDescent="0.35">
      <c r="A34" s="5">
        <v>24</v>
      </c>
      <c r="B34" s="26" t="str">
        <f>'19'!B34</f>
        <v>عرب الرمـــــــل</v>
      </c>
      <c r="C34" s="26">
        <f>'19'!C34</f>
        <v>5755</v>
      </c>
      <c r="D34" s="26"/>
      <c r="E34" s="12"/>
      <c r="F34" s="2">
        <f>E34+'19'!F34</f>
        <v>22</v>
      </c>
      <c r="G34" s="2"/>
      <c r="H34" s="2">
        <f>G34+'19'!H34</f>
        <v>1011</v>
      </c>
      <c r="I34" s="2"/>
      <c r="J34" s="2">
        <f>I34+'19'!J34</f>
        <v>1364</v>
      </c>
      <c r="K34" s="2"/>
      <c r="L34" s="2">
        <f>K34+'19'!L34</f>
        <v>0</v>
      </c>
      <c r="M34" s="2"/>
      <c r="N34" s="2">
        <f>M34+'19'!N34</f>
        <v>0</v>
      </c>
      <c r="O34" s="2"/>
      <c r="P34" s="2">
        <f>O34+'19'!P34</f>
        <v>0</v>
      </c>
      <c r="Q34" s="4">
        <f t="shared" si="4"/>
        <v>0</v>
      </c>
      <c r="R34" s="4">
        <f>Q34+'19'!R34</f>
        <v>2397</v>
      </c>
      <c r="S34" s="27">
        <f t="shared" si="5"/>
        <v>0.41650738488271066</v>
      </c>
      <c r="T34" s="12"/>
      <c r="U34" s="12">
        <f>T34+'19'!U34</f>
        <v>562</v>
      </c>
      <c r="V34" s="12"/>
      <c r="W34" s="12">
        <f>V34+'19'!W34</f>
        <v>41</v>
      </c>
      <c r="X34" s="12"/>
      <c r="Y34" s="12">
        <f>X34+'19'!Y34</f>
        <v>0</v>
      </c>
      <c r="AB34" s="5">
        <v>24</v>
      </c>
      <c r="AC34" s="26" t="str">
        <f>'19'!AC34</f>
        <v>عرب الرمـــــــل</v>
      </c>
      <c r="AD34" s="28">
        <f>'19'!AI34</f>
        <v>263</v>
      </c>
      <c r="AE34" s="3"/>
      <c r="AF34" s="28">
        <f>AE34+'19'!AF34</f>
        <v>505</v>
      </c>
      <c r="AG34" s="4"/>
      <c r="AH34" s="28">
        <f>AG34+'19'!AH34</f>
        <v>242</v>
      </c>
      <c r="AI34" s="4">
        <f t="shared" si="6"/>
        <v>263</v>
      </c>
      <c r="AJ34" s="11" t="e">
        <f t="shared" si="0"/>
        <v>#DIV/0!</v>
      </c>
      <c r="AK34" s="53">
        <f t="shared" si="1"/>
        <v>9.9049586776859506</v>
      </c>
      <c r="AW34" s="26" t="str">
        <f>'19'!AW34</f>
        <v>عرب الرمـــــــل</v>
      </c>
      <c r="AX34" s="12">
        <f>'19'!AX34</f>
        <v>6</v>
      </c>
      <c r="AY34" s="12">
        <f>'19'!AY34</f>
        <v>2210</v>
      </c>
      <c r="AZ34" s="12"/>
      <c r="BA34" s="12"/>
      <c r="BB34" s="12">
        <f>BA34+'19'!BB34</f>
        <v>1456</v>
      </c>
      <c r="BC34" s="30">
        <f t="shared" si="2"/>
        <v>0.6588235294117647</v>
      </c>
      <c r="BD34" s="12">
        <f>'19'!BD34</f>
        <v>9</v>
      </c>
      <c r="BE34" s="12">
        <f>'19'!BE34</f>
        <v>932</v>
      </c>
      <c r="BF34" s="12"/>
      <c r="BG34" s="12"/>
      <c r="BH34" s="12">
        <f>BG34+'19'!BH34</f>
        <v>941</v>
      </c>
      <c r="BI34" s="30">
        <f t="shared" si="3"/>
        <v>1.0096566523605151</v>
      </c>
    </row>
    <row r="35" spans="1:61" ht="28.9" customHeight="1" x14ac:dyDescent="0.35">
      <c r="A35" s="5">
        <v>25</v>
      </c>
      <c r="B35" s="26" t="str">
        <f>'19'!B35</f>
        <v>كفر ميت سراج</v>
      </c>
      <c r="C35" s="26">
        <f>'19'!C35</f>
        <v>1840</v>
      </c>
      <c r="D35" s="26"/>
      <c r="E35" s="12"/>
      <c r="F35" s="2">
        <f>E35+'19'!F35</f>
        <v>8</v>
      </c>
      <c r="G35" s="2"/>
      <c r="H35" s="2">
        <f>G35+'19'!H35</f>
        <v>386</v>
      </c>
      <c r="I35" s="2"/>
      <c r="J35" s="2">
        <f>I35+'19'!J35</f>
        <v>773</v>
      </c>
      <c r="K35" s="2"/>
      <c r="L35" s="2">
        <f>K35+'19'!L35</f>
        <v>0</v>
      </c>
      <c r="M35" s="2"/>
      <c r="N35" s="2">
        <f>M35+'19'!N35</f>
        <v>0</v>
      </c>
      <c r="O35" s="2"/>
      <c r="P35" s="2">
        <f>O35+'19'!P35</f>
        <v>0</v>
      </c>
      <c r="Q35" s="4">
        <f t="shared" si="4"/>
        <v>0</v>
      </c>
      <c r="R35" s="4">
        <f>Q35+'19'!R35</f>
        <v>1167</v>
      </c>
      <c r="S35" s="27">
        <f t="shared" si="5"/>
        <v>0.63423913043478264</v>
      </c>
      <c r="T35" s="12"/>
      <c r="U35" s="12">
        <f>T35+'19'!U35</f>
        <v>174</v>
      </c>
      <c r="V35" s="12"/>
      <c r="W35" s="12">
        <f>V35+'19'!W35</f>
        <v>11</v>
      </c>
      <c r="X35" s="12"/>
      <c r="Y35" s="12">
        <f>X35+'19'!Y35</f>
        <v>0</v>
      </c>
      <c r="AB35" s="5">
        <v>25</v>
      </c>
      <c r="AC35" s="26" t="str">
        <f>'19'!AC35</f>
        <v>كفر ميت سراج</v>
      </c>
      <c r="AD35" s="28">
        <f>'19'!AI35</f>
        <v>41</v>
      </c>
      <c r="AE35" s="3"/>
      <c r="AF35" s="28">
        <f>AE35+'19'!AF35</f>
        <v>162</v>
      </c>
      <c r="AG35" s="4"/>
      <c r="AH35" s="28">
        <f>AG35+'19'!AH35</f>
        <v>121</v>
      </c>
      <c r="AI35" s="4">
        <f t="shared" si="6"/>
        <v>41</v>
      </c>
      <c r="AJ35" s="11" t="e">
        <f t="shared" si="0"/>
        <v>#DIV/0!</v>
      </c>
      <c r="AK35" s="53">
        <f t="shared" si="1"/>
        <v>9.6446280991735538</v>
      </c>
      <c r="AW35" s="26" t="str">
        <f>'19'!AW35</f>
        <v>كفر ميت سراج</v>
      </c>
      <c r="AX35" s="12">
        <f>'19'!AX35</f>
        <v>3</v>
      </c>
      <c r="AY35" s="12">
        <f>'19'!AY35</f>
        <v>1011</v>
      </c>
      <c r="AZ35" s="12"/>
      <c r="BA35" s="12"/>
      <c r="BB35" s="12">
        <f>BA35+'19'!BB35</f>
        <v>773</v>
      </c>
      <c r="BC35" s="30">
        <f t="shared" si="2"/>
        <v>0.76458951533135511</v>
      </c>
      <c r="BD35" s="12">
        <f>'19'!BD35</f>
        <v>4</v>
      </c>
      <c r="BE35" s="12">
        <f>'19'!BE35</f>
        <v>413</v>
      </c>
      <c r="BF35" s="12"/>
      <c r="BG35" s="12"/>
      <c r="BH35" s="12">
        <f>BG35+'19'!BH35</f>
        <v>232</v>
      </c>
      <c r="BI35" s="30">
        <f t="shared" si="3"/>
        <v>0.56174334140435833</v>
      </c>
    </row>
    <row r="36" spans="1:61" ht="28.9" customHeight="1" x14ac:dyDescent="0.35">
      <c r="A36" s="5">
        <v>26</v>
      </c>
      <c r="B36" s="26" t="str">
        <f>'19'!B36</f>
        <v>كفر أبشيش</v>
      </c>
      <c r="C36" s="26">
        <f>'19'!C36</f>
        <v>1345</v>
      </c>
      <c r="D36" s="26"/>
      <c r="E36" s="12"/>
      <c r="F36" s="2">
        <f>E36+'19'!F36</f>
        <v>14</v>
      </c>
      <c r="G36" s="2"/>
      <c r="H36" s="2">
        <f>G36+'19'!H36</f>
        <v>207</v>
      </c>
      <c r="I36" s="2"/>
      <c r="J36" s="2">
        <f>I36+'19'!J36</f>
        <v>725</v>
      </c>
      <c r="K36" s="2"/>
      <c r="L36" s="2">
        <f>K36+'19'!L36</f>
        <v>0</v>
      </c>
      <c r="M36" s="2"/>
      <c r="N36" s="2">
        <f>M36+'19'!N36</f>
        <v>0</v>
      </c>
      <c r="O36" s="2"/>
      <c r="P36" s="2">
        <f>O36+'19'!P36</f>
        <v>0</v>
      </c>
      <c r="Q36" s="4">
        <f t="shared" si="4"/>
        <v>0</v>
      </c>
      <c r="R36" s="4">
        <f>Q36+'19'!R36</f>
        <v>946</v>
      </c>
      <c r="S36" s="27">
        <f t="shared" si="5"/>
        <v>0.70334572490706315</v>
      </c>
      <c r="T36" s="12"/>
      <c r="U36" s="12">
        <f>T36+'19'!U36</f>
        <v>113</v>
      </c>
      <c r="V36" s="12"/>
      <c r="W36" s="12">
        <f>V36+'19'!W36</f>
        <v>4</v>
      </c>
      <c r="X36" s="12"/>
      <c r="Y36" s="12">
        <f>X36+'19'!Y36</f>
        <v>0</v>
      </c>
      <c r="AB36" s="5">
        <v>26</v>
      </c>
      <c r="AC36" s="26" t="str">
        <f>'19'!AC36</f>
        <v>كفر أبشيش</v>
      </c>
      <c r="AD36" s="28">
        <f>'19'!AI36</f>
        <v>24</v>
      </c>
      <c r="AE36" s="3"/>
      <c r="AF36" s="28">
        <f>AE36+'19'!AF36</f>
        <v>119</v>
      </c>
      <c r="AG36" s="4"/>
      <c r="AH36" s="28">
        <f>AG36+'19'!AH36</f>
        <v>95</v>
      </c>
      <c r="AI36" s="4">
        <f t="shared" si="6"/>
        <v>24</v>
      </c>
      <c r="AJ36" s="11" t="e">
        <f t="shared" si="0"/>
        <v>#DIV/0!</v>
      </c>
      <c r="AK36" s="53">
        <f t="shared" si="1"/>
        <v>9.9578947368421051</v>
      </c>
      <c r="AW36" s="26" t="str">
        <f>'19'!AW36</f>
        <v>كفر أبشيش</v>
      </c>
      <c r="AX36" s="12">
        <f>'19'!AX36</f>
        <v>1</v>
      </c>
      <c r="AY36" s="12">
        <f>'19'!AY36</f>
        <v>860</v>
      </c>
      <c r="AZ36" s="12"/>
      <c r="BA36" s="12"/>
      <c r="BB36" s="12">
        <f>BA36+'19'!BB36</f>
        <v>730</v>
      </c>
      <c r="BC36" s="30">
        <f t="shared" si="2"/>
        <v>0.84883720930232553</v>
      </c>
      <c r="BD36" s="12">
        <f>'19'!BD36</f>
        <v>4</v>
      </c>
      <c r="BE36" s="12">
        <f>'19'!BE36</f>
        <v>194</v>
      </c>
      <c r="BF36" s="12"/>
      <c r="BG36" s="12"/>
      <c r="BH36" s="12">
        <f>BG36+'19'!BH36</f>
        <v>0</v>
      </c>
      <c r="BI36" s="30">
        <f t="shared" si="3"/>
        <v>0</v>
      </c>
    </row>
    <row r="37" spans="1:61" ht="28.9" customHeight="1" x14ac:dyDescent="0.35">
      <c r="A37" s="5">
        <v>27</v>
      </c>
      <c r="B37" s="26" t="str">
        <f>'19'!B37</f>
        <v>كفر ميت العبسى</v>
      </c>
      <c r="C37" s="26">
        <f>'19'!C37</f>
        <v>1180</v>
      </c>
      <c r="D37" s="26"/>
      <c r="E37" s="12"/>
      <c r="F37" s="2">
        <f>E37+'19'!F37</f>
        <v>12</v>
      </c>
      <c r="G37" s="2"/>
      <c r="H37" s="2">
        <f>G37+'19'!H37</f>
        <v>248</v>
      </c>
      <c r="I37" s="2"/>
      <c r="J37" s="2">
        <f>I37+'19'!J37</f>
        <v>443</v>
      </c>
      <c r="K37" s="2"/>
      <c r="L37" s="2">
        <f>K37+'19'!L37</f>
        <v>0</v>
      </c>
      <c r="M37" s="2"/>
      <c r="N37" s="2">
        <f>M37+'19'!N37</f>
        <v>0</v>
      </c>
      <c r="O37" s="2"/>
      <c r="P37" s="2">
        <f>O37+'19'!P37</f>
        <v>0</v>
      </c>
      <c r="Q37" s="4">
        <f t="shared" si="4"/>
        <v>0</v>
      </c>
      <c r="R37" s="4">
        <f>Q37+'19'!R37</f>
        <v>703</v>
      </c>
      <c r="S37" s="27">
        <f t="shared" si="5"/>
        <v>0.59576271186440677</v>
      </c>
      <c r="T37" s="12"/>
      <c r="U37" s="12">
        <f>T37+'19'!U37</f>
        <v>53</v>
      </c>
      <c r="V37" s="12"/>
      <c r="W37" s="12">
        <f>V37+'19'!W37</f>
        <v>11</v>
      </c>
      <c r="X37" s="12"/>
      <c r="Y37" s="12">
        <f>X37+'19'!Y37</f>
        <v>0</v>
      </c>
      <c r="AB37" s="5">
        <v>27</v>
      </c>
      <c r="AC37" s="26" t="str">
        <f>'19'!AC37</f>
        <v>كفر ميت العبسى</v>
      </c>
      <c r="AD37" s="28">
        <f>'19'!AI37</f>
        <v>33</v>
      </c>
      <c r="AE37" s="3"/>
      <c r="AF37" s="28">
        <f>AE37+'19'!AF37</f>
        <v>104</v>
      </c>
      <c r="AG37" s="4"/>
      <c r="AH37" s="28">
        <f>AG37+'19'!AH37</f>
        <v>71</v>
      </c>
      <c r="AI37" s="4">
        <f t="shared" si="6"/>
        <v>33</v>
      </c>
      <c r="AJ37" s="11" t="e">
        <f t="shared" si="0"/>
        <v>#DIV/0!</v>
      </c>
      <c r="AK37" s="53">
        <f t="shared" si="1"/>
        <v>9.9014084507042259</v>
      </c>
      <c r="AW37" s="26" t="str">
        <f>'19'!AW37</f>
        <v>كفر ميت العبسى</v>
      </c>
      <c r="AX37" s="12">
        <f>'19'!AX37</f>
        <v>2</v>
      </c>
      <c r="AY37" s="12">
        <f>'19'!AY37</f>
        <v>494</v>
      </c>
      <c r="AZ37" s="12"/>
      <c r="BA37" s="12"/>
      <c r="BB37" s="12">
        <f>BA37+'19'!BB37</f>
        <v>418</v>
      </c>
      <c r="BC37" s="30">
        <f t="shared" si="2"/>
        <v>0.84615384615384615</v>
      </c>
      <c r="BD37" s="12">
        <f>'19'!BD37</f>
        <v>4</v>
      </c>
      <c r="BE37" s="12">
        <f>'19'!BE37</f>
        <v>114</v>
      </c>
      <c r="BF37" s="12"/>
      <c r="BG37" s="12"/>
      <c r="BH37" s="12">
        <f>BG37+'19'!BH37</f>
        <v>73</v>
      </c>
      <c r="BI37" s="30">
        <f t="shared" si="3"/>
        <v>0.64035087719298245</v>
      </c>
    </row>
    <row r="38" spans="1:61" ht="28.9" customHeight="1" x14ac:dyDescent="0.35">
      <c r="A38" s="5">
        <v>28</v>
      </c>
      <c r="B38" s="26" t="str">
        <f>'19'!B38</f>
        <v>كفر وهــــــــــب</v>
      </c>
      <c r="C38" s="26">
        <f>'19'!C38</f>
        <v>1854.9999999999998</v>
      </c>
      <c r="D38" s="26"/>
      <c r="E38" s="12"/>
      <c r="F38" s="2">
        <f>E38+'19'!F38</f>
        <v>7</v>
      </c>
      <c r="G38" s="2"/>
      <c r="H38" s="2">
        <f>G38+'19'!H38</f>
        <v>265</v>
      </c>
      <c r="I38" s="2"/>
      <c r="J38" s="2">
        <f>I38+'19'!J38</f>
        <v>618</v>
      </c>
      <c r="K38" s="2"/>
      <c r="L38" s="2">
        <f>K38+'19'!L38</f>
        <v>0</v>
      </c>
      <c r="M38" s="2"/>
      <c r="N38" s="2">
        <f>M38+'19'!N38</f>
        <v>0</v>
      </c>
      <c r="O38" s="2"/>
      <c r="P38" s="2">
        <f>O38+'19'!P38</f>
        <v>0</v>
      </c>
      <c r="Q38" s="4">
        <f t="shared" si="4"/>
        <v>0</v>
      </c>
      <c r="R38" s="4">
        <f>Q38+'19'!R38</f>
        <v>890</v>
      </c>
      <c r="S38" s="27">
        <f t="shared" si="5"/>
        <v>0.47978436657681944</v>
      </c>
      <c r="T38" s="12"/>
      <c r="U38" s="12">
        <f>T38+'19'!U38</f>
        <v>123</v>
      </c>
      <c r="V38" s="12"/>
      <c r="W38" s="12">
        <f>V38+'19'!W38</f>
        <v>7</v>
      </c>
      <c r="X38" s="12"/>
      <c r="Y38" s="12">
        <f>X38+'19'!Y38</f>
        <v>0</v>
      </c>
      <c r="AB38" s="5">
        <v>28</v>
      </c>
      <c r="AC38" s="26" t="str">
        <f>'19'!AC38</f>
        <v>كفر وهــــــــــب</v>
      </c>
      <c r="AD38" s="28">
        <f>'19'!AI38</f>
        <v>72</v>
      </c>
      <c r="AE38" s="3"/>
      <c r="AF38" s="28">
        <f>AE38+'19'!AF38</f>
        <v>163</v>
      </c>
      <c r="AG38" s="4"/>
      <c r="AH38" s="28">
        <f>AG38+'19'!AH38</f>
        <v>91</v>
      </c>
      <c r="AI38" s="4">
        <f t="shared" si="6"/>
        <v>72</v>
      </c>
      <c r="AJ38" s="11" t="e">
        <f t="shared" si="0"/>
        <v>#DIV/0!</v>
      </c>
      <c r="AK38" s="53">
        <f t="shared" si="1"/>
        <v>9.780219780219781</v>
      </c>
      <c r="AW38" s="26" t="str">
        <f>'19'!AW38</f>
        <v>كفر وهــــــــــب</v>
      </c>
      <c r="AX38" s="12">
        <f>'19'!AX38</f>
        <v>2</v>
      </c>
      <c r="AY38" s="12">
        <f>'19'!AY38</f>
        <v>793</v>
      </c>
      <c r="AZ38" s="12"/>
      <c r="BA38" s="12"/>
      <c r="BB38" s="12">
        <f>BA38+'19'!BB38</f>
        <v>623</v>
      </c>
      <c r="BC38" s="30">
        <f t="shared" si="2"/>
        <v>0.78562421185372</v>
      </c>
      <c r="BD38" s="12">
        <f>'19'!BD38</f>
        <v>3</v>
      </c>
      <c r="BE38" s="12">
        <f>'19'!BE38</f>
        <v>180</v>
      </c>
      <c r="BF38" s="12"/>
      <c r="BG38" s="12"/>
      <c r="BH38" s="12">
        <f>BG38+'19'!BH38</f>
        <v>160</v>
      </c>
      <c r="BI38" s="30">
        <f t="shared" si="3"/>
        <v>0.88888888888888884</v>
      </c>
    </row>
    <row r="39" spans="1:61" ht="28.9" customHeight="1" x14ac:dyDescent="0.35">
      <c r="A39" s="5">
        <v>29</v>
      </c>
      <c r="B39" s="26" t="str">
        <f>'19'!B39</f>
        <v>دمــــــــــــــهوج</v>
      </c>
      <c r="C39" s="26">
        <f>'19'!C39</f>
        <v>2738</v>
      </c>
      <c r="D39" s="26"/>
      <c r="E39" s="12"/>
      <c r="F39" s="2">
        <f>E39+'19'!F39</f>
        <v>11</v>
      </c>
      <c r="G39" s="2"/>
      <c r="H39" s="2">
        <f>G39+'19'!H39</f>
        <v>437</v>
      </c>
      <c r="I39" s="2"/>
      <c r="J39" s="2">
        <f>I39+'19'!J39</f>
        <v>832</v>
      </c>
      <c r="K39" s="2"/>
      <c r="L39" s="2">
        <f>K39+'19'!L39</f>
        <v>0</v>
      </c>
      <c r="M39" s="2"/>
      <c r="N39" s="2">
        <f>M39+'19'!N39</f>
        <v>0</v>
      </c>
      <c r="O39" s="2"/>
      <c r="P39" s="2">
        <f>O39+'19'!P39</f>
        <v>0</v>
      </c>
      <c r="Q39" s="4">
        <f t="shared" si="4"/>
        <v>0</v>
      </c>
      <c r="R39" s="4">
        <f>Q39+'19'!R39</f>
        <v>1280</v>
      </c>
      <c r="S39" s="27">
        <f t="shared" si="5"/>
        <v>0.46749452154857563</v>
      </c>
      <c r="T39" s="12"/>
      <c r="U39" s="12">
        <f>T39+'19'!U39</f>
        <v>158</v>
      </c>
      <c r="V39" s="12"/>
      <c r="W39" s="12">
        <f>V39+'19'!W39</f>
        <v>7</v>
      </c>
      <c r="X39" s="12"/>
      <c r="Y39" s="12">
        <f>X39+'19'!Y39</f>
        <v>0</v>
      </c>
      <c r="AB39" s="5">
        <v>29</v>
      </c>
      <c r="AC39" s="26" t="str">
        <f>'19'!AC39</f>
        <v>دمــــــــــــــهوج</v>
      </c>
      <c r="AD39" s="28">
        <f>'19'!AI39</f>
        <v>109</v>
      </c>
      <c r="AE39" s="3"/>
      <c r="AF39" s="28">
        <f>AE39+'19'!AF39</f>
        <v>240</v>
      </c>
      <c r="AG39" s="4"/>
      <c r="AH39" s="28">
        <f>AG39+'19'!AH39</f>
        <v>131</v>
      </c>
      <c r="AI39" s="4">
        <f t="shared" si="6"/>
        <v>109</v>
      </c>
      <c r="AJ39" s="11" t="e">
        <f t="shared" si="0"/>
        <v>#DIV/0!</v>
      </c>
      <c r="AK39" s="53">
        <f t="shared" si="1"/>
        <v>9.770992366412214</v>
      </c>
      <c r="AW39" s="26" t="str">
        <f>'19'!AW39</f>
        <v>دمــــــــــــــهوج</v>
      </c>
      <c r="AX39" s="12">
        <f>'19'!AX39</f>
        <v>2</v>
      </c>
      <c r="AY39" s="12">
        <f>'19'!AY39</f>
        <v>1086</v>
      </c>
      <c r="AZ39" s="12"/>
      <c r="BA39" s="12"/>
      <c r="BB39" s="12">
        <f>BA39+'19'!BB39</f>
        <v>834</v>
      </c>
      <c r="BC39" s="30">
        <f t="shared" si="2"/>
        <v>0.76795580110497241</v>
      </c>
      <c r="BD39" s="12">
        <f>'19'!BD39</f>
        <v>10</v>
      </c>
      <c r="BE39" s="12">
        <f>'19'!BE39</f>
        <v>455</v>
      </c>
      <c r="BF39" s="12"/>
      <c r="BG39" s="12"/>
      <c r="BH39" s="12">
        <f>BG39+'19'!BH39</f>
        <v>439</v>
      </c>
      <c r="BI39" s="30">
        <f t="shared" si="3"/>
        <v>0.96483516483516485</v>
      </c>
    </row>
    <row r="40" spans="1:61" ht="28.9" customHeight="1" x14ac:dyDescent="0.35">
      <c r="A40" s="5">
        <v>30</v>
      </c>
      <c r="B40" s="26" t="str">
        <f>'19'!B40</f>
        <v>كفر زين الدين</v>
      </c>
      <c r="C40" s="26">
        <f>'19'!C40</f>
        <v>819</v>
      </c>
      <c r="D40" s="26"/>
      <c r="E40" s="12"/>
      <c r="F40" s="2">
        <f>E40+'19'!F40</f>
        <v>9</v>
      </c>
      <c r="G40" s="2"/>
      <c r="H40" s="2">
        <f>G40+'19'!H40</f>
        <v>266</v>
      </c>
      <c r="I40" s="2"/>
      <c r="J40" s="2">
        <f>I40+'19'!J40</f>
        <v>430</v>
      </c>
      <c r="K40" s="2"/>
      <c r="L40" s="2">
        <f>K40+'19'!L40</f>
        <v>0</v>
      </c>
      <c r="M40" s="2"/>
      <c r="N40" s="2">
        <f>M40+'19'!N40</f>
        <v>0</v>
      </c>
      <c r="O40" s="2"/>
      <c r="P40" s="2">
        <f>O40+'19'!P40</f>
        <v>0</v>
      </c>
      <c r="Q40" s="4">
        <f t="shared" si="4"/>
        <v>0</v>
      </c>
      <c r="R40" s="4">
        <f>Q40+'19'!R40</f>
        <v>705</v>
      </c>
      <c r="S40" s="27">
        <f t="shared" si="5"/>
        <v>0.86080586080586086</v>
      </c>
      <c r="T40" s="12"/>
      <c r="U40" s="12">
        <f>T40+'19'!U40</f>
        <v>76</v>
      </c>
      <c r="V40" s="12"/>
      <c r="W40" s="12">
        <f>V40+'19'!W40</f>
        <v>26</v>
      </c>
      <c r="X40" s="12"/>
      <c r="Y40" s="12">
        <f>X40+'19'!Y40</f>
        <v>0</v>
      </c>
      <c r="AB40" s="5">
        <v>30</v>
      </c>
      <c r="AC40" s="26" t="str">
        <f>'19'!AC40</f>
        <v>كفر زين الدين</v>
      </c>
      <c r="AD40" s="28">
        <f>'19'!AI40</f>
        <v>9</v>
      </c>
      <c r="AE40" s="3"/>
      <c r="AF40" s="28">
        <f>AE40+'19'!AF40</f>
        <v>80</v>
      </c>
      <c r="AG40" s="4"/>
      <c r="AH40" s="28">
        <f>AG40+'19'!AH40</f>
        <v>71</v>
      </c>
      <c r="AI40" s="4">
        <f t="shared" si="6"/>
        <v>9</v>
      </c>
      <c r="AJ40" s="11" t="e">
        <f t="shared" si="0"/>
        <v>#DIV/0!</v>
      </c>
      <c r="AK40" s="53">
        <f t="shared" si="1"/>
        <v>9.929577464788732</v>
      </c>
      <c r="AW40" s="26" t="str">
        <f>'19'!AW40</f>
        <v>كفر زين الدين</v>
      </c>
      <c r="AX40" s="12">
        <f>'19'!AX40</f>
        <v>1</v>
      </c>
      <c r="AY40" s="12">
        <f>'19'!AY40</f>
        <v>563</v>
      </c>
      <c r="AZ40" s="12"/>
      <c r="BA40" s="12"/>
      <c r="BB40" s="12">
        <f>BA40+'19'!BB40</f>
        <v>364</v>
      </c>
      <c r="BC40" s="30">
        <f t="shared" si="2"/>
        <v>0.64653641207815271</v>
      </c>
      <c r="BD40" s="12">
        <f>'19'!BD40</f>
        <v>2</v>
      </c>
      <c r="BE40" s="12">
        <f>'19'!BE40</f>
        <v>87</v>
      </c>
      <c r="BF40" s="12"/>
      <c r="BG40" s="12"/>
      <c r="BH40" s="12">
        <f>BG40+'19'!BH40</f>
        <v>166</v>
      </c>
      <c r="BI40" s="30">
        <f t="shared" si="3"/>
        <v>1.9080459770114941</v>
      </c>
    </row>
    <row r="41" spans="1:61" ht="28.9" customHeight="1" x14ac:dyDescent="0.35">
      <c r="A41" s="5">
        <v>31</v>
      </c>
      <c r="B41" s="26" t="str">
        <f>'19'!B41</f>
        <v>عزبــة أبوالنصر</v>
      </c>
      <c r="C41" s="26">
        <f>'19'!C41</f>
        <v>410</v>
      </c>
      <c r="D41" s="26"/>
      <c r="E41" s="12"/>
      <c r="F41" s="2">
        <f>E41+'19'!F41</f>
        <v>10</v>
      </c>
      <c r="G41" s="2"/>
      <c r="H41" s="2">
        <f>G41+'19'!H41</f>
        <v>229</v>
      </c>
      <c r="I41" s="2"/>
      <c r="J41" s="2">
        <f>I41+'19'!J41</f>
        <v>120</v>
      </c>
      <c r="K41" s="2"/>
      <c r="L41" s="2">
        <f>K41+'19'!L41</f>
        <v>0</v>
      </c>
      <c r="M41" s="2"/>
      <c r="N41" s="2">
        <f>M41+'19'!N41</f>
        <v>0</v>
      </c>
      <c r="O41" s="2"/>
      <c r="P41" s="2">
        <f>O41+'19'!P41</f>
        <v>0</v>
      </c>
      <c r="Q41" s="4">
        <f t="shared" si="4"/>
        <v>0</v>
      </c>
      <c r="R41" s="4">
        <f>Q41+'19'!R41</f>
        <v>359</v>
      </c>
      <c r="S41" s="27">
        <f t="shared" si="5"/>
        <v>0.87560975609756098</v>
      </c>
      <c r="T41" s="12"/>
      <c r="U41" s="12">
        <f>T41+'19'!U41</f>
        <v>0</v>
      </c>
      <c r="V41" s="12"/>
      <c r="W41" s="12">
        <f>V41+'19'!W41</f>
        <v>0</v>
      </c>
      <c r="X41" s="12"/>
      <c r="Y41" s="12">
        <f>X41+'19'!Y41</f>
        <v>0</v>
      </c>
      <c r="AB41" s="5">
        <v>31</v>
      </c>
      <c r="AC41" s="26" t="str">
        <f>'19'!AC41</f>
        <v>عزبــة أبوالنصر</v>
      </c>
      <c r="AD41" s="28">
        <f>'19'!AI41</f>
        <v>4</v>
      </c>
      <c r="AE41" s="3"/>
      <c r="AF41" s="28">
        <f>AE41+'19'!AF41</f>
        <v>41</v>
      </c>
      <c r="AG41" s="4"/>
      <c r="AH41" s="28">
        <f>AG41+'19'!AH41</f>
        <v>37</v>
      </c>
      <c r="AI41" s="4">
        <f t="shared" si="6"/>
        <v>4</v>
      </c>
      <c r="AJ41" s="11" t="e">
        <f t="shared" si="0"/>
        <v>#DIV/0!</v>
      </c>
      <c r="AK41" s="53">
        <f t="shared" si="1"/>
        <v>9.7027027027027035</v>
      </c>
      <c r="AW41" s="26" t="str">
        <f>'19'!AW41</f>
        <v>عزبــة أبوالنصر</v>
      </c>
      <c r="AX41" s="12">
        <f>'19'!AX41</f>
        <v>2</v>
      </c>
      <c r="AY41" s="12">
        <f>'19'!AY41</f>
        <v>70</v>
      </c>
      <c r="AZ41" s="12"/>
      <c r="BA41" s="12"/>
      <c r="BB41" s="12">
        <f>BA41+'19'!BB41</f>
        <v>65</v>
      </c>
      <c r="BC41" s="30">
        <f t="shared" si="2"/>
        <v>0.9285714285714286</v>
      </c>
      <c r="BD41" s="12">
        <f>'19'!BD41</f>
        <v>3</v>
      </c>
      <c r="BE41" s="12">
        <f>'19'!BE41</f>
        <v>75</v>
      </c>
      <c r="BF41" s="12"/>
      <c r="BG41" s="12"/>
      <c r="BH41" s="12">
        <f>BG41+'19'!BH41</f>
        <v>36</v>
      </c>
      <c r="BI41" s="30">
        <f t="shared" si="3"/>
        <v>0.48</v>
      </c>
    </row>
    <row r="42" spans="1:61" ht="28.9" customHeight="1" x14ac:dyDescent="0.35">
      <c r="A42" s="5">
        <v>32</v>
      </c>
      <c r="B42" s="26" t="str">
        <f>'19'!B42</f>
        <v>شمنديــــــــــــــل</v>
      </c>
      <c r="C42" s="26">
        <f>'19'!C42</f>
        <v>880</v>
      </c>
      <c r="D42" s="26"/>
      <c r="E42" s="12"/>
      <c r="F42" s="2">
        <f>E42+'19'!F42</f>
        <v>7</v>
      </c>
      <c r="G42" s="2"/>
      <c r="H42" s="2">
        <f>G42+'19'!H42</f>
        <v>219</v>
      </c>
      <c r="I42" s="2"/>
      <c r="J42" s="2">
        <f>I42+'19'!J42</f>
        <v>421</v>
      </c>
      <c r="K42" s="2"/>
      <c r="L42" s="2">
        <f>K42+'19'!L42</f>
        <v>0</v>
      </c>
      <c r="M42" s="2"/>
      <c r="N42" s="2">
        <f>M42+'19'!N42</f>
        <v>0</v>
      </c>
      <c r="O42" s="2"/>
      <c r="P42" s="2">
        <f>O42+'19'!P42</f>
        <v>0</v>
      </c>
      <c r="Q42" s="4">
        <f t="shared" si="4"/>
        <v>0</v>
      </c>
      <c r="R42" s="4">
        <f>Q42+'19'!R42</f>
        <v>647</v>
      </c>
      <c r="S42" s="27">
        <f t="shared" si="5"/>
        <v>0.73522727272727273</v>
      </c>
      <c r="T42" s="12"/>
      <c r="U42" s="12">
        <f>T42+'19'!U42</f>
        <v>69</v>
      </c>
      <c r="V42" s="12"/>
      <c r="W42" s="12">
        <f>V42+'19'!W42</f>
        <v>11</v>
      </c>
      <c r="X42" s="12"/>
      <c r="Y42" s="12">
        <f>X42+'19'!Y42</f>
        <v>0</v>
      </c>
      <c r="AB42" s="5">
        <v>32</v>
      </c>
      <c r="AC42" s="26" t="str">
        <f>'19'!AC42</f>
        <v>شمنديــــــــــــــل</v>
      </c>
      <c r="AD42" s="28">
        <f>'19'!AI42</f>
        <v>9</v>
      </c>
      <c r="AE42" s="3"/>
      <c r="AF42" s="28">
        <f>AE42+'19'!AF42</f>
        <v>78</v>
      </c>
      <c r="AG42" s="4"/>
      <c r="AH42" s="28">
        <f>AG42+'19'!AH42</f>
        <v>69</v>
      </c>
      <c r="AI42" s="4">
        <f t="shared" si="6"/>
        <v>9</v>
      </c>
      <c r="AJ42" s="11" t="e">
        <f t="shared" si="0"/>
        <v>#DIV/0!</v>
      </c>
      <c r="AK42" s="53">
        <f t="shared" si="1"/>
        <v>9.3768115942028984</v>
      </c>
      <c r="AW42" s="26" t="str">
        <f>'19'!AW42</f>
        <v>شمنديــــــــــــــل</v>
      </c>
      <c r="AX42" s="12">
        <f>'19'!AX42</f>
        <v>2</v>
      </c>
      <c r="AY42" s="12">
        <f>'19'!AY42</f>
        <v>569</v>
      </c>
      <c r="AZ42" s="12"/>
      <c r="BA42" s="12"/>
      <c r="BB42" s="12">
        <f>BA42+'19'!BB42</f>
        <v>453</v>
      </c>
      <c r="BC42" s="30">
        <f t="shared" si="2"/>
        <v>0.79613356766256593</v>
      </c>
      <c r="BD42" s="12">
        <f>'19'!BD42</f>
        <v>1</v>
      </c>
      <c r="BE42" s="12">
        <f>'19'!BE42</f>
        <v>39</v>
      </c>
      <c r="BF42" s="12"/>
      <c r="BG42" s="12"/>
      <c r="BH42" s="12">
        <f>BG42+'19'!BH42</f>
        <v>82</v>
      </c>
      <c r="BI42" s="30">
        <f t="shared" si="3"/>
        <v>2.1025641025641026</v>
      </c>
    </row>
    <row r="43" spans="1:61" ht="28.9" customHeight="1" x14ac:dyDescent="0.35">
      <c r="A43" s="5">
        <v>33</v>
      </c>
      <c r="B43" s="26" t="str">
        <f>'19'!B43</f>
        <v>كفور الرمل</v>
      </c>
      <c r="C43" s="26">
        <f>'19'!C43</f>
        <v>1721</v>
      </c>
      <c r="D43" s="26"/>
      <c r="E43" s="12"/>
      <c r="F43" s="2">
        <f>E43+'19'!F43</f>
        <v>17</v>
      </c>
      <c r="G43" s="2"/>
      <c r="H43" s="2">
        <f>G43+'19'!H43</f>
        <v>505</v>
      </c>
      <c r="I43" s="2"/>
      <c r="J43" s="2">
        <f>I43+'19'!J43</f>
        <v>718</v>
      </c>
      <c r="K43" s="2"/>
      <c r="L43" s="2">
        <f>K43+'19'!L43</f>
        <v>0</v>
      </c>
      <c r="M43" s="2"/>
      <c r="N43" s="2">
        <f>M43+'19'!N43</f>
        <v>0</v>
      </c>
      <c r="O43" s="2"/>
      <c r="P43" s="2">
        <f>O43+'19'!P43</f>
        <v>0</v>
      </c>
      <c r="Q43" s="4">
        <f t="shared" si="4"/>
        <v>0</v>
      </c>
      <c r="R43" s="4">
        <f>Q43+'19'!R43</f>
        <v>1240</v>
      </c>
      <c r="S43" s="27">
        <f t="shared" si="5"/>
        <v>0.72051133062173156</v>
      </c>
      <c r="T43" s="12"/>
      <c r="U43" s="12">
        <f>T43+'19'!U43</f>
        <v>192</v>
      </c>
      <c r="V43" s="12"/>
      <c r="W43" s="12">
        <f>V43+'19'!W43</f>
        <v>100</v>
      </c>
      <c r="X43" s="12"/>
      <c r="Y43" s="12">
        <f>X43+'19'!Y43</f>
        <v>0</v>
      </c>
      <c r="AB43" s="5">
        <v>33</v>
      </c>
      <c r="AC43" s="26" t="str">
        <f>'19'!AC43</f>
        <v>كفور الرمل</v>
      </c>
      <c r="AD43" s="28">
        <f>'19'!AI43</f>
        <v>15</v>
      </c>
      <c r="AE43" s="3"/>
      <c r="AF43" s="28">
        <f>AE43+'19'!AF43</f>
        <v>150</v>
      </c>
      <c r="AG43" s="4"/>
      <c r="AH43" s="28">
        <f>AG43+'19'!AH43</f>
        <v>135</v>
      </c>
      <c r="AI43" s="4">
        <f t="shared" si="6"/>
        <v>15</v>
      </c>
      <c r="AJ43" s="11" t="e">
        <f t="shared" si="0"/>
        <v>#DIV/0!</v>
      </c>
      <c r="AK43" s="53">
        <f t="shared" si="1"/>
        <v>9.1851851851851851</v>
      </c>
      <c r="AW43" s="26" t="str">
        <f>'19'!AW43</f>
        <v>كفور الرمل</v>
      </c>
      <c r="AX43" s="12">
        <f>'19'!AX43</f>
        <v>4</v>
      </c>
      <c r="AY43" s="12">
        <f>'19'!AY43</f>
        <v>1335</v>
      </c>
      <c r="AZ43" s="12"/>
      <c r="BA43" s="12"/>
      <c r="BB43" s="12">
        <f>BA43+'19'!BB43</f>
        <v>918</v>
      </c>
      <c r="BC43" s="30">
        <f t="shared" si="2"/>
        <v>0.68764044943820224</v>
      </c>
      <c r="BD43" s="12">
        <f>'19'!BD43</f>
        <v>7</v>
      </c>
      <c r="BE43" s="12">
        <f>'19'!BE43</f>
        <v>753</v>
      </c>
      <c r="BF43" s="12"/>
      <c r="BG43" s="12"/>
      <c r="BH43" s="12">
        <f>BG43+'19'!BH43</f>
        <v>414</v>
      </c>
      <c r="BI43" s="30">
        <f t="shared" si="3"/>
        <v>0.54980079681274896</v>
      </c>
    </row>
    <row r="44" spans="1:61" ht="28.9" customHeight="1" x14ac:dyDescent="0.35">
      <c r="A44" s="5">
        <v>34</v>
      </c>
      <c r="B44" s="26" t="str">
        <f>'19'!B44</f>
        <v>منشأة أم خنان</v>
      </c>
      <c r="C44" s="26">
        <f>'19'!C44</f>
        <v>510</v>
      </c>
      <c r="D44" s="26"/>
      <c r="E44" s="12"/>
      <c r="F44" s="2">
        <f>E44+'19'!F44</f>
        <v>12</v>
      </c>
      <c r="G44" s="2"/>
      <c r="H44" s="2">
        <f>G44+'19'!H44</f>
        <v>194</v>
      </c>
      <c r="I44" s="2"/>
      <c r="J44" s="2">
        <f>I44+'19'!J44</f>
        <v>291</v>
      </c>
      <c r="K44" s="2"/>
      <c r="L44" s="2">
        <f>K44+'19'!L44</f>
        <v>0</v>
      </c>
      <c r="M44" s="2"/>
      <c r="N44" s="2">
        <f>M44+'19'!N44</f>
        <v>0</v>
      </c>
      <c r="O44" s="2"/>
      <c r="P44" s="2">
        <f>O44+'19'!P44</f>
        <v>0</v>
      </c>
      <c r="Q44" s="4">
        <f t="shared" si="4"/>
        <v>0</v>
      </c>
      <c r="R44" s="4">
        <f>Q44+'19'!R44</f>
        <v>497</v>
      </c>
      <c r="S44" s="27">
        <f t="shared" si="5"/>
        <v>0.97450980392156861</v>
      </c>
      <c r="T44" s="12"/>
      <c r="U44" s="12">
        <f>T44+'19'!U44</f>
        <v>11</v>
      </c>
      <c r="V44" s="12"/>
      <c r="W44" s="12">
        <f>V44+'19'!W44</f>
        <v>7</v>
      </c>
      <c r="X44" s="12"/>
      <c r="Y44" s="12">
        <f>X44+'19'!Y44</f>
        <v>0</v>
      </c>
      <c r="AB44" s="5">
        <v>34</v>
      </c>
      <c r="AC44" s="26" t="str">
        <f>'19'!AC44</f>
        <v>منشأة أم خنان</v>
      </c>
      <c r="AD44" s="28">
        <f>'19'!AI44</f>
        <v>4</v>
      </c>
      <c r="AE44" s="3"/>
      <c r="AF44" s="28">
        <f>AE44+'19'!AF44</f>
        <v>55</v>
      </c>
      <c r="AG44" s="4"/>
      <c r="AH44" s="28">
        <f>AG44+'19'!AH44</f>
        <v>51</v>
      </c>
      <c r="AI44" s="4">
        <f t="shared" si="6"/>
        <v>4</v>
      </c>
      <c r="AJ44" s="11" t="e">
        <f t="shared" si="0"/>
        <v>#DIV/0!</v>
      </c>
      <c r="AK44" s="53">
        <f t="shared" si="1"/>
        <v>9.7450980392156854</v>
      </c>
      <c r="AW44" s="26" t="str">
        <f>'19'!AW44</f>
        <v>منشأة أم خنان</v>
      </c>
      <c r="AX44" s="12">
        <f>'19'!AX44</f>
        <v>1</v>
      </c>
      <c r="AY44" s="12">
        <f>'19'!AY44</f>
        <v>277</v>
      </c>
      <c r="AZ44" s="12"/>
      <c r="BA44" s="12"/>
      <c r="BB44" s="12">
        <f>BA44+'19'!BB44</f>
        <v>269</v>
      </c>
      <c r="BC44" s="30">
        <f t="shared" si="2"/>
        <v>0.97111913357400725</v>
      </c>
      <c r="BD44" s="12">
        <f>'19'!BD44</f>
        <v>3</v>
      </c>
      <c r="BE44" s="12">
        <f>'19'!BE44</f>
        <v>170</v>
      </c>
      <c r="BF44" s="12"/>
      <c r="BG44" s="12"/>
      <c r="BH44" s="12">
        <f>BG44+'19'!BH44</f>
        <v>115</v>
      </c>
      <c r="BI44" s="30">
        <f t="shared" si="3"/>
        <v>0.67647058823529416</v>
      </c>
    </row>
    <row r="45" spans="1:61" ht="28.9" customHeight="1" x14ac:dyDescent="0.35">
      <c r="A45" s="5">
        <v>35</v>
      </c>
      <c r="B45" s="26">
        <f>'19'!B45</f>
        <v>0</v>
      </c>
      <c r="C45" s="26">
        <f>'19'!C45</f>
        <v>0</v>
      </c>
      <c r="D45" s="26"/>
      <c r="E45" s="12"/>
      <c r="F45" s="2">
        <f>E45+'19'!F45</f>
        <v>0</v>
      </c>
      <c r="G45" s="2"/>
      <c r="H45" s="2">
        <f>G45+'19'!H45</f>
        <v>0</v>
      </c>
      <c r="I45" s="2"/>
      <c r="J45" s="2">
        <f>I45+'19'!J45</f>
        <v>0</v>
      </c>
      <c r="K45" s="2"/>
      <c r="L45" s="2">
        <f>K45+'19'!L45</f>
        <v>0</v>
      </c>
      <c r="M45" s="2"/>
      <c r="N45" s="2">
        <f>M45+'19'!N45</f>
        <v>0</v>
      </c>
      <c r="O45" s="2"/>
      <c r="P45" s="2">
        <f>O45+'19'!P45</f>
        <v>0</v>
      </c>
      <c r="Q45" s="4">
        <f t="shared" si="4"/>
        <v>0</v>
      </c>
      <c r="R45" s="4">
        <f>Q45+'19'!R45</f>
        <v>0</v>
      </c>
      <c r="S45" s="27" t="e">
        <f t="shared" si="5"/>
        <v>#DIV/0!</v>
      </c>
      <c r="T45" s="12"/>
      <c r="U45" s="12">
        <f>T45+'19'!U45</f>
        <v>0</v>
      </c>
      <c r="V45" s="12"/>
      <c r="W45" s="12">
        <f>V45+'19'!W45</f>
        <v>0</v>
      </c>
      <c r="X45" s="12"/>
      <c r="Y45" s="12">
        <f>X45+'19'!Y45</f>
        <v>0</v>
      </c>
      <c r="AB45" s="5">
        <v>35</v>
      </c>
      <c r="AC45" s="26">
        <f>'19'!AC45</f>
        <v>0</v>
      </c>
      <c r="AD45" s="28">
        <f>'19'!AI45</f>
        <v>0</v>
      </c>
      <c r="AE45" s="3"/>
      <c r="AF45" s="28">
        <f>AE45+'19'!AF45</f>
        <v>0</v>
      </c>
      <c r="AG45" s="4"/>
      <c r="AH45" s="28">
        <f>AG45+'19'!AH45</f>
        <v>0</v>
      </c>
      <c r="AI45" s="4">
        <f t="shared" si="6"/>
        <v>0</v>
      </c>
      <c r="AJ45" s="11" t="e">
        <f t="shared" si="0"/>
        <v>#DIV/0!</v>
      </c>
      <c r="AK45" s="53" t="e">
        <f t="shared" si="1"/>
        <v>#DIV/0!</v>
      </c>
      <c r="AW45" s="26">
        <f>'19'!AW45</f>
        <v>0</v>
      </c>
      <c r="AX45" s="12">
        <f>'19'!AX45</f>
        <v>0</v>
      </c>
      <c r="AY45" s="12">
        <f>'19'!AY45</f>
        <v>0</v>
      </c>
      <c r="AZ45" s="12"/>
      <c r="BA45" s="12"/>
      <c r="BB45" s="12">
        <f>BA45+'19'!BB45</f>
        <v>0</v>
      </c>
      <c r="BC45" s="30" t="e">
        <f t="shared" si="2"/>
        <v>#DIV/0!</v>
      </c>
      <c r="BD45" s="12">
        <f>'19'!BD45</f>
        <v>0</v>
      </c>
      <c r="BE45" s="12">
        <f>'19'!BE45</f>
        <v>0</v>
      </c>
      <c r="BF45" s="12"/>
      <c r="BG45" s="12"/>
      <c r="BH45" s="12">
        <f>BG45+'19'!BH45</f>
        <v>0</v>
      </c>
      <c r="BI45" s="30" t="e">
        <f t="shared" si="3"/>
        <v>#DIV/0!</v>
      </c>
    </row>
    <row r="46" spans="1:61" ht="28.9" customHeight="1" x14ac:dyDescent="0.35">
      <c r="A46" s="5">
        <v>36</v>
      </c>
      <c r="B46" s="26">
        <f>'19'!B46</f>
        <v>0</v>
      </c>
      <c r="C46" s="26">
        <f>'19'!C46</f>
        <v>0</v>
      </c>
      <c r="D46" s="26"/>
      <c r="E46" s="12"/>
      <c r="F46" s="2">
        <f>E46+'19'!F46</f>
        <v>0</v>
      </c>
      <c r="G46" s="2"/>
      <c r="H46" s="2">
        <f>G46+'19'!H46</f>
        <v>0</v>
      </c>
      <c r="I46" s="2"/>
      <c r="J46" s="2">
        <f>I46+'19'!J46</f>
        <v>0</v>
      </c>
      <c r="K46" s="2"/>
      <c r="L46" s="2">
        <f>K46+'19'!L46</f>
        <v>0</v>
      </c>
      <c r="M46" s="2"/>
      <c r="N46" s="2">
        <f>M46+'19'!N46</f>
        <v>0</v>
      </c>
      <c r="O46" s="2"/>
      <c r="P46" s="2">
        <f>O46+'19'!P46</f>
        <v>0</v>
      </c>
      <c r="Q46" s="4">
        <f t="shared" si="4"/>
        <v>0</v>
      </c>
      <c r="R46" s="4">
        <f>Q46+'19'!R46</f>
        <v>0</v>
      </c>
      <c r="S46" s="27" t="e">
        <f t="shared" si="5"/>
        <v>#DIV/0!</v>
      </c>
      <c r="T46" s="12"/>
      <c r="U46" s="12">
        <f>T46+'19'!U46</f>
        <v>0</v>
      </c>
      <c r="V46" s="12"/>
      <c r="W46" s="12">
        <f>V46+'19'!W46</f>
        <v>0</v>
      </c>
      <c r="X46" s="12"/>
      <c r="Y46" s="12">
        <f>X46+'19'!Y46</f>
        <v>0</v>
      </c>
      <c r="AB46" s="5">
        <v>36</v>
      </c>
      <c r="AC46" s="26">
        <f>'19'!AC46</f>
        <v>0</v>
      </c>
      <c r="AD46" s="28">
        <f>'19'!AI46</f>
        <v>0</v>
      </c>
      <c r="AE46" s="3"/>
      <c r="AF46" s="28">
        <f>AE46+'19'!AF46</f>
        <v>0</v>
      </c>
      <c r="AG46" s="4"/>
      <c r="AH46" s="28">
        <f>AG46+'19'!AH46</f>
        <v>0</v>
      </c>
      <c r="AI46" s="4">
        <f t="shared" si="6"/>
        <v>0</v>
      </c>
      <c r="AJ46" s="11" t="e">
        <f t="shared" si="0"/>
        <v>#DIV/0!</v>
      </c>
      <c r="AK46" s="53" t="e">
        <f t="shared" si="1"/>
        <v>#DIV/0!</v>
      </c>
      <c r="AW46" s="26">
        <f>'19'!AW46</f>
        <v>0</v>
      </c>
      <c r="AX46" s="12">
        <f>'19'!AX46</f>
        <v>0</v>
      </c>
      <c r="AY46" s="12">
        <f>'19'!AY46</f>
        <v>0</v>
      </c>
      <c r="AZ46" s="12"/>
      <c r="BA46" s="12"/>
      <c r="BB46" s="12">
        <f>BA46+'19'!BB46</f>
        <v>0</v>
      </c>
      <c r="BC46" s="30" t="e">
        <f t="shared" si="2"/>
        <v>#DIV/0!</v>
      </c>
      <c r="BD46" s="12">
        <f>'19'!BD46</f>
        <v>0</v>
      </c>
      <c r="BE46" s="12">
        <f>'19'!BE46</f>
        <v>0</v>
      </c>
      <c r="BF46" s="12"/>
      <c r="BG46" s="12"/>
      <c r="BH46" s="12">
        <f>BG46+'19'!BH46</f>
        <v>0</v>
      </c>
      <c r="BI46" s="30" t="e">
        <f t="shared" si="3"/>
        <v>#DIV/0!</v>
      </c>
    </row>
    <row r="47" spans="1:61" ht="28.9" customHeight="1" x14ac:dyDescent="0.35">
      <c r="A47" s="5">
        <v>37</v>
      </c>
      <c r="B47" s="26">
        <f>'19'!B47</f>
        <v>0</v>
      </c>
      <c r="C47" s="26">
        <f>'19'!C47</f>
        <v>0</v>
      </c>
      <c r="D47" s="26"/>
      <c r="E47" s="12"/>
      <c r="F47" s="2">
        <f>E47+'19'!F47</f>
        <v>0</v>
      </c>
      <c r="G47" s="2"/>
      <c r="H47" s="2">
        <f>G47+'19'!H47</f>
        <v>0</v>
      </c>
      <c r="I47" s="2"/>
      <c r="J47" s="2">
        <f>I47+'19'!J47</f>
        <v>0</v>
      </c>
      <c r="K47" s="2"/>
      <c r="L47" s="2">
        <f>K47+'19'!L47</f>
        <v>0</v>
      </c>
      <c r="M47" s="2"/>
      <c r="N47" s="2">
        <f>M47+'19'!N47</f>
        <v>0</v>
      </c>
      <c r="O47" s="2"/>
      <c r="P47" s="2">
        <f>O47+'19'!P47</f>
        <v>0</v>
      </c>
      <c r="Q47" s="4">
        <f t="shared" si="4"/>
        <v>0</v>
      </c>
      <c r="R47" s="4">
        <f>Q47+'19'!R47</f>
        <v>0</v>
      </c>
      <c r="S47" s="27" t="e">
        <f t="shared" si="5"/>
        <v>#DIV/0!</v>
      </c>
      <c r="T47" s="12"/>
      <c r="U47" s="12">
        <f>T47+'19'!U47</f>
        <v>0</v>
      </c>
      <c r="V47" s="12"/>
      <c r="W47" s="12">
        <f>V47+'19'!W47</f>
        <v>0</v>
      </c>
      <c r="X47" s="12"/>
      <c r="Y47" s="12">
        <f>X47+'19'!Y47</f>
        <v>0</v>
      </c>
      <c r="AB47" s="5">
        <v>37</v>
      </c>
      <c r="AC47" s="26">
        <f>'19'!AC47</f>
        <v>0</v>
      </c>
      <c r="AD47" s="28">
        <f>'19'!AI47</f>
        <v>0</v>
      </c>
      <c r="AE47" s="3"/>
      <c r="AF47" s="28">
        <f>AE47+'19'!AF47</f>
        <v>0</v>
      </c>
      <c r="AG47" s="4"/>
      <c r="AH47" s="28">
        <f>AG47+'19'!AH47</f>
        <v>0</v>
      </c>
      <c r="AI47" s="4">
        <f t="shared" si="6"/>
        <v>0</v>
      </c>
      <c r="AJ47" s="11" t="e">
        <f t="shared" si="0"/>
        <v>#DIV/0!</v>
      </c>
      <c r="AK47" s="53" t="e">
        <f t="shared" si="1"/>
        <v>#DIV/0!</v>
      </c>
      <c r="AW47" s="26">
        <f>'19'!AW47</f>
        <v>0</v>
      </c>
      <c r="AX47" s="12">
        <f>'19'!AX47</f>
        <v>0</v>
      </c>
      <c r="AY47" s="12">
        <f>'19'!AY47</f>
        <v>0</v>
      </c>
      <c r="AZ47" s="12"/>
      <c r="BA47" s="12"/>
      <c r="BB47" s="12">
        <f>BA47+'19'!BB47</f>
        <v>0</v>
      </c>
      <c r="BC47" s="30" t="e">
        <f t="shared" si="2"/>
        <v>#DIV/0!</v>
      </c>
      <c r="BD47" s="12">
        <f>'19'!BD47</f>
        <v>0</v>
      </c>
      <c r="BE47" s="12">
        <f>'19'!BE47</f>
        <v>0</v>
      </c>
      <c r="BF47" s="12"/>
      <c r="BG47" s="12"/>
      <c r="BH47" s="12">
        <f>BG47+'19'!BH47</f>
        <v>0</v>
      </c>
      <c r="BI47" s="30" t="e">
        <f t="shared" si="3"/>
        <v>#DIV/0!</v>
      </c>
    </row>
    <row r="48" spans="1:61" ht="28.9" customHeight="1" x14ac:dyDescent="0.35">
      <c r="A48" s="5">
        <v>38</v>
      </c>
      <c r="B48" s="26">
        <f>'19'!B48</f>
        <v>0</v>
      </c>
      <c r="C48" s="26">
        <f>'19'!C48</f>
        <v>0</v>
      </c>
      <c r="D48" s="26"/>
      <c r="E48" s="12"/>
      <c r="F48" s="2">
        <f>E48+'19'!F48</f>
        <v>0</v>
      </c>
      <c r="G48" s="2"/>
      <c r="H48" s="2">
        <f>G48+'19'!H48</f>
        <v>0</v>
      </c>
      <c r="I48" s="2"/>
      <c r="J48" s="2">
        <f>I48+'19'!J48</f>
        <v>0</v>
      </c>
      <c r="K48" s="2"/>
      <c r="L48" s="2">
        <f>K48+'19'!L48</f>
        <v>0</v>
      </c>
      <c r="M48" s="2"/>
      <c r="N48" s="2">
        <f>M48+'19'!N48</f>
        <v>0</v>
      </c>
      <c r="O48" s="2"/>
      <c r="P48" s="2">
        <f>O48+'19'!P48</f>
        <v>0</v>
      </c>
      <c r="Q48" s="4">
        <f t="shared" si="4"/>
        <v>0</v>
      </c>
      <c r="R48" s="4">
        <f>Q48+'19'!R48</f>
        <v>0</v>
      </c>
      <c r="S48" s="27" t="e">
        <f t="shared" si="5"/>
        <v>#DIV/0!</v>
      </c>
      <c r="T48" s="12"/>
      <c r="U48" s="12">
        <f>T48+'19'!U48</f>
        <v>0</v>
      </c>
      <c r="V48" s="12"/>
      <c r="W48" s="12">
        <f>V48+'19'!W48</f>
        <v>0</v>
      </c>
      <c r="X48" s="12"/>
      <c r="Y48" s="12">
        <f>X48+'19'!Y48</f>
        <v>0</v>
      </c>
      <c r="AB48" s="5">
        <v>38</v>
      </c>
      <c r="AC48" s="26">
        <f>'19'!AC48</f>
        <v>0</v>
      </c>
      <c r="AD48" s="28">
        <f>'19'!AI48</f>
        <v>0</v>
      </c>
      <c r="AE48" s="3"/>
      <c r="AF48" s="28">
        <f>AE48+'19'!AF48</f>
        <v>0</v>
      </c>
      <c r="AG48" s="4"/>
      <c r="AH48" s="28">
        <f>AG48+'19'!AH48</f>
        <v>0</v>
      </c>
      <c r="AI48" s="4">
        <f t="shared" si="6"/>
        <v>0</v>
      </c>
      <c r="AJ48" s="11" t="e">
        <f t="shared" si="0"/>
        <v>#DIV/0!</v>
      </c>
      <c r="AK48" s="53" t="e">
        <f t="shared" si="1"/>
        <v>#DIV/0!</v>
      </c>
      <c r="AW48" s="26">
        <f>'19'!AW48</f>
        <v>0</v>
      </c>
      <c r="AX48" s="12">
        <f>'19'!AX48</f>
        <v>0</v>
      </c>
      <c r="AY48" s="12">
        <f>'19'!AY48</f>
        <v>0</v>
      </c>
      <c r="AZ48" s="12"/>
      <c r="BA48" s="12"/>
      <c r="BB48" s="12">
        <f>BA48+'19'!BB48</f>
        <v>0</v>
      </c>
      <c r="BC48" s="30" t="e">
        <f t="shared" si="2"/>
        <v>#DIV/0!</v>
      </c>
      <c r="BD48" s="12">
        <f>'19'!BD48</f>
        <v>0</v>
      </c>
      <c r="BE48" s="12">
        <f>'19'!BE48</f>
        <v>0</v>
      </c>
      <c r="BF48" s="12"/>
      <c r="BG48" s="12"/>
      <c r="BH48" s="12">
        <f>BG48+'19'!BH48</f>
        <v>0</v>
      </c>
      <c r="BI48" s="30" t="e">
        <f t="shared" si="3"/>
        <v>#DIV/0!</v>
      </c>
    </row>
    <row r="49" spans="1:61" ht="28.9" customHeight="1" x14ac:dyDescent="0.35">
      <c r="A49" s="5">
        <v>39</v>
      </c>
      <c r="B49" s="26">
        <f>'19'!B49</f>
        <v>0</v>
      </c>
      <c r="C49" s="26">
        <f>'19'!C49</f>
        <v>0</v>
      </c>
      <c r="D49" s="26"/>
      <c r="E49" s="12"/>
      <c r="F49" s="2">
        <f>E49+'19'!F49</f>
        <v>0</v>
      </c>
      <c r="G49" s="2"/>
      <c r="H49" s="2">
        <f>G49+'19'!H49</f>
        <v>0</v>
      </c>
      <c r="I49" s="2"/>
      <c r="J49" s="2">
        <f>I49+'19'!J49</f>
        <v>0</v>
      </c>
      <c r="K49" s="2"/>
      <c r="L49" s="2">
        <f>K49+'19'!L49</f>
        <v>0</v>
      </c>
      <c r="M49" s="2"/>
      <c r="N49" s="2">
        <f>M49+'19'!N49</f>
        <v>0</v>
      </c>
      <c r="O49" s="2"/>
      <c r="P49" s="2">
        <f>O49+'19'!P49</f>
        <v>0</v>
      </c>
      <c r="Q49" s="4">
        <f t="shared" si="4"/>
        <v>0</v>
      </c>
      <c r="R49" s="4">
        <f>Q49+'19'!R49</f>
        <v>0</v>
      </c>
      <c r="S49" s="27" t="e">
        <f t="shared" si="5"/>
        <v>#DIV/0!</v>
      </c>
      <c r="T49" s="12"/>
      <c r="U49" s="12">
        <f>T49+'19'!U49</f>
        <v>0</v>
      </c>
      <c r="V49" s="12"/>
      <c r="W49" s="12">
        <f>V49+'19'!W49</f>
        <v>0</v>
      </c>
      <c r="X49" s="12"/>
      <c r="Y49" s="12">
        <f>X49+'19'!Y49</f>
        <v>0</v>
      </c>
      <c r="AB49" s="5">
        <v>39</v>
      </c>
      <c r="AC49" s="26">
        <f>'19'!AC49</f>
        <v>0</v>
      </c>
      <c r="AD49" s="28">
        <f>'19'!AI49</f>
        <v>0</v>
      </c>
      <c r="AE49" s="3"/>
      <c r="AF49" s="28">
        <f>AE49+'19'!AF49</f>
        <v>0</v>
      </c>
      <c r="AG49" s="4"/>
      <c r="AH49" s="28">
        <f>AG49+'19'!AH49</f>
        <v>0</v>
      </c>
      <c r="AI49" s="4">
        <f t="shared" si="6"/>
        <v>0</v>
      </c>
      <c r="AJ49" s="11" t="e">
        <f t="shared" si="0"/>
        <v>#DIV/0!</v>
      </c>
      <c r="AK49" s="53" t="e">
        <f t="shared" si="1"/>
        <v>#DIV/0!</v>
      </c>
      <c r="AW49" s="26">
        <f>'19'!AW49</f>
        <v>0</v>
      </c>
      <c r="AX49" s="12">
        <f>'19'!AX49</f>
        <v>0</v>
      </c>
      <c r="AY49" s="12">
        <f>'19'!AY49</f>
        <v>0</v>
      </c>
      <c r="AZ49" s="12"/>
      <c r="BA49" s="12"/>
      <c r="BB49" s="12">
        <f>BA49+'19'!BB49</f>
        <v>0</v>
      </c>
      <c r="BC49" s="30" t="e">
        <f t="shared" si="2"/>
        <v>#DIV/0!</v>
      </c>
      <c r="BD49" s="12">
        <f>'19'!BD49</f>
        <v>0</v>
      </c>
      <c r="BE49" s="12">
        <f>'19'!BE49</f>
        <v>0</v>
      </c>
      <c r="BF49" s="12"/>
      <c r="BG49" s="12"/>
      <c r="BH49" s="12">
        <f>BG49+'19'!BH49</f>
        <v>0</v>
      </c>
      <c r="BI49" s="30" t="e">
        <f t="shared" si="3"/>
        <v>#DIV/0!</v>
      </c>
    </row>
    <row r="50" spans="1:61" ht="28.9" customHeight="1" x14ac:dyDescent="0.35">
      <c r="A50" s="5">
        <v>40</v>
      </c>
      <c r="B50" s="26">
        <f>'19'!B50</f>
        <v>0</v>
      </c>
      <c r="C50" s="26">
        <f>'19'!C50</f>
        <v>0</v>
      </c>
      <c r="D50" s="26"/>
      <c r="E50" s="12"/>
      <c r="F50" s="2">
        <f>E50+'19'!F50</f>
        <v>0</v>
      </c>
      <c r="G50" s="2"/>
      <c r="H50" s="2">
        <f>G50+'19'!H50</f>
        <v>0</v>
      </c>
      <c r="I50" s="2"/>
      <c r="J50" s="2">
        <f>I50+'19'!J50</f>
        <v>0</v>
      </c>
      <c r="K50" s="2"/>
      <c r="L50" s="2">
        <f>K50+'19'!L50</f>
        <v>0</v>
      </c>
      <c r="M50" s="2"/>
      <c r="N50" s="2">
        <f>M50+'19'!N50</f>
        <v>0</v>
      </c>
      <c r="O50" s="2"/>
      <c r="P50" s="2">
        <f>O50+'19'!P50</f>
        <v>0</v>
      </c>
      <c r="Q50" s="4">
        <f t="shared" si="4"/>
        <v>0</v>
      </c>
      <c r="R50" s="4">
        <f>Q50+'19'!R50</f>
        <v>0</v>
      </c>
      <c r="S50" s="27" t="e">
        <f t="shared" si="5"/>
        <v>#DIV/0!</v>
      </c>
      <c r="T50" s="12"/>
      <c r="U50" s="12">
        <f>T50+'19'!U50</f>
        <v>0</v>
      </c>
      <c r="V50" s="12"/>
      <c r="W50" s="12">
        <f>V50+'19'!W50</f>
        <v>0</v>
      </c>
      <c r="X50" s="12"/>
      <c r="Y50" s="12">
        <f>X50+'19'!Y50</f>
        <v>0</v>
      </c>
      <c r="AB50" s="5">
        <v>40</v>
      </c>
      <c r="AC50" s="26">
        <f>'19'!AC50</f>
        <v>0</v>
      </c>
      <c r="AD50" s="28">
        <f>'19'!AI50</f>
        <v>0</v>
      </c>
      <c r="AE50" s="3"/>
      <c r="AF50" s="28">
        <f>AE50+'19'!AF50</f>
        <v>0</v>
      </c>
      <c r="AG50" s="4"/>
      <c r="AH50" s="28">
        <f>AG50+'19'!AH50</f>
        <v>0</v>
      </c>
      <c r="AI50" s="4">
        <f t="shared" si="6"/>
        <v>0</v>
      </c>
      <c r="AJ50" s="11" t="e">
        <f t="shared" si="0"/>
        <v>#DIV/0!</v>
      </c>
      <c r="AK50" s="53" t="e">
        <f t="shared" si="1"/>
        <v>#DIV/0!</v>
      </c>
      <c r="AW50" s="26">
        <f>'19'!AW50</f>
        <v>0</v>
      </c>
      <c r="AX50" s="12">
        <f>'19'!AX50</f>
        <v>0</v>
      </c>
      <c r="AY50" s="12">
        <f>'19'!AY50</f>
        <v>0</v>
      </c>
      <c r="AZ50" s="12"/>
      <c r="BA50" s="12"/>
      <c r="BB50" s="12">
        <f>BA50+'19'!BB50</f>
        <v>0</v>
      </c>
      <c r="BC50" s="30" t="e">
        <f t="shared" si="2"/>
        <v>#DIV/0!</v>
      </c>
      <c r="BD50" s="12">
        <f>'19'!BD50</f>
        <v>0</v>
      </c>
      <c r="BE50" s="12">
        <f>'19'!BE50</f>
        <v>0</v>
      </c>
      <c r="BF50" s="12"/>
      <c r="BG50" s="12"/>
      <c r="BH50" s="12">
        <f>BG50+'19'!BH50</f>
        <v>0</v>
      </c>
      <c r="BI50" s="30" t="e">
        <f t="shared" si="3"/>
        <v>#DIV/0!</v>
      </c>
    </row>
    <row r="51" spans="1:61" ht="25.5" thickBot="1" x14ac:dyDescent="0.4">
      <c r="A51" s="321" t="s">
        <v>26</v>
      </c>
      <c r="B51" s="321"/>
      <c r="C51" s="35">
        <f>SUM(C11:C50)</f>
        <v>97446</v>
      </c>
      <c r="D51" s="35">
        <f>SUM(D11:D50)</f>
        <v>0</v>
      </c>
      <c r="E51" s="6">
        <f>SUM(E11:E50)</f>
        <v>0</v>
      </c>
      <c r="F51" s="6">
        <f>SUM(F11:F50)</f>
        <v>533</v>
      </c>
      <c r="G51" s="6">
        <f t="shared" ref="G51:R51" si="8">SUM(G11:G50)</f>
        <v>0</v>
      </c>
      <c r="H51" s="6">
        <f t="shared" si="8"/>
        <v>14954</v>
      </c>
      <c r="I51" s="6">
        <f t="shared" si="8"/>
        <v>0</v>
      </c>
      <c r="J51" s="6">
        <f t="shared" si="8"/>
        <v>37926</v>
      </c>
      <c r="K51" s="6">
        <f t="shared" si="8"/>
        <v>0</v>
      </c>
      <c r="L51" s="6">
        <f t="shared" si="8"/>
        <v>0</v>
      </c>
      <c r="M51" s="6">
        <f t="shared" si="8"/>
        <v>0</v>
      </c>
      <c r="N51" s="6">
        <f t="shared" si="8"/>
        <v>0</v>
      </c>
      <c r="O51" s="6">
        <f t="shared" si="8"/>
        <v>0</v>
      </c>
      <c r="P51" s="6">
        <f t="shared" si="8"/>
        <v>0</v>
      </c>
      <c r="Q51" s="6">
        <f t="shared" si="8"/>
        <v>0</v>
      </c>
      <c r="R51" s="6">
        <f t="shared" si="8"/>
        <v>53413</v>
      </c>
      <c r="S51" s="10">
        <f>R51/C51</f>
        <v>0.54812922028610722</v>
      </c>
      <c r="T51" s="23">
        <f t="shared" ref="T51:Y51" si="9">SUM(T11:T50)</f>
        <v>0</v>
      </c>
      <c r="U51" s="23">
        <f t="shared" si="9"/>
        <v>7532</v>
      </c>
      <c r="V51" s="23">
        <f t="shared" si="9"/>
        <v>0</v>
      </c>
      <c r="W51" s="23">
        <f t="shared" si="9"/>
        <v>1107</v>
      </c>
      <c r="X51" s="23">
        <f t="shared" si="9"/>
        <v>0</v>
      </c>
      <c r="Y51" s="23">
        <f t="shared" si="9"/>
        <v>2</v>
      </c>
      <c r="AB51" s="37" t="s">
        <v>29</v>
      </c>
      <c r="AC51" s="37"/>
      <c r="AD51" s="34">
        <f t="shared" ref="AD51:AI51" si="10">SUM(AD11:AD50)</f>
        <v>3133</v>
      </c>
      <c r="AE51" s="23">
        <f t="shared" si="10"/>
        <v>0</v>
      </c>
      <c r="AF51" s="14">
        <f t="shared" si="10"/>
        <v>8632</v>
      </c>
      <c r="AG51" s="14">
        <f t="shared" si="10"/>
        <v>0</v>
      </c>
      <c r="AH51" s="14">
        <f t="shared" si="10"/>
        <v>5499</v>
      </c>
      <c r="AI51" s="14">
        <f t="shared" si="10"/>
        <v>3133</v>
      </c>
      <c r="AJ51" s="11" t="e">
        <f t="shared" si="0"/>
        <v>#DIV/0!</v>
      </c>
      <c r="AK51" s="53">
        <f t="shared" si="1"/>
        <v>9.713220585561011</v>
      </c>
      <c r="AW51" s="33" t="s">
        <v>26</v>
      </c>
      <c r="AX51" s="13">
        <f>SUM(AX11:AX50)</f>
        <v>121</v>
      </c>
      <c r="AY51" s="13">
        <f>SUM(AY11:AY50)</f>
        <v>50910</v>
      </c>
      <c r="AZ51" s="13">
        <f>SUM(AZ11:AZ50)</f>
        <v>0</v>
      </c>
      <c r="BA51" s="13">
        <f>SUM(BA11:BA50)</f>
        <v>0</v>
      </c>
      <c r="BB51" s="13">
        <f>SUM(BB11:BB50)</f>
        <v>39924</v>
      </c>
      <c r="BC51" s="31">
        <f t="shared" si="2"/>
        <v>0.78420742486741313</v>
      </c>
      <c r="BD51" s="32">
        <f>SUM(BD11:BD50)</f>
        <v>241</v>
      </c>
      <c r="BE51" s="32">
        <f>SUM(BE11:BE50)</f>
        <v>14990</v>
      </c>
      <c r="BF51" s="32">
        <f>SUM(BF11:BF50)</f>
        <v>0</v>
      </c>
      <c r="BG51" s="32">
        <f>SUM(BG11:BG50)</f>
        <v>0</v>
      </c>
      <c r="BH51" s="32">
        <f>SUM(BH11:BH50)</f>
        <v>9274</v>
      </c>
      <c r="BI51" s="31">
        <f t="shared" si="3"/>
        <v>0.61867911941294196</v>
      </c>
    </row>
    <row r="52" spans="1:61" ht="17.5" x14ac:dyDescent="0.35">
      <c r="AB52" s="36"/>
      <c r="AC52" s="36"/>
      <c r="AD52" s="36"/>
      <c r="AE52" s="36"/>
      <c r="AF52" s="40"/>
      <c r="AG52" s="40"/>
      <c r="AH52" s="40"/>
      <c r="AI52" s="41"/>
      <c r="AJ52" s="15"/>
      <c r="AK52" s="15"/>
    </row>
    <row r="54" spans="1:61" ht="18.5" x14ac:dyDescent="0.45">
      <c r="G54" s="322" t="s">
        <v>36</v>
      </c>
      <c r="H54" s="322"/>
      <c r="I54" s="322"/>
      <c r="J54" s="322"/>
      <c r="K54" s="322"/>
      <c r="L54" s="322"/>
      <c r="M54" s="322"/>
      <c r="N54" s="322"/>
      <c r="O54" s="322"/>
      <c r="P54" s="322"/>
      <c r="Q54" s="322"/>
      <c r="R54" s="322"/>
      <c r="S54" s="322"/>
      <c r="AB54" s="313" t="s">
        <v>44</v>
      </c>
      <c r="AC54" s="313"/>
      <c r="AD54" s="313"/>
      <c r="AE54" s="313"/>
      <c r="AF54" s="313"/>
      <c r="AG54" s="313"/>
      <c r="AH54" s="313"/>
      <c r="AI54" s="313"/>
      <c r="AJ54" s="313"/>
      <c r="AK54" s="313"/>
      <c r="AL54" s="313"/>
      <c r="AM54" s="313"/>
      <c r="AN54" s="313"/>
    </row>
    <row r="55" spans="1:61" ht="18.5" x14ac:dyDescent="0.45">
      <c r="AX55" s="313" t="s">
        <v>44</v>
      </c>
      <c r="AY55" s="313"/>
      <c r="AZ55" s="313"/>
      <c r="BA55" s="313"/>
      <c r="BB55" s="313"/>
      <c r="BC55" s="313"/>
      <c r="BD55" s="313"/>
      <c r="BE55" s="313"/>
      <c r="BF55" s="313"/>
      <c r="BG55" s="313"/>
      <c r="BH55" s="313"/>
      <c r="BI55" s="313"/>
    </row>
    <row r="56" spans="1:61" ht="15.5" x14ac:dyDescent="0.35">
      <c r="AG56" s="38"/>
      <c r="AH56" s="38"/>
      <c r="AI56" s="38"/>
    </row>
  </sheetData>
  <mergeCells count="56">
    <mergeCell ref="A6:Y6"/>
    <mergeCell ref="AF6:AN6"/>
    <mergeCell ref="AY6:BI6"/>
    <mergeCell ref="A7:Y7"/>
    <mergeCell ref="A8:A10"/>
    <mergeCell ref="B8:B10"/>
    <mergeCell ref="C8:C10"/>
    <mergeCell ref="D8:D10"/>
    <mergeCell ref="E8:J8"/>
    <mergeCell ref="K8:P8"/>
    <mergeCell ref="Q8:R9"/>
    <mergeCell ref="S8:S10"/>
    <mergeCell ref="T8:U9"/>
    <mergeCell ref="V8:W9"/>
    <mergeCell ref="X8:Y9"/>
    <mergeCell ref="AB8:AB10"/>
    <mergeCell ref="AN8:AN9"/>
    <mergeCell ref="AO8:AO9"/>
    <mergeCell ref="AP8:AQ8"/>
    <mergeCell ref="AR8:AS8"/>
    <mergeCell ref="AC8:AC10"/>
    <mergeCell ref="AD8:AD10"/>
    <mergeCell ref="AE8:AF9"/>
    <mergeCell ref="AG8:AH9"/>
    <mergeCell ref="AI8:AI10"/>
    <mergeCell ref="AJ8:AJ10"/>
    <mergeCell ref="AW8:AW10"/>
    <mergeCell ref="AX8:BC8"/>
    <mergeCell ref="BD8:BI8"/>
    <mergeCell ref="E9:F9"/>
    <mergeCell ref="G9:H9"/>
    <mergeCell ref="I9:J9"/>
    <mergeCell ref="K9:L9"/>
    <mergeCell ref="M9:N9"/>
    <mergeCell ref="AK8:AK10"/>
    <mergeCell ref="AM8:AM13"/>
    <mergeCell ref="BF9:BF10"/>
    <mergeCell ref="BG9:BG10"/>
    <mergeCell ref="BH9:BH10"/>
    <mergeCell ref="O9:P9"/>
    <mergeCell ref="AX9:AX10"/>
    <mergeCell ref="AY9:AY10"/>
    <mergeCell ref="AZ9:AZ10"/>
    <mergeCell ref="BA9:BA10"/>
    <mergeCell ref="BB9:BB10"/>
    <mergeCell ref="AT8:AT9"/>
    <mergeCell ref="AX55:BI55"/>
    <mergeCell ref="BI9:BI10"/>
    <mergeCell ref="AM14:AN14"/>
    <mergeCell ref="AO14:AS14"/>
    <mergeCell ref="A51:B51"/>
    <mergeCell ref="G54:S54"/>
    <mergeCell ref="AB54:AN54"/>
    <mergeCell ref="BC9:BC10"/>
    <mergeCell ref="BD9:BD10"/>
    <mergeCell ref="BE9:BE10"/>
  </mergeCells>
  <pageMargins left="0.7" right="0.7" top="0.75" bottom="0.75" header="0.3" footer="0.3"/>
  <pageSetup paperSize="9" scale="17" orientation="landscape" r:id="rId1"/>
  <colBreaks count="2" manualBreakCount="2">
    <brk id="26" max="55" man="1"/>
    <brk id="47" max="55" man="1"/>
  </col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5763D-2A7E-44DF-A978-9199ABE7C2E3}">
  <dimension ref="A1:BJ56"/>
  <sheetViews>
    <sheetView rightToLeft="1" view="pageBreakPreview" topLeftCell="AD1" zoomScale="55" zoomScaleNormal="29" zoomScalePageLayoutView="40" workbookViewId="0">
      <selection activeCell="AP17" sqref="AP17"/>
    </sheetView>
  </sheetViews>
  <sheetFormatPr defaultRowHeight="14.5" x14ac:dyDescent="0.35"/>
  <cols>
    <col min="1" max="1" width="11.26953125" style="1" customWidth="1"/>
    <col min="2" max="4" width="18.7265625" style="1" customWidth="1"/>
    <col min="5" max="6" width="15.26953125" customWidth="1"/>
    <col min="7" max="7" width="18.453125" customWidth="1"/>
    <col min="8" max="8" width="16.81640625" customWidth="1"/>
    <col min="9" max="9" width="15.26953125" customWidth="1"/>
    <col min="10" max="10" width="15.54296875" customWidth="1"/>
    <col min="11" max="23" width="15.26953125" customWidth="1"/>
    <col min="24" max="25" width="12.54296875" customWidth="1"/>
    <col min="27" max="27" width="19.1796875" customWidth="1"/>
    <col min="28" max="30" width="15.26953125" customWidth="1"/>
    <col min="31" max="32" width="13.7265625" customWidth="1"/>
    <col min="33" max="33" width="14.1796875" customWidth="1"/>
    <col min="34" max="34" width="13" customWidth="1"/>
    <col min="35" max="35" width="18.26953125" customWidth="1"/>
    <col min="36" max="40" width="15" customWidth="1"/>
    <col min="41" max="41" width="16.7265625" customWidth="1"/>
    <col min="42" max="42" width="18" customWidth="1"/>
    <col min="43" max="46" width="15" customWidth="1"/>
    <col min="47" max="47" width="14" style="1" customWidth="1"/>
    <col min="49" max="49" width="15.1796875" customWidth="1"/>
    <col min="50" max="50" width="22.26953125" customWidth="1"/>
    <col min="51" max="51" width="16.26953125" customWidth="1"/>
    <col min="52" max="52" width="13.453125" customWidth="1"/>
    <col min="53" max="53" width="14" customWidth="1"/>
    <col min="54" max="54" width="11.7265625" customWidth="1"/>
    <col min="55" max="55" width="14.26953125" customWidth="1"/>
    <col min="56" max="56" width="17.7265625" customWidth="1"/>
    <col min="57" max="57" width="22.453125" customWidth="1"/>
    <col min="58" max="58" width="17.7265625" customWidth="1"/>
    <col min="59" max="59" width="11.7265625" customWidth="1"/>
    <col min="60" max="60" width="16.81640625" customWidth="1"/>
    <col min="61" max="61" width="12.81640625" customWidth="1"/>
    <col min="62" max="62" width="15.26953125" customWidth="1"/>
  </cols>
  <sheetData>
    <row r="1" spans="1:62" s="21" customFormat="1" ht="23.5" x14ac:dyDescent="0.55000000000000004">
      <c r="A1" s="22" t="s">
        <v>0</v>
      </c>
      <c r="B1" s="22"/>
      <c r="C1" s="22"/>
      <c r="D1" s="18"/>
      <c r="E1" s="18"/>
      <c r="F1" s="18"/>
      <c r="G1" s="18"/>
      <c r="H1" s="18"/>
      <c r="I1" s="18"/>
      <c r="J1" s="18"/>
      <c r="K1" s="18"/>
      <c r="L1" s="18"/>
      <c r="M1" s="18"/>
      <c r="N1" s="19"/>
      <c r="O1" s="19"/>
      <c r="P1" s="18"/>
      <c r="Q1" s="18"/>
      <c r="R1" s="18"/>
      <c r="S1" s="18"/>
      <c r="T1" s="18"/>
      <c r="U1" s="18"/>
      <c r="V1" s="18"/>
      <c r="W1" s="18"/>
      <c r="X1" s="18"/>
      <c r="Y1" s="18"/>
      <c r="AA1" s="29"/>
      <c r="AB1" s="22" t="s">
        <v>0</v>
      </c>
      <c r="AC1" s="22"/>
      <c r="AD1" s="29"/>
      <c r="AE1" s="29"/>
      <c r="AF1" s="29"/>
      <c r="AU1" s="54"/>
      <c r="AW1" s="22" t="s">
        <v>0</v>
      </c>
      <c r="AX1" s="22"/>
      <c r="AY1" s="22"/>
      <c r="AZ1" s="18"/>
      <c r="BA1" s="18"/>
      <c r="BB1" s="18"/>
      <c r="BC1" s="18"/>
      <c r="BD1" s="18"/>
      <c r="BE1" s="20"/>
      <c r="BF1" s="19"/>
      <c r="BI1" s="29"/>
      <c r="BJ1" s="29"/>
    </row>
    <row r="2" spans="1:62" s="21" customFormat="1" ht="23.5" x14ac:dyDescent="0.55000000000000004">
      <c r="A2" s="22" t="s">
        <v>21</v>
      </c>
      <c r="B2" s="22"/>
      <c r="C2" s="22"/>
      <c r="D2" s="18"/>
      <c r="E2" s="18"/>
      <c r="F2" s="18"/>
      <c r="G2" s="18"/>
      <c r="H2" s="18"/>
      <c r="I2" s="18"/>
      <c r="J2" s="18"/>
      <c r="K2" s="18"/>
      <c r="L2" s="18"/>
      <c r="M2" s="18"/>
      <c r="N2" s="19"/>
      <c r="O2" s="19"/>
      <c r="P2" s="18"/>
      <c r="Q2" s="18"/>
      <c r="R2" s="18"/>
      <c r="S2" s="18"/>
      <c r="T2" s="18"/>
      <c r="U2" s="18"/>
      <c r="V2" s="18"/>
      <c r="W2" s="18"/>
      <c r="X2" s="18"/>
      <c r="Y2" s="18"/>
      <c r="AA2" s="29"/>
      <c r="AB2" s="22" t="s">
        <v>21</v>
      </c>
      <c r="AC2" s="22"/>
      <c r="AD2" s="29"/>
      <c r="AE2" s="29"/>
      <c r="AF2" s="29"/>
      <c r="AU2" s="54"/>
      <c r="AW2" s="22" t="s">
        <v>21</v>
      </c>
      <c r="AX2" s="22"/>
      <c r="AY2" s="22"/>
      <c r="AZ2" s="18"/>
      <c r="BA2" s="18"/>
      <c r="BB2" s="18"/>
      <c r="BC2" s="18"/>
      <c r="BD2" s="18"/>
      <c r="BE2" s="20"/>
      <c r="BF2" s="19"/>
      <c r="BI2" s="29"/>
      <c r="BJ2" s="29"/>
    </row>
    <row r="3" spans="1:62" s="21" customFormat="1" ht="23.5" x14ac:dyDescent="0.55000000000000004">
      <c r="A3" s="22" t="s">
        <v>22</v>
      </c>
      <c r="B3" s="22"/>
      <c r="C3" s="22"/>
      <c r="D3" s="18"/>
      <c r="E3" s="18"/>
      <c r="F3" s="18"/>
      <c r="G3" s="18"/>
      <c r="H3" s="18"/>
      <c r="I3" s="18"/>
      <c r="J3" s="18"/>
      <c r="K3" s="18"/>
      <c r="L3" s="18"/>
      <c r="M3" s="18"/>
      <c r="N3" s="19"/>
      <c r="O3" s="19"/>
      <c r="P3" s="18"/>
      <c r="Q3" s="18"/>
      <c r="R3" s="18"/>
      <c r="S3" s="18"/>
      <c r="T3" s="18"/>
      <c r="U3" s="18"/>
      <c r="V3" s="18"/>
      <c r="W3" s="18"/>
      <c r="X3" s="18"/>
      <c r="Y3" s="18"/>
      <c r="AA3" s="29"/>
      <c r="AB3" s="22" t="s">
        <v>22</v>
      </c>
      <c r="AC3" s="22"/>
      <c r="AD3" s="29"/>
      <c r="AE3" s="29"/>
      <c r="AF3" s="29"/>
      <c r="AU3" s="54"/>
      <c r="AW3" s="22" t="s">
        <v>22</v>
      </c>
      <c r="AX3" s="22"/>
      <c r="AY3" s="22"/>
      <c r="AZ3" s="18"/>
      <c r="BA3" s="18"/>
      <c r="BB3" s="18"/>
      <c r="BC3" s="18"/>
      <c r="BD3" s="18"/>
      <c r="BE3" s="20"/>
      <c r="BF3" s="19"/>
      <c r="BI3" s="29"/>
      <c r="BJ3" s="29"/>
    </row>
    <row r="4" spans="1:62" s="21" customFormat="1" ht="23.5" x14ac:dyDescent="0.55000000000000004">
      <c r="A4" s="22" t="s">
        <v>23</v>
      </c>
      <c r="B4" s="22"/>
      <c r="C4" s="22"/>
      <c r="D4" s="19"/>
      <c r="E4" s="20"/>
      <c r="F4" s="20"/>
      <c r="G4" s="20"/>
      <c r="H4" s="20"/>
      <c r="I4" s="18"/>
      <c r="J4" s="18"/>
      <c r="K4" s="18"/>
      <c r="L4" s="18"/>
      <c r="M4" s="18"/>
      <c r="N4" s="19"/>
      <c r="O4" s="19"/>
      <c r="P4" s="18"/>
      <c r="Q4" s="18"/>
      <c r="R4" s="18"/>
      <c r="S4" s="18"/>
      <c r="T4" s="18"/>
      <c r="U4" s="18"/>
      <c r="V4" s="18"/>
      <c r="W4" s="18"/>
      <c r="X4" s="18"/>
      <c r="Y4" s="18"/>
      <c r="AB4" s="22" t="s">
        <v>23</v>
      </c>
      <c r="AC4" s="22"/>
      <c r="AU4" s="54"/>
      <c r="AW4" s="22" t="s">
        <v>23</v>
      </c>
      <c r="AX4" s="22"/>
      <c r="AY4" s="22"/>
      <c r="AZ4" s="19"/>
      <c r="BA4" s="18"/>
      <c r="BB4" s="18"/>
      <c r="BC4" s="18"/>
      <c r="BD4" s="18"/>
      <c r="BE4" s="20"/>
      <c r="BF4" s="19"/>
    </row>
    <row r="5" spans="1:62" s="21" customFormat="1" ht="23.5" x14ac:dyDescent="0.55000000000000004">
      <c r="A5" s="22" t="s">
        <v>1</v>
      </c>
      <c r="B5" s="22"/>
      <c r="C5" s="22"/>
      <c r="D5" s="19"/>
      <c r="E5" s="18"/>
      <c r="F5" s="18"/>
      <c r="G5" s="18"/>
      <c r="H5" s="18"/>
      <c r="I5" s="18"/>
      <c r="J5" s="18"/>
      <c r="K5" s="18"/>
      <c r="L5" s="18"/>
      <c r="M5" s="18"/>
      <c r="N5" s="19"/>
      <c r="O5" s="19"/>
      <c r="P5" s="18"/>
      <c r="Q5" s="18"/>
      <c r="R5" s="18"/>
      <c r="S5" s="18"/>
      <c r="T5" s="18"/>
      <c r="U5" s="18"/>
      <c r="V5" s="18"/>
      <c r="W5" s="18"/>
      <c r="X5" s="18"/>
      <c r="Y5" s="18"/>
      <c r="AB5" s="22" t="s">
        <v>1</v>
      </c>
      <c r="AC5" s="22"/>
      <c r="AU5" s="54"/>
      <c r="AW5" s="22" t="s">
        <v>1</v>
      </c>
      <c r="AX5" s="22"/>
      <c r="AY5" s="22"/>
      <c r="AZ5" s="19"/>
      <c r="BA5" s="18"/>
      <c r="BB5" s="18"/>
      <c r="BC5" s="18"/>
      <c r="BD5" s="18"/>
      <c r="BE5" s="20"/>
      <c r="BF5" s="19"/>
    </row>
    <row r="6" spans="1:62" ht="20" x14ac:dyDescent="0.4">
      <c r="A6" s="362" t="s">
        <v>18</v>
      </c>
      <c r="B6" s="362"/>
      <c r="C6" s="362"/>
      <c r="D6" s="362"/>
      <c r="E6" s="362"/>
      <c r="F6" s="362"/>
      <c r="G6" s="362"/>
      <c r="H6" s="362"/>
      <c r="I6" s="362"/>
      <c r="J6" s="362"/>
      <c r="K6" s="362"/>
      <c r="L6" s="362"/>
      <c r="M6" s="362"/>
      <c r="N6" s="362"/>
      <c r="O6" s="362"/>
      <c r="P6" s="362"/>
      <c r="Q6" s="362"/>
      <c r="R6" s="362"/>
      <c r="S6" s="362"/>
      <c r="T6" s="362"/>
      <c r="U6" s="362"/>
      <c r="V6" s="362"/>
      <c r="W6" s="362"/>
      <c r="X6" s="362"/>
      <c r="Y6" s="362"/>
      <c r="AF6" s="362" t="s">
        <v>16</v>
      </c>
      <c r="AG6" s="362"/>
      <c r="AH6" s="362"/>
      <c r="AI6" s="362"/>
      <c r="AJ6" s="362"/>
      <c r="AK6" s="362"/>
      <c r="AL6" s="362"/>
      <c r="AM6" s="362"/>
      <c r="AN6" s="362"/>
      <c r="AO6" s="24"/>
      <c r="AP6" s="24"/>
      <c r="AQ6" s="24"/>
      <c r="AR6" s="24"/>
      <c r="AS6" s="24"/>
      <c r="AT6" s="24"/>
      <c r="AY6" s="362" t="s">
        <v>30</v>
      </c>
      <c r="AZ6" s="362"/>
      <c r="BA6" s="362"/>
      <c r="BB6" s="362"/>
      <c r="BC6" s="362"/>
      <c r="BD6" s="362"/>
      <c r="BE6" s="362"/>
      <c r="BF6" s="362"/>
      <c r="BG6" s="362"/>
      <c r="BH6" s="362"/>
      <c r="BI6" s="362"/>
    </row>
    <row r="7" spans="1:62" ht="20.5" thickBot="1" x14ac:dyDescent="0.45">
      <c r="A7" s="363" t="s">
        <v>27</v>
      </c>
      <c r="B7" s="364"/>
      <c r="C7" s="364"/>
      <c r="D7" s="364"/>
      <c r="E7" s="363"/>
      <c r="F7" s="363"/>
      <c r="G7" s="363"/>
      <c r="H7" s="363"/>
      <c r="I7" s="363"/>
      <c r="J7" s="363"/>
      <c r="K7" s="363"/>
      <c r="L7" s="363"/>
      <c r="M7" s="363"/>
      <c r="N7" s="363"/>
      <c r="O7" s="363"/>
      <c r="P7" s="363"/>
      <c r="Q7" s="363"/>
      <c r="R7" s="363"/>
      <c r="S7" s="363"/>
      <c r="T7" s="364"/>
      <c r="U7" s="364"/>
      <c r="V7" s="364"/>
      <c r="W7" s="364"/>
      <c r="X7" s="364"/>
      <c r="Y7" s="364"/>
      <c r="AJ7" s="25" t="s">
        <v>31</v>
      </c>
      <c r="AK7" s="25"/>
      <c r="AL7" s="25"/>
      <c r="AN7" s="25"/>
      <c r="AO7" s="25"/>
      <c r="AP7" s="25"/>
      <c r="AQ7" s="25"/>
      <c r="AS7" s="25"/>
      <c r="AT7" s="25"/>
      <c r="BC7" s="25" t="s">
        <v>31</v>
      </c>
      <c r="BD7" s="25"/>
      <c r="BF7" s="25"/>
      <c r="BG7" s="25"/>
      <c r="BH7" s="25"/>
      <c r="BI7" s="25"/>
      <c r="BJ7" s="25"/>
    </row>
    <row r="8" spans="1:62" ht="41.5" customHeight="1" x14ac:dyDescent="0.35">
      <c r="A8" s="326" t="s">
        <v>24</v>
      </c>
      <c r="B8" s="365" t="s">
        <v>25</v>
      </c>
      <c r="C8" s="366" t="s">
        <v>11</v>
      </c>
      <c r="D8" s="366" t="s">
        <v>15</v>
      </c>
      <c r="E8" s="330" t="s">
        <v>5</v>
      </c>
      <c r="F8" s="330"/>
      <c r="G8" s="330"/>
      <c r="H8" s="330"/>
      <c r="I8" s="330"/>
      <c r="J8" s="330"/>
      <c r="K8" s="330" t="s">
        <v>7</v>
      </c>
      <c r="L8" s="330"/>
      <c r="M8" s="330"/>
      <c r="N8" s="330"/>
      <c r="O8" s="330"/>
      <c r="P8" s="330"/>
      <c r="Q8" s="356" t="s">
        <v>2</v>
      </c>
      <c r="R8" s="350"/>
      <c r="S8" s="358" t="s">
        <v>12</v>
      </c>
      <c r="T8" s="323" t="s">
        <v>8</v>
      </c>
      <c r="U8" s="323"/>
      <c r="V8" s="323" t="s">
        <v>9</v>
      </c>
      <c r="W8" s="323"/>
      <c r="X8" s="323" t="s">
        <v>20</v>
      </c>
      <c r="Y8" s="323"/>
      <c r="AB8" s="326" t="s">
        <v>24</v>
      </c>
      <c r="AC8" s="342" t="s">
        <v>28</v>
      </c>
      <c r="AD8" s="342" t="s">
        <v>14</v>
      </c>
      <c r="AE8" s="345" t="s">
        <v>45</v>
      </c>
      <c r="AF8" s="346"/>
      <c r="AG8" s="349" t="s">
        <v>10</v>
      </c>
      <c r="AH8" s="350"/>
      <c r="AI8" s="353" t="s">
        <v>46</v>
      </c>
      <c r="AJ8" s="336" t="s">
        <v>51</v>
      </c>
      <c r="AK8" s="336" t="s">
        <v>47</v>
      </c>
      <c r="AM8" s="339" t="s">
        <v>41</v>
      </c>
      <c r="AN8" s="341" t="s">
        <v>38</v>
      </c>
      <c r="AO8" s="341" t="s">
        <v>14</v>
      </c>
      <c r="AP8" s="341" t="s">
        <v>39</v>
      </c>
      <c r="AQ8" s="341"/>
      <c r="AR8" s="341" t="s">
        <v>50</v>
      </c>
      <c r="AS8" s="341"/>
      <c r="AT8" s="324" t="s">
        <v>40</v>
      </c>
      <c r="AU8" s="55"/>
      <c r="AW8" s="326" t="s">
        <v>28</v>
      </c>
      <c r="AX8" s="329" t="s">
        <v>48</v>
      </c>
      <c r="AY8" s="330"/>
      <c r="AZ8" s="330"/>
      <c r="BA8" s="330"/>
      <c r="BB8" s="330"/>
      <c r="BC8" s="331"/>
      <c r="BD8" s="332" t="s">
        <v>49</v>
      </c>
      <c r="BE8" s="330"/>
      <c r="BF8" s="330"/>
      <c r="BG8" s="330"/>
      <c r="BH8" s="330"/>
      <c r="BI8" s="331"/>
    </row>
    <row r="9" spans="1:62" ht="19.149999999999999" customHeight="1" x14ac:dyDescent="0.35">
      <c r="A9" s="327"/>
      <c r="B9" s="365"/>
      <c r="C9" s="366"/>
      <c r="D9" s="366"/>
      <c r="E9" s="333" t="s">
        <v>6</v>
      </c>
      <c r="F9" s="334"/>
      <c r="G9" s="335" t="s">
        <v>13</v>
      </c>
      <c r="H9" s="334"/>
      <c r="I9" s="323" t="s">
        <v>19</v>
      </c>
      <c r="J9" s="323"/>
      <c r="K9" s="333" t="s">
        <v>6</v>
      </c>
      <c r="L9" s="334"/>
      <c r="M9" s="335" t="s">
        <v>13</v>
      </c>
      <c r="N9" s="334"/>
      <c r="O9" s="323" t="s">
        <v>19</v>
      </c>
      <c r="P9" s="323"/>
      <c r="Q9" s="357"/>
      <c r="R9" s="352"/>
      <c r="S9" s="359"/>
      <c r="T9" s="323"/>
      <c r="U9" s="323"/>
      <c r="V9" s="323"/>
      <c r="W9" s="323"/>
      <c r="X9" s="323"/>
      <c r="Y9" s="323"/>
      <c r="AB9" s="327"/>
      <c r="AC9" s="343"/>
      <c r="AD9" s="343"/>
      <c r="AE9" s="347"/>
      <c r="AF9" s="348"/>
      <c r="AG9" s="351"/>
      <c r="AH9" s="352"/>
      <c r="AI9" s="354"/>
      <c r="AJ9" s="337"/>
      <c r="AK9" s="337"/>
      <c r="AM9" s="340"/>
      <c r="AN9" s="323"/>
      <c r="AO9" s="323"/>
      <c r="AP9" s="8" t="s">
        <v>3</v>
      </c>
      <c r="AQ9" s="8" t="s">
        <v>4</v>
      </c>
      <c r="AR9" s="43" t="s">
        <v>3</v>
      </c>
      <c r="AS9" s="43" t="s">
        <v>4</v>
      </c>
      <c r="AT9" s="325"/>
      <c r="AU9" s="55"/>
      <c r="AW9" s="327"/>
      <c r="AX9" s="314" t="s">
        <v>17</v>
      </c>
      <c r="AY9" s="314" t="s">
        <v>11</v>
      </c>
      <c r="AZ9" s="314" t="s">
        <v>32</v>
      </c>
      <c r="BA9" s="314" t="s">
        <v>37</v>
      </c>
      <c r="BB9" s="314" t="s">
        <v>34</v>
      </c>
      <c r="BC9" s="314" t="s">
        <v>12</v>
      </c>
      <c r="BD9" s="314" t="s">
        <v>33</v>
      </c>
      <c r="BE9" s="314" t="s">
        <v>11</v>
      </c>
      <c r="BF9" s="314" t="s">
        <v>35</v>
      </c>
      <c r="BG9" s="314" t="s">
        <v>37</v>
      </c>
      <c r="BH9" s="314" t="s">
        <v>34</v>
      </c>
      <c r="BI9" s="314" t="s">
        <v>12</v>
      </c>
    </row>
    <row r="10" spans="1:62" ht="53.5" customHeight="1" thickBot="1" x14ac:dyDescent="0.4">
      <c r="A10" s="328"/>
      <c r="B10" s="365"/>
      <c r="C10" s="366"/>
      <c r="D10" s="366"/>
      <c r="E10" s="7" t="s">
        <v>3</v>
      </c>
      <c r="F10" s="8" t="s">
        <v>4</v>
      </c>
      <c r="G10" s="7" t="s">
        <v>3</v>
      </c>
      <c r="H10" s="8" t="s">
        <v>4</v>
      </c>
      <c r="I10" s="8" t="s">
        <v>3</v>
      </c>
      <c r="J10" s="8" t="s">
        <v>4</v>
      </c>
      <c r="K10" s="7" t="s">
        <v>3</v>
      </c>
      <c r="L10" s="8" t="s">
        <v>4</v>
      </c>
      <c r="M10" s="7" t="s">
        <v>3</v>
      </c>
      <c r="N10" s="8" t="s">
        <v>4</v>
      </c>
      <c r="O10" s="8" t="s">
        <v>3</v>
      </c>
      <c r="P10" s="8" t="s">
        <v>4</v>
      </c>
      <c r="Q10" s="9" t="s">
        <v>3</v>
      </c>
      <c r="R10" s="9" t="s">
        <v>4</v>
      </c>
      <c r="S10" s="360"/>
      <c r="T10" s="8" t="s">
        <v>3</v>
      </c>
      <c r="U10" s="8" t="s">
        <v>4</v>
      </c>
      <c r="V10" s="8" t="s">
        <v>3</v>
      </c>
      <c r="W10" s="8" t="s">
        <v>4</v>
      </c>
      <c r="X10" s="8" t="s">
        <v>3</v>
      </c>
      <c r="Y10" s="8" t="s">
        <v>4</v>
      </c>
      <c r="AB10" s="361"/>
      <c r="AC10" s="344"/>
      <c r="AD10" s="344"/>
      <c r="AE10" s="49" t="s">
        <v>3</v>
      </c>
      <c r="AF10" s="50" t="s">
        <v>4</v>
      </c>
      <c r="AG10" s="51" t="s">
        <v>3</v>
      </c>
      <c r="AH10" s="52" t="s">
        <v>4</v>
      </c>
      <c r="AI10" s="355"/>
      <c r="AJ10" s="338"/>
      <c r="AK10" s="338"/>
      <c r="AM10" s="340"/>
      <c r="AN10" s="42" t="str">
        <f>'20'!AN10</f>
        <v>0124W120</v>
      </c>
      <c r="AO10" s="42">
        <f>'20'!AT10</f>
        <v>48</v>
      </c>
      <c r="AP10" s="42"/>
      <c r="AQ10" s="17">
        <f>AP10+'20'!AQ10</f>
        <v>73</v>
      </c>
      <c r="AR10" s="17"/>
      <c r="AS10" s="17">
        <f>AR10+'20'!AS10</f>
        <v>25</v>
      </c>
      <c r="AT10" s="44">
        <f>AO10+AP10-AR10</f>
        <v>48</v>
      </c>
      <c r="AU10" s="56"/>
      <c r="AW10" s="328"/>
      <c r="AX10" s="315"/>
      <c r="AY10" s="315"/>
      <c r="AZ10" s="315"/>
      <c r="BA10" s="315"/>
      <c r="BB10" s="315"/>
      <c r="BC10" s="315"/>
      <c r="BD10" s="315"/>
      <c r="BE10" s="315"/>
      <c r="BF10" s="315"/>
      <c r="BG10" s="315"/>
      <c r="BH10" s="315"/>
      <c r="BI10" s="315"/>
    </row>
    <row r="11" spans="1:62" ht="41.5" customHeight="1" x14ac:dyDescent="0.35">
      <c r="A11" s="5">
        <v>1</v>
      </c>
      <c r="B11" s="26" t="str">
        <f>'20'!B11</f>
        <v>مكتب الصحة</v>
      </c>
      <c r="C11" s="26">
        <f>'20'!C11</f>
        <v>12251</v>
      </c>
      <c r="D11" s="26"/>
      <c r="E11" s="12"/>
      <c r="F11" s="2">
        <f>E11+'20'!F11</f>
        <v>39</v>
      </c>
      <c r="G11" s="2"/>
      <c r="H11" s="2">
        <f>G11+'20'!H11</f>
        <v>1961</v>
      </c>
      <c r="I11" s="2"/>
      <c r="J11" s="2">
        <f>I11+'20'!J11</f>
        <v>5340</v>
      </c>
      <c r="K11" s="2"/>
      <c r="L11" s="2">
        <f>K11+'20'!L11</f>
        <v>0</v>
      </c>
      <c r="M11" s="2"/>
      <c r="N11" s="2">
        <f>M11+'20'!N11</f>
        <v>0</v>
      </c>
      <c r="O11" s="2"/>
      <c r="P11" s="2">
        <f>O11+'20'!P11</f>
        <v>0</v>
      </c>
      <c r="Q11" s="4">
        <f>O11+M11+K11+I11+G11+E11</f>
        <v>0</v>
      </c>
      <c r="R11" s="4">
        <f>Q11+'20'!R11</f>
        <v>7340</v>
      </c>
      <c r="S11" s="27">
        <f>R11/C11</f>
        <v>0.5991347645090197</v>
      </c>
      <c r="T11" s="12"/>
      <c r="U11" s="12">
        <f>T11+'20'!U11</f>
        <v>1397</v>
      </c>
      <c r="V11" s="12"/>
      <c r="W11" s="12">
        <f>V11+'20'!W11</f>
        <v>4</v>
      </c>
      <c r="X11" s="12"/>
      <c r="Y11" s="12">
        <f>X11+'20'!Y11</f>
        <v>1</v>
      </c>
      <c r="AB11" s="48">
        <v>1</v>
      </c>
      <c r="AC11" s="26" t="str">
        <f>'20'!AC11</f>
        <v>مكتب الصحة</v>
      </c>
      <c r="AD11" s="28">
        <f>'20'!AI11</f>
        <v>333</v>
      </c>
      <c r="AE11" s="3"/>
      <c r="AF11" s="28">
        <f>AE11+'20'!AF11</f>
        <v>1082</v>
      </c>
      <c r="AG11" s="4"/>
      <c r="AH11" s="28">
        <f>AG11+'20'!AH11</f>
        <v>749</v>
      </c>
      <c r="AI11" s="4">
        <f>AD11+AE11-AG11</f>
        <v>333</v>
      </c>
      <c r="AJ11" s="11" t="e">
        <f t="shared" ref="AJ11:AJ51" si="0">Q11/AG11</f>
        <v>#DIV/0!</v>
      </c>
      <c r="AK11" s="53">
        <f t="shared" ref="AK11:AK51" si="1">R11/AH11</f>
        <v>9.799732977303071</v>
      </c>
      <c r="AM11" s="340"/>
      <c r="AN11" s="42" t="str">
        <f>'20'!AN11</f>
        <v>420604325A</v>
      </c>
      <c r="AO11" s="42">
        <f>'20'!AT11</f>
        <v>3076</v>
      </c>
      <c r="AP11" s="16"/>
      <c r="AQ11" s="17">
        <f>AP11+'20'!AQ11</f>
        <v>8550</v>
      </c>
      <c r="AR11" s="16"/>
      <c r="AS11" s="17">
        <f>AR11+'20'!AS11</f>
        <v>5474</v>
      </c>
      <c r="AT11" s="44">
        <f>AO11+AP11-AR11</f>
        <v>3076</v>
      </c>
      <c r="AU11" s="56"/>
      <c r="AW11" s="26" t="str">
        <f>'20'!AW11</f>
        <v>مكتب الصحة</v>
      </c>
      <c r="AX11" s="12">
        <f>'20'!AX11</f>
        <v>11</v>
      </c>
      <c r="AY11" s="12">
        <f>'20'!AY11</f>
        <v>8411</v>
      </c>
      <c r="AZ11" s="12"/>
      <c r="BA11" s="12"/>
      <c r="BB11" s="12">
        <f>BA11+'20'!BB11</f>
        <v>5998</v>
      </c>
      <c r="BC11" s="30">
        <f t="shared" ref="BC11:BC51" si="2">BB11/AY11</f>
        <v>0.71311377957436695</v>
      </c>
      <c r="BD11" s="12">
        <f>'20'!BD11</f>
        <v>27</v>
      </c>
      <c r="BE11" s="12">
        <f>'20'!BE11</f>
        <v>1746</v>
      </c>
      <c r="BF11" s="12"/>
      <c r="BG11" s="12"/>
      <c r="BH11" s="12">
        <f>BG11+'20'!BH11</f>
        <v>477</v>
      </c>
      <c r="BI11" s="30">
        <f t="shared" ref="BI11:BI51" si="3">BH11/BE11</f>
        <v>0.27319587628865977</v>
      </c>
    </row>
    <row r="12" spans="1:62" ht="41.5" customHeight="1" x14ac:dyDescent="0.35">
      <c r="A12" s="5">
        <v>2</v>
      </c>
      <c r="B12" s="26" t="str">
        <f>'20'!B12</f>
        <v>شبرابخـــــــــــوم</v>
      </c>
      <c r="C12" s="26">
        <f>'20'!C12</f>
        <v>4445</v>
      </c>
      <c r="D12" s="26"/>
      <c r="E12" s="12"/>
      <c r="F12" s="2">
        <f>E12+'20'!F12</f>
        <v>14</v>
      </c>
      <c r="G12" s="2"/>
      <c r="H12" s="2">
        <f>G12+'20'!H12</f>
        <v>392</v>
      </c>
      <c r="I12" s="2"/>
      <c r="J12" s="2">
        <f>I12+'20'!J12</f>
        <v>1857</v>
      </c>
      <c r="K12" s="2"/>
      <c r="L12" s="2">
        <f>K12+'20'!L12</f>
        <v>0</v>
      </c>
      <c r="M12" s="2"/>
      <c r="N12" s="2">
        <f>M12+'20'!N12</f>
        <v>0</v>
      </c>
      <c r="O12" s="2"/>
      <c r="P12" s="2">
        <f>O12+'20'!P12</f>
        <v>0</v>
      </c>
      <c r="Q12" s="4">
        <f t="shared" ref="Q12:Q50" si="4">O12+M12+K12+I12+G12+E12</f>
        <v>0</v>
      </c>
      <c r="R12" s="4">
        <f>Q12+'20'!R12</f>
        <v>2263</v>
      </c>
      <c r="S12" s="27">
        <f t="shared" ref="S12:S50" si="5">R12/C12</f>
        <v>0.50911136107986499</v>
      </c>
      <c r="T12" s="12"/>
      <c r="U12" s="12">
        <f>T12+'20'!U12</f>
        <v>373</v>
      </c>
      <c r="V12" s="12"/>
      <c r="W12" s="12">
        <f>V12+'20'!W12</f>
        <v>15</v>
      </c>
      <c r="X12" s="12"/>
      <c r="Y12" s="12">
        <f>X12+'20'!Y12</f>
        <v>0</v>
      </c>
      <c r="AB12" s="5">
        <v>2</v>
      </c>
      <c r="AC12" s="26" t="str">
        <f>'20'!AC12</f>
        <v>شبرابخـــــــــــوم</v>
      </c>
      <c r="AD12" s="28">
        <f>'20'!AI12</f>
        <v>158</v>
      </c>
      <c r="AE12" s="3"/>
      <c r="AF12" s="28">
        <f>AE12+'20'!AF12</f>
        <v>390</v>
      </c>
      <c r="AG12" s="4"/>
      <c r="AH12" s="28">
        <f>AG12+'20'!AH12</f>
        <v>232</v>
      </c>
      <c r="AI12" s="4">
        <f>AD12+AE12-AG12</f>
        <v>158</v>
      </c>
      <c r="AJ12" s="11" t="e">
        <f t="shared" si="0"/>
        <v>#DIV/0!</v>
      </c>
      <c r="AK12" s="53">
        <f t="shared" si="1"/>
        <v>9.7543103448275854</v>
      </c>
      <c r="AM12" s="340"/>
      <c r="AN12" s="42" t="str">
        <f>'20'!AN12</f>
        <v>420604225A</v>
      </c>
      <c r="AO12" s="42">
        <f>'20'!AT12</f>
        <v>100</v>
      </c>
      <c r="AP12" s="16"/>
      <c r="AQ12" s="17">
        <f>AP12+'20'!AQ12</f>
        <v>100</v>
      </c>
      <c r="AR12" s="16"/>
      <c r="AS12" s="17">
        <f>AR12+'20'!AS12</f>
        <v>0</v>
      </c>
      <c r="AT12" s="44">
        <f>AO12+AP12-AR12</f>
        <v>100</v>
      </c>
      <c r="AU12" s="56"/>
      <c r="AW12" s="26" t="str">
        <f>'20'!AW12</f>
        <v>شبرابخـــــــــــوم</v>
      </c>
      <c r="AX12" s="12">
        <f>'20'!AX12</f>
        <v>6</v>
      </c>
      <c r="AY12" s="12">
        <f>'20'!AY12</f>
        <v>2215</v>
      </c>
      <c r="AZ12" s="12"/>
      <c r="BA12" s="12"/>
      <c r="BB12" s="12">
        <f>BA12+'20'!BB12</f>
        <v>2306</v>
      </c>
      <c r="BC12" s="30">
        <f t="shared" si="2"/>
        <v>1.0410835214446952</v>
      </c>
      <c r="BD12" s="12">
        <f>'20'!BD12</f>
        <v>16</v>
      </c>
      <c r="BE12" s="12">
        <f>'20'!BE12</f>
        <v>729</v>
      </c>
      <c r="BF12" s="12"/>
      <c r="BG12" s="12"/>
      <c r="BH12" s="12">
        <f>BG12+'20'!BH12</f>
        <v>224</v>
      </c>
      <c r="BI12" s="30">
        <f t="shared" si="3"/>
        <v>0.30727023319615915</v>
      </c>
    </row>
    <row r="13" spans="1:62" ht="41.5" customHeight="1" x14ac:dyDescent="0.35">
      <c r="A13" s="5">
        <v>3</v>
      </c>
      <c r="B13" s="26" t="str">
        <f>'20'!B13</f>
        <v>ميت بره</v>
      </c>
      <c r="C13" s="26">
        <f>'20'!C13</f>
        <v>11614</v>
      </c>
      <c r="D13" s="26"/>
      <c r="E13" s="12"/>
      <c r="F13" s="2">
        <f>E13+'20'!F13</f>
        <v>45</v>
      </c>
      <c r="G13" s="2"/>
      <c r="H13" s="2">
        <f>G13+'20'!H13</f>
        <v>465</v>
      </c>
      <c r="I13" s="2"/>
      <c r="J13" s="2">
        <f>I13+'20'!J13</f>
        <v>3703</v>
      </c>
      <c r="K13" s="2"/>
      <c r="L13" s="2">
        <f>K13+'20'!L13</f>
        <v>0</v>
      </c>
      <c r="M13" s="2"/>
      <c r="N13" s="2">
        <f>M13+'20'!N13</f>
        <v>0</v>
      </c>
      <c r="O13" s="2"/>
      <c r="P13" s="2">
        <f>O13+'20'!P13</f>
        <v>0</v>
      </c>
      <c r="Q13" s="4">
        <f t="shared" si="4"/>
        <v>0</v>
      </c>
      <c r="R13" s="4">
        <f>Q13+'20'!R13</f>
        <v>4213</v>
      </c>
      <c r="S13" s="27">
        <f t="shared" si="5"/>
        <v>0.36275185121405201</v>
      </c>
      <c r="T13" s="12"/>
      <c r="U13" s="12">
        <f>T13+'20'!U13</f>
        <v>641</v>
      </c>
      <c r="V13" s="12"/>
      <c r="W13" s="12">
        <f>V13+'20'!W13</f>
        <v>0</v>
      </c>
      <c r="X13" s="12"/>
      <c r="Y13" s="12">
        <f>X13+'20'!Y13</f>
        <v>0</v>
      </c>
      <c r="AB13" s="5">
        <v>3</v>
      </c>
      <c r="AC13" s="26" t="str">
        <f>'20'!AC13</f>
        <v>ميت بره</v>
      </c>
      <c r="AD13" s="28">
        <f>'20'!AI13</f>
        <v>584</v>
      </c>
      <c r="AE13" s="3"/>
      <c r="AF13" s="28">
        <f>AE13+'20'!AF13</f>
        <v>1020</v>
      </c>
      <c r="AG13" s="4"/>
      <c r="AH13" s="28">
        <f>AG13+'20'!AH13</f>
        <v>436</v>
      </c>
      <c r="AI13" s="4">
        <f t="shared" ref="AI13:AI50" si="6">AD13+AE13-AG13</f>
        <v>584</v>
      </c>
      <c r="AJ13" s="11" t="e">
        <f t="shared" si="0"/>
        <v>#DIV/0!</v>
      </c>
      <c r="AK13" s="53">
        <f t="shared" si="1"/>
        <v>9.6628440366972477</v>
      </c>
      <c r="AM13" s="340"/>
      <c r="AN13" s="46" t="s">
        <v>43</v>
      </c>
      <c r="AO13" s="45">
        <f t="shared" ref="AO13:AT13" si="7">SUM(AO10:AO12)</f>
        <v>3224</v>
      </c>
      <c r="AP13" s="45">
        <f t="shared" si="7"/>
        <v>0</v>
      </c>
      <c r="AQ13" s="45">
        <f t="shared" si="7"/>
        <v>8723</v>
      </c>
      <c r="AR13" s="45">
        <f t="shared" si="7"/>
        <v>0</v>
      </c>
      <c r="AS13" s="45">
        <f t="shared" si="7"/>
        <v>5499</v>
      </c>
      <c r="AT13" s="47">
        <f t="shared" si="7"/>
        <v>3224</v>
      </c>
      <c r="AU13" s="56"/>
      <c r="AW13" s="26" t="str">
        <f>'20'!AW13</f>
        <v>ميت بره</v>
      </c>
      <c r="AX13" s="12">
        <f>'20'!AX13</f>
        <v>8</v>
      </c>
      <c r="AY13" s="12">
        <f>'20'!AY13</f>
        <v>4849</v>
      </c>
      <c r="AZ13" s="12"/>
      <c r="BA13" s="12"/>
      <c r="BB13" s="12">
        <f>BA13+'20'!BB13</f>
        <v>4093</v>
      </c>
      <c r="BC13" s="30">
        <f t="shared" si="2"/>
        <v>0.84409156527118989</v>
      </c>
      <c r="BD13" s="12">
        <f>'20'!BD13</f>
        <v>21</v>
      </c>
      <c r="BE13" s="12">
        <f>'20'!BE13</f>
        <v>1129</v>
      </c>
      <c r="BF13" s="12"/>
      <c r="BG13" s="12"/>
      <c r="BH13" s="12">
        <f>BG13+'20'!BH13</f>
        <v>128</v>
      </c>
      <c r="BI13" s="30">
        <f t="shared" si="3"/>
        <v>0.11337466784765279</v>
      </c>
    </row>
    <row r="14" spans="1:62" ht="41.5" customHeight="1" thickBot="1" x14ac:dyDescent="0.4">
      <c r="A14" s="5">
        <v>4</v>
      </c>
      <c r="B14" s="26" t="str">
        <f>'20'!B14</f>
        <v>أبنــــــــــــــــهس</v>
      </c>
      <c r="C14" s="26">
        <f>'20'!C14</f>
        <v>5029</v>
      </c>
      <c r="D14" s="26"/>
      <c r="E14" s="12"/>
      <c r="F14" s="2">
        <f>E14+'20'!F14</f>
        <v>14</v>
      </c>
      <c r="G14" s="2"/>
      <c r="H14" s="2">
        <f>G14+'20'!H14</f>
        <v>349</v>
      </c>
      <c r="I14" s="2"/>
      <c r="J14" s="2">
        <f>I14+'20'!J14</f>
        <v>2016</v>
      </c>
      <c r="K14" s="2"/>
      <c r="L14" s="2">
        <f>K14+'20'!L14</f>
        <v>0</v>
      </c>
      <c r="M14" s="2"/>
      <c r="N14" s="2">
        <f>M14+'20'!N14</f>
        <v>0</v>
      </c>
      <c r="O14" s="2"/>
      <c r="P14" s="2">
        <f>O14+'20'!P14</f>
        <v>0</v>
      </c>
      <c r="Q14" s="4">
        <f t="shared" si="4"/>
        <v>0</v>
      </c>
      <c r="R14" s="4">
        <f>Q14+'20'!R14</f>
        <v>2379</v>
      </c>
      <c r="S14" s="27">
        <f t="shared" si="5"/>
        <v>0.47305627361304436</v>
      </c>
      <c r="T14" s="12"/>
      <c r="U14" s="12">
        <f>T14+'20'!U14</f>
        <v>341</v>
      </c>
      <c r="V14" s="12"/>
      <c r="W14" s="12">
        <f>V14+'20'!W14</f>
        <v>29</v>
      </c>
      <c r="X14" s="12"/>
      <c r="Y14" s="12">
        <f>X14+'20'!Y14</f>
        <v>0</v>
      </c>
      <c r="AB14" s="5">
        <v>4</v>
      </c>
      <c r="AC14" s="26" t="str">
        <f>'20'!AC14</f>
        <v>أبنــــــــــــــــهس</v>
      </c>
      <c r="AD14" s="28">
        <f>'20'!AI14</f>
        <v>196</v>
      </c>
      <c r="AE14" s="3"/>
      <c r="AF14" s="28">
        <f>AE14+'20'!AF14</f>
        <v>440</v>
      </c>
      <c r="AG14" s="4"/>
      <c r="AH14" s="28">
        <f>AG14+'20'!AH14</f>
        <v>244</v>
      </c>
      <c r="AI14" s="4">
        <f t="shared" si="6"/>
        <v>196</v>
      </c>
      <c r="AJ14" s="11" t="e">
        <f t="shared" si="0"/>
        <v>#DIV/0!</v>
      </c>
      <c r="AK14" s="53">
        <f t="shared" si="1"/>
        <v>9.75</v>
      </c>
      <c r="AM14" s="316" t="s">
        <v>42</v>
      </c>
      <c r="AN14" s="317"/>
      <c r="AO14" s="318"/>
      <c r="AP14" s="319"/>
      <c r="AQ14" s="319"/>
      <c r="AR14" s="319"/>
      <c r="AS14" s="320"/>
      <c r="AT14" s="39">
        <f>AT13+AI51</f>
        <v>6357</v>
      </c>
      <c r="AU14" s="57"/>
      <c r="AW14" s="26" t="str">
        <f>'20'!AW14</f>
        <v>أبنــــــــــــــــهس</v>
      </c>
      <c r="AX14" s="12">
        <f>'20'!AX14</f>
        <v>7</v>
      </c>
      <c r="AY14" s="12">
        <f>'20'!AY14</f>
        <v>2531</v>
      </c>
      <c r="AZ14" s="12"/>
      <c r="BA14" s="12"/>
      <c r="BB14" s="12">
        <f>BA14+'20'!BB14</f>
        <v>2092</v>
      </c>
      <c r="BC14" s="30">
        <f t="shared" si="2"/>
        <v>0.82655077044646386</v>
      </c>
      <c r="BD14" s="12">
        <f>'20'!BD14</f>
        <v>23</v>
      </c>
      <c r="BE14" s="12">
        <f>'20'!BE14</f>
        <v>921</v>
      </c>
      <c r="BF14" s="12"/>
      <c r="BG14" s="12"/>
      <c r="BH14" s="12">
        <f>BG14+'20'!BH14</f>
        <v>287</v>
      </c>
      <c r="BI14" s="30">
        <f t="shared" si="3"/>
        <v>0.31161780673181327</v>
      </c>
    </row>
    <row r="15" spans="1:62" ht="41.5" customHeight="1" x14ac:dyDescent="0.35">
      <c r="A15" s="5">
        <v>5</v>
      </c>
      <c r="B15" s="26" t="str">
        <f>'20'!B15</f>
        <v>ميت ســـــــــراج</v>
      </c>
      <c r="C15" s="26">
        <f>'20'!C15</f>
        <v>2369</v>
      </c>
      <c r="D15" s="26"/>
      <c r="E15" s="12"/>
      <c r="F15" s="2">
        <f>E15+'20'!F15</f>
        <v>4</v>
      </c>
      <c r="G15" s="2"/>
      <c r="H15" s="2">
        <f>G15+'20'!H15</f>
        <v>472</v>
      </c>
      <c r="I15" s="2"/>
      <c r="J15" s="2">
        <f>I15+'20'!J15</f>
        <v>839</v>
      </c>
      <c r="K15" s="2"/>
      <c r="L15" s="2">
        <f>K15+'20'!L15</f>
        <v>0</v>
      </c>
      <c r="M15" s="2"/>
      <c r="N15" s="2">
        <f>M15+'20'!N15</f>
        <v>0</v>
      </c>
      <c r="O15" s="2"/>
      <c r="P15" s="2">
        <f>O15+'20'!P15</f>
        <v>0</v>
      </c>
      <c r="Q15" s="4">
        <f t="shared" si="4"/>
        <v>0</v>
      </c>
      <c r="R15" s="4">
        <f>Q15+'20'!R15</f>
        <v>1315</v>
      </c>
      <c r="S15" s="27">
        <f t="shared" si="5"/>
        <v>0.55508653440270161</v>
      </c>
      <c r="T15" s="12"/>
      <c r="U15" s="12">
        <f>T15+'20'!U15</f>
        <v>105</v>
      </c>
      <c r="V15" s="12"/>
      <c r="W15" s="12">
        <f>V15+'20'!W15</f>
        <v>37</v>
      </c>
      <c r="X15" s="12"/>
      <c r="Y15" s="12">
        <f>X15+'20'!Y15</f>
        <v>0</v>
      </c>
      <c r="AB15" s="5">
        <v>5</v>
      </c>
      <c r="AC15" s="26" t="str">
        <f>'20'!AC15</f>
        <v>ميت ســـــــــراج</v>
      </c>
      <c r="AD15" s="28">
        <f>'20'!AI15</f>
        <v>74</v>
      </c>
      <c r="AE15" s="3"/>
      <c r="AF15" s="28">
        <f>AE15+'20'!AF15</f>
        <v>209</v>
      </c>
      <c r="AG15" s="4"/>
      <c r="AH15" s="28">
        <f>AG15+'20'!AH15</f>
        <v>135</v>
      </c>
      <c r="AI15" s="4">
        <f t="shared" si="6"/>
        <v>74</v>
      </c>
      <c r="AJ15" s="11" t="e">
        <f t="shared" si="0"/>
        <v>#DIV/0!</v>
      </c>
      <c r="AK15" s="53">
        <f t="shared" si="1"/>
        <v>9.7407407407407405</v>
      </c>
      <c r="AW15" s="26" t="str">
        <f>'20'!AW15</f>
        <v>ميت ســـــــــراج</v>
      </c>
      <c r="AX15" s="12">
        <f>'20'!AX15</f>
        <v>2</v>
      </c>
      <c r="AY15" s="12">
        <f>'20'!AY15</f>
        <v>1041</v>
      </c>
      <c r="AZ15" s="12"/>
      <c r="BA15" s="12"/>
      <c r="BB15" s="12">
        <f>BA15+'20'!BB15</f>
        <v>874</v>
      </c>
      <c r="BC15" s="30">
        <f t="shared" si="2"/>
        <v>0.83957732949087416</v>
      </c>
      <c r="BD15" s="12">
        <f>'20'!BD15</f>
        <v>5</v>
      </c>
      <c r="BE15" s="12">
        <f>'20'!BE15</f>
        <v>310</v>
      </c>
      <c r="BF15" s="12"/>
      <c r="BG15" s="12"/>
      <c r="BH15" s="12">
        <f>BG15+'20'!BH15</f>
        <v>385</v>
      </c>
      <c r="BI15" s="30">
        <f t="shared" si="3"/>
        <v>1.2419354838709677</v>
      </c>
    </row>
    <row r="16" spans="1:62" ht="41.5" customHeight="1" x14ac:dyDescent="0.35">
      <c r="A16" s="5">
        <v>6</v>
      </c>
      <c r="B16" s="26" t="str">
        <f>'20'!B16</f>
        <v>أم خــــــــــــــنان</v>
      </c>
      <c r="C16" s="26">
        <f>'20'!C16</f>
        <v>4900</v>
      </c>
      <c r="D16" s="26"/>
      <c r="E16" s="12"/>
      <c r="F16" s="2">
        <f>E16+'20'!F16</f>
        <v>11</v>
      </c>
      <c r="G16" s="2"/>
      <c r="H16" s="2">
        <f>G16+'20'!H16</f>
        <v>280</v>
      </c>
      <c r="I16" s="2"/>
      <c r="J16" s="2">
        <f>I16+'20'!J16</f>
        <v>1942</v>
      </c>
      <c r="K16" s="2"/>
      <c r="L16" s="2">
        <f>K16+'20'!L16</f>
        <v>0</v>
      </c>
      <c r="M16" s="2"/>
      <c r="N16" s="2">
        <f>M16+'20'!N16</f>
        <v>0</v>
      </c>
      <c r="O16" s="2"/>
      <c r="P16" s="2">
        <f>O16+'20'!P16</f>
        <v>0</v>
      </c>
      <c r="Q16" s="4">
        <f t="shared" si="4"/>
        <v>0</v>
      </c>
      <c r="R16" s="4">
        <f>Q16+'20'!R16</f>
        <v>2233</v>
      </c>
      <c r="S16" s="27">
        <f t="shared" si="5"/>
        <v>0.45571428571428574</v>
      </c>
      <c r="T16" s="12"/>
      <c r="U16" s="12">
        <f>T16+'20'!U16</f>
        <v>375</v>
      </c>
      <c r="V16" s="12"/>
      <c r="W16" s="12">
        <f>V16+'20'!W16</f>
        <v>0</v>
      </c>
      <c r="X16" s="12"/>
      <c r="Y16" s="12">
        <f>X16+'20'!Y16</f>
        <v>0</v>
      </c>
      <c r="AB16" s="5">
        <v>6</v>
      </c>
      <c r="AC16" s="26" t="str">
        <f>'20'!AC16</f>
        <v>أم خــــــــــــــنان</v>
      </c>
      <c r="AD16" s="28">
        <f>'20'!AI16</f>
        <v>204</v>
      </c>
      <c r="AE16" s="3"/>
      <c r="AF16" s="28">
        <f>AE16+'20'!AF16</f>
        <v>430</v>
      </c>
      <c r="AG16" s="4"/>
      <c r="AH16" s="28">
        <f>AG16+'20'!AH16</f>
        <v>226</v>
      </c>
      <c r="AI16" s="4">
        <f t="shared" si="6"/>
        <v>204</v>
      </c>
      <c r="AJ16" s="11" t="e">
        <f t="shared" si="0"/>
        <v>#DIV/0!</v>
      </c>
      <c r="AK16" s="53">
        <f t="shared" si="1"/>
        <v>9.8805309734513269</v>
      </c>
      <c r="AW16" s="26" t="str">
        <f>'20'!AW16</f>
        <v>أم خــــــــــــــنان</v>
      </c>
      <c r="AX16" s="12">
        <f>'20'!AX16</f>
        <v>8</v>
      </c>
      <c r="AY16" s="12">
        <f>'20'!AY16</f>
        <v>2981</v>
      </c>
      <c r="AZ16" s="12"/>
      <c r="BA16" s="12"/>
      <c r="BB16" s="12">
        <f>BA16+'20'!BB16</f>
        <v>2132</v>
      </c>
      <c r="BC16" s="30">
        <f t="shared" si="2"/>
        <v>0.71519624287151962</v>
      </c>
      <c r="BD16" s="12">
        <f>'20'!BD16</f>
        <v>12</v>
      </c>
      <c r="BE16" s="12">
        <f>'20'!BE16</f>
        <v>1313</v>
      </c>
      <c r="BF16" s="12"/>
      <c r="BG16" s="12"/>
      <c r="BH16" s="12">
        <f>BG16+'20'!BH16</f>
        <v>0</v>
      </c>
      <c r="BI16" s="30">
        <f t="shared" si="3"/>
        <v>0</v>
      </c>
    </row>
    <row r="17" spans="1:61" ht="41.5" customHeight="1" x14ac:dyDescent="0.35">
      <c r="A17" s="5">
        <v>7</v>
      </c>
      <c r="B17" s="26" t="str">
        <f>'20'!B17</f>
        <v>أجهور الرمل</v>
      </c>
      <c r="C17" s="26">
        <f>'20'!C17</f>
        <v>3590</v>
      </c>
      <c r="D17" s="26"/>
      <c r="E17" s="12"/>
      <c r="F17" s="2">
        <f>E17+'20'!F17</f>
        <v>17</v>
      </c>
      <c r="G17" s="2"/>
      <c r="H17" s="2">
        <f>G17+'20'!H17</f>
        <v>591</v>
      </c>
      <c r="I17" s="2"/>
      <c r="J17" s="2">
        <f>I17+'20'!J17</f>
        <v>1489</v>
      </c>
      <c r="K17" s="2"/>
      <c r="L17" s="2">
        <f>K17+'20'!L17</f>
        <v>0</v>
      </c>
      <c r="M17" s="2"/>
      <c r="N17" s="2">
        <f>M17+'20'!N17</f>
        <v>0</v>
      </c>
      <c r="O17" s="2"/>
      <c r="P17" s="2">
        <f>O17+'20'!P17</f>
        <v>0</v>
      </c>
      <c r="Q17" s="4">
        <f t="shared" si="4"/>
        <v>0</v>
      </c>
      <c r="R17" s="4">
        <f>Q17+'20'!R17</f>
        <v>2097</v>
      </c>
      <c r="S17" s="27">
        <f t="shared" si="5"/>
        <v>0.58412256267409468</v>
      </c>
      <c r="T17" s="12"/>
      <c r="U17" s="12">
        <f>T17+'20'!U17</f>
        <v>360</v>
      </c>
      <c r="V17" s="12"/>
      <c r="W17" s="12">
        <f>V17+'20'!W17</f>
        <v>121</v>
      </c>
      <c r="X17" s="12"/>
      <c r="Y17" s="12">
        <f>X17+'20'!Y17</f>
        <v>0</v>
      </c>
      <c r="AB17" s="5">
        <v>7</v>
      </c>
      <c r="AC17" s="26" t="str">
        <f>'20'!AC17</f>
        <v>أجهور الرمل</v>
      </c>
      <c r="AD17" s="28">
        <f>'20'!AI17</f>
        <v>100</v>
      </c>
      <c r="AE17" s="3"/>
      <c r="AF17" s="28">
        <f>AE17+'20'!AF17</f>
        <v>316</v>
      </c>
      <c r="AG17" s="4"/>
      <c r="AH17" s="28">
        <f>AG17+'20'!AH17</f>
        <v>216</v>
      </c>
      <c r="AI17" s="4">
        <f t="shared" si="6"/>
        <v>100</v>
      </c>
      <c r="AJ17" s="11" t="e">
        <f t="shared" si="0"/>
        <v>#DIV/0!</v>
      </c>
      <c r="AK17" s="53">
        <f t="shared" si="1"/>
        <v>9.7083333333333339</v>
      </c>
      <c r="AW17" s="26" t="str">
        <f>'20'!AW17</f>
        <v>أجهور الرمل</v>
      </c>
      <c r="AX17" s="12">
        <f>'20'!AX17</f>
        <v>4</v>
      </c>
      <c r="AY17" s="12">
        <f>'20'!AY17</f>
        <v>1796</v>
      </c>
      <c r="AZ17" s="12"/>
      <c r="BA17" s="12"/>
      <c r="BB17" s="12">
        <f>BA17+'20'!BB17</f>
        <v>1422</v>
      </c>
      <c r="BC17" s="30">
        <f t="shared" si="2"/>
        <v>0.79175946547884191</v>
      </c>
      <c r="BD17" s="12">
        <f>'20'!BD17</f>
        <v>3</v>
      </c>
      <c r="BE17" s="12">
        <f>'20'!BE17</f>
        <v>100</v>
      </c>
      <c r="BF17" s="12"/>
      <c r="BG17" s="12"/>
      <c r="BH17" s="12">
        <f>BG17+'20'!BH17</f>
        <v>441</v>
      </c>
      <c r="BI17" s="30">
        <f t="shared" si="3"/>
        <v>4.41</v>
      </c>
    </row>
    <row r="18" spans="1:61" ht="41.5" customHeight="1" x14ac:dyDescent="0.35">
      <c r="A18" s="5">
        <v>8</v>
      </c>
      <c r="B18" s="26" t="str">
        <f>'20'!B18</f>
        <v>منشأة دمــــــــــلو</v>
      </c>
      <c r="C18" s="26">
        <f>'20'!C18</f>
        <v>1320</v>
      </c>
      <c r="D18" s="26"/>
      <c r="E18" s="12"/>
      <c r="F18" s="2">
        <f>E18+'20'!F18</f>
        <v>18</v>
      </c>
      <c r="G18" s="2"/>
      <c r="H18" s="2">
        <f>G18+'20'!H18</f>
        <v>528</v>
      </c>
      <c r="I18" s="2"/>
      <c r="J18" s="2">
        <f>I18+'20'!J18</f>
        <v>704</v>
      </c>
      <c r="K18" s="2"/>
      <c r="L18" s="2">
        <f>K18+'20'!L18</f>
        <v>0</v>
      </c>
      <c r="M18" s="2"/>
      <c r="N18" s="2">
        <f>M18+'20'!N18</f>
        <v>0</v>
      </c>
      <c r="O18" s="2"/>
      <c r="P18" s="2">
        <f>O18+'20'!P18</f>
        <v>0</v>
      </c>
      <c r="Q18" s="4">
        <f t="shared" si="4"/>
        <v>0</v>
      </c>
      <c r="R18" s="4">
        <f>Q18+'20'!R18</f>
        <v>1250</v>
      </c>
      <c r="S18" s="27">
        <f t="shared" si="5"/>
        <v>0.94696969696969702</v>
      </c>
      <c r="T18" s="12"/>
      <c r="U18" s="12">
        <f>T18+'20'!U18</f>
        <v>175</v>
      </c>
      <c r="V18" s="12"/>
      <c r="W18" s="12">
        <f>V18+'20'!W18</f>
        <v>38</v>
      </c>
      <c r="X18" s="12"/>
      <c r="Y18" s="12">
        <f>X18+'20'!Y18</f>
        <v>0</v>
      </c>
      <c r="AB18" s="5">
        <v>8</v>
      </c>
      <c r="AC18" s="26" t="str">
        <f>'20'!AC18</f>
        <v>منشأة دمــــــــــلو</v>
      </c>
      <c r="AD18" s="28">
        <f>'20'!AI18</f>
        <v>4</v>
      </c>
      <c r="AE18" s="3"/>
      <c r="AF18" s="28">
        <f>AE18+'20'!AF18</f>
        <v>135</v>
      </c>
      <c r="AG18" s="4"/>
      <c r="AH18" s="28">
        <f>AG18+'20'!AH18</f>
        <v>131</v>
      </c>
      <c r="AI18" s="4">
        <f t="shared" si="6"/>
        <v>4</v>
      </c>
      <c r="AJ18" s="11" t="e">
        <f t="shared" si="0"/>
        <v>#DIV/0!</v>
      </c>
      <c r="AK18" s="53">
        <f t="shared" si="1"/>
        <v>9.5419847328244281</v>
      </c>
      <c r="AW18" s="26" t="str">
        <f>'20'!AW18</f>
        <v>منشأة دمــــــــــلو</v>
      </c>
      <c r="AX18" s="12">
        <f>'20'!AX18</f>
        <v>2</v>
      </c>
      <c r="AY18" s="12">
        <f>'20'!AY18</f>
        <v>896</v>
      </c>
      <c r="AZ18" s="12"/>
      <c r="BA18" s="12"/>
      <c r="BB18" s="12">
        <f>BA18+'20'!BB18</f>
        <v>748</v>
      </c>
      <c r="BC18" s="30">
        <f t="shared" si="2"/>
        <v>0.8348214285714286</v>
      </c>
      <c r="BD18" s="12">
        <f>'20'!BD18</f>
        <v>8</v>
      </c>
      <c r="BE18" s="12">
        <f>'20'!BE18</f>
        <v>340</v>
      </c>
      <c r="BF18" s="12"/>
      <c r="BG18" s="12"/>
      <c r="BH18" s="12">
        <f>BG18+'20'!BH18</f>
        <v>328</v>
      </c>
      <c r="BI18" s="30">
        <f t="shared" si="3"/>
        <v>0.96470588235294119</v>
      </c>
    </row>
    <row r="19" spans="1:61" ht="41.5" customHeight="1" x14ac:dyDescent="0.35">
      <c r="A19" s="5">
        <v>9</v>
      </c>
      <c r="B19" s="26" t="str">
        <f>'20'!B19</f>
        <v>شـــــــــــــرانيس</v>
      </c>
      <c r="C19" s="26">
        <f>'20'!C19</f>
        <v>1414</v>
      </c>
      <c r="D19" s="26"/>
      <c r="E19" s="12"/>
      <c r="F19" s="2">
        <f>E19+'20'!F19</f>
        <v>11</v>
      </c>
      <c r="G19" s="2"/>
      <c r="H19" s="2">
        <f>G19+'20'!H19</f>
        <v>359</v>
      </c>
      <c r="I19" s="2"/>
      <c r="J19" s="2">
        <f>I19+'20'!J19</f>
        <v>618</v>
      </c>
      <c r="K19" s="2"/>
      <c r="L19" s="2">
        <f>K19+'20'!L19</f>
        <v>0</v>
      </c>
      <c r="M19" s="2"/>
      <c r="N19" s="2">
        <f>M19+'20'!N19</f>
        <v>0</v>
      </c>
      <c r="O19" s="2"/>
      <c r="P19" s="2">
        <f>O19+'20'!P19</f>
        <v>0</v>
      </c>
      <c r="Q19" s="4">
        <f t="shared" si="4"/>
        <v>0</v>
      </c>
      <c r="R19" s="4">
        <f>Q19+'20'!R19</f>
        <v>988</v>
      </c>
      <c r="S19" s="27">
        <f t="shared" si="5"/>
        <v>0.69872701555869876</v>
      </c>
      <c r="T19" s="12"/>
      <c r="U19" s="12">
        <f>T19+'20'!U19</f>
        <v>143</v>
      </c>
      <c r="V19" s="12"/>
      <c r="W19" s="12">
        <f>V19+'20'!W19</f>
        <v>0</v>
      </c>
      <c r="X19" s="12"/>
      <c r="Y19" s="12">
        <f>X19+'20'!Y19</f>
        <v>0</v>
      </c>
      <c r="AB19" s="5">
        <v>9</v>
      </c>
      <c r="AC19" s="26" t="str">
        <f>'20'!AC19</f>
        <v>شـــــــــــــرانيس</v>
      </c>
      <c r="AD19" s="28">
        <f>'20'!AI19</f>
        <v>22</v>
      </c>
      <c r="AE19" s="3"/>
      <c r="AF19" s="28">
        <f>AE19+'20'!AF19</f>
        <v>125</v>
      </c>
      <c r="AG19" s="4"/>
      <c r="AH19" s="28">
        <f>AG19+'20'!AH19</f>
        <v>103</v>
      </c>
      <c r="AI19" s="4">
        <f t="shared" si="6"/>
        <v>22</v>
      </c>
      <c r="AJ19" s="11" t="e">
        <f t="shared" si="0"/>
        <v>#DIV/0!</v>
      </c>
      <c r="AK19" s="53">
        <f t="shared" si="1"/>
        <v>9.5922330097087372</v>
      </c>
      <c r="AW19" s="26" t="str">
        <f>'20'!AW19</f>
        <v>شـــــــــــــرانيس</v>
      </c>
      <c r="AX19" s="12">
        <f>'20'!AX19</f>
        <v>2</v>
      </c>
      <c r="AY19" s="12">
        <f>'20'!AY19</f>
        <v>675</v>
      </c>
      <c r="AZ19" s="12"/>
      <c r="BA19" s="12"/>
      <c r="BB19" s="12">
        <f>BA19+'20'!BB19</f>
        <v>569</v>
      </c>
      <c r="BC19" s="30">
        <f t="shared" si="2"/>
        <v>0.84296296296296291</v>
      </c>
      <c r="BD19" s="12">
        <f>'20'!BD19</f>
        <v>2</v>
      </c>
      <c r="BE19" s="12">
        <f>'20'!BE19</f>
        <v>397</v>
      </c>
      <c r="BF19" s="12"/>
      <c r="BG19" s="12"/>
      <c r="BH19" s="12">
        <f>BG19+'20'!BH19</f>
        <v>349</v>
      </c>
      <c r="BI19" s="30">
        <f t="shared" si="3"/>
        <v>0.87909319899244331</v>
      </c>
    </row>
    <row r="20" spans="1:61" ht="41.5" customHeight="1" x14ac:dyDescent="0.35">
      <c r="A20" s="5">
        <v>10</v>
      </c>
      <c r="B20" s="26" t="str">
        <f>'20'!B20</f>
        <v>قويســـــــــنا البلد</v>
      </c>
      <c r="C20" s="26">
        <f>'20'!C20</f>
        <v>4115</v>
      </c>
      <c r="D20" s="26"/>
      <c r="E20" s="12"/>
      <c r="F20" s="2">
        <f>E20+'20'!F20</f>
        <v>27</v>
      </c>
      <c r="G20" s="2"/>
      <c r="H20" s="2">
        <f>G20+'20'!H20</f>
        <v>406</v>
      </c>
      <c r="I20" s="2"/>
      <c r="J20" s="2">
        <f>I20+'20'!J20</f>
        <v>1286</v>
      </c>
      <c r="K20" s="2"/>
      <c r="L20" s="2">
        <f>K20+'20'!L20</f>
        <v>0</v>
      </c>
      <c r="M20" s="2"/>
      <c r="N20" s="2">
        <f>M20+'20'!N20</f>
        <v>0</v>
      </c>
      <c r="O20" s="2"/>
      <c r="P20" s="2">
        <f>O20+'20'!P20</f>
        <v>0</v>
      </c>
      <c r="Q20" s="4">
        <f t="shared" si="4"/>
        <v>0</v>
      </c>
      <c r="R20" s="4">
        <f>Q20+'20'!R20</f>
        <v>1719</v>
      </c>
      <c r="S20" s="27">
        <f t="shared" si="5"/>
        <v>0.41773997569866345</v>
      </c>
      <c r="T20" s="12"/>
      <c r="U20" s="12">
        <f>T20+'20'!U20</f>
        <v>405</v>
      </c>
      <c r="V20" s="12"/>
      <c r="W20" s="12">
        <f>V20+'20'!W20</f>
        <v>144</v>
      </c>
      <c r="X20" s="12"/>
      <c r="Y20" s="12">
        <f>X20+'20'!Y20</f>
        <v>0</v>
      </c>
      <c r="AB20" s="5">
        <v>10</v>
      </c>
      <c r="AC20" s="26" t="str">
        <f>'20'!AC20</f>
        <v>قويســـــــــنا البلد</v>
      </c>
      <c r="AD20" s="28">
        <f>'20'!AI20</f>
        <v>185</v>
      </c>
      <c r="AE20" s="3"/>
      <c r="AF20" s="28">
        <f>AE20+'20'!AF20</f>
        <v>360</v>
      </c>
      <c r="AG20" s="4"/>
      <c r="AH20" s="28">
        <f>AG20+'20'!AH20</f>
        <v>175</v>
      </c>
      <c r="AI20" s="4">
        <f t="shared" si="6"/>
        <v>185</v>
      </c>
      <c r="AJ20" s="11" t="e">
        <f t="shared" si="0"/>
        <v>#DIV/0!</v>
      </c>
      <c r="AK20" s="53">
        <f t="shared" si="1"/>
        <v>9.8228571428571421</v>
      </c>
      <c r="AW20" s="26" t="str">
        <f>'20'!AW20</f>
        <v>قويســـــــــنا البلد</v>
      </c>
      <c r="AX20" s="12">
        <f>'20'!AX20</f>
        <v>2</v>
      </c>
      <c r="AY20" s="12">
        <f>'20'!AY20</f>
        <v>1539</v>
      </c>
      <c r="AZ20" s="12"/>
      <c r="BA20" s="12"/>
      <c r="BB20" s="12">
        <f>BA20+'20'!BB20</f>
        <v>1355</v>
      </c>
      <c r="BC20" s="30">
        <f t="shared" si="2"/>
        <v>0.88044184535412606</v>
      </c>
      <c r="BD20" s="12">
        <f>'20'!BD20</f>
        <v>7</v>
      </c>
      <c r="BE20" s="12">
        <f>'20'!BE20</f>
        <v>580</v>
      </c>
      <c r="BF20" s="12"/>
      <c r="BG20" s="12"/>
      <c r="BH20" s="12">
        <f>BG20+'20'!BH20</f>
        <v>204</v>
      </c>
      <c r="BI20" s="30">
        <f t="shared" si="3"/>
        <v>0.35172413793103446</v>
      </c>
    </row>
    <row r="21" spans="1:61" ht="41.5" customHeight="1" x14ac:dyDescent="0.35">
      <c r="A21" s="5">
        <v>11</v>
      </c>
      <c r="B21" s="26" t="str">
        <f>'20'!B21</f>
        <v>بجيرم</v>
      </c>
      <c r="C21" s="26">
        <f>'20'!C21</f>
        <v>1782</v>
      </c>
      <c r="D21" s="26"/>
      <c r="E21" s="12"/>
      <c r="F21" s="2">
        <f>E21+'20'!F21</f>
        <v>8</v>
      </c>
      <c r="G21" s="2"/>
      <c r="H21" s="2">
        <f>G21+'20'!H21</f>
        <v>406</v>
      </c>
      <c r="I21" s="2"/>
      <c r="J21" s="2">
        <f>I21+'20'!J21</f>
        <v>755</v>
      </c>
      <c r="K21" s="2"/>
      <c r="L21" s="2">
        <f>K21+'20'!L21</f>
        <v>0</v>
      </c>
      <c r="M21" s="2"/>
      <c r="N21" s="2">
        <f>M21+'20'!N21</f>
        <v>0</v>
      </c>
      <c r="O21" s="2"/>
      <c r="P21" s="2">
        <f>O21+'20'!P21</f>
        <v>0</v>
      </c>
      <c r="Q21" s="4">
        <f t="shared" si="4"/>
        <v>0</v>
      </c>
      <c r="R21" s="4">
        <f>Q21+'20'!R21</f>
        <v>1169</v>
      </c>
      <c r="S21" s="27">
        <f t="shared" si="5"/>
        <v>0.65600448933782263</v>
      </c>
      <c r="T21" s="12"/>
      <c r="U21" s="12">
        <f>T21+'20'!U21</f>
        <v>126</v>
      </c>
      <c r="V21" s="12"/>
      <c r="W21" s="12">
        <f>V21+'20'!W21</f>
        <v>44</v>
      </c>
      <c r="X21" s="12"/>
      <c r="Y21" s="12">
        <f>X21+'20'!Y21</f>
        <v>0</v>
      </c>
      <c r="AB21" s="5">
        <v>11</v>
      </c>
      <c r="AC21" s="26" t="str">
        <f>'20'!AC21</f>
        <v>بجيرم</v>
      </c>
      <c r="AD21" s="28">
        <f>'20'!AI21</f>
        <v>37</v>
      </c>
      <c r="AE21" s="3"/>
      <c r="AF21" s="28">
        <f>AE21+'20'!AF21</f>
        <v>157</v>
      </c>
      <c r="AG21" s="4"/>
      <c r="AH21" s="28">
        <f>AG21+'20'!AH21</f>
        <v>120</v>
      </c>
      <c r="AI21" s="4">
        <f t="shared" si="6"/>
        <v>37</v>
      </c>
      <c r="AJ21" s="11" t="e">
        <f t="shared" si="0"/>
        <v>#DIV/0!</v>
      </c>
      <c r="AK21" s="53">
        <f t="shared" si="1"/>
        <v>9.7416666666666671</v>
      </c>
      <c r="AW21" s="26" t="str">
        <f>'20'!AW21</f>
        <v>بجيرم</v>
      </c>
      <c r="AX21" s="12">
        <f>'20'!AX21</f>
        <v>4</v>
      </c>
      <c r="AY21" s="12">
        <f>'20'!AY21</f>
        <v>946</v>
      </c>
      <c r="AZ21" s="12"/>
      <c r="BA21" s="12"/>
      <c r="BB21" s="12">
        <f>BA21+'20'!BB21</f>
        <v>823</v>
      </c>
      <c r="BC21" s="30">
        <f t="shared" si="2"/>
        <v>0.86997885835095135</v>
      </c>
      <c r="BD21" s="12">
        <f>'20'!BD21</f>
        <v>4</v>
      </c>
      <c r="BE21" s="12">
        <f>'20'!BE21</f>
        <v>99</v>
      </c>
      <c r="BF21" s="12"/>
      <c r="BG21" s="12"/>
      <c r="BH21" s="12">
        <f>BG21+'20'!BH21</f>
        <v>99</v>
      </c>
      <c r="BI21" s="30">
        <f t="shared" si="3"/>
        <v>1</v>
      </c>
    </row>
    <row r="22" spans="1:61" ht="30" customHeight="1" x14ac:dyDescent="0.35">
      <c r="A22" s="5">
        <v>12</v>
      </c>
      <c r="B22" s="26" t="str">
        <f>'20'!B22</f>
        <v>كفر بنى غريـــان</v>
      </c>
      <c r="C22" s="26">
        <f>'20'!C22</f>
        <v>2184</v>
      </c>
      <c r="D22" s="26"/>
      <c r="E22" s="12"/>
      <c r="F22" s="2">
        <f>E22+'20'!F22</f>
        <v>12</v>
      </c>
      <c r="G22" s="2"/>
      <c r="H22" s="2">
        <f>G22+'20'!H22</f>
        <v>471</v>
      </c>
      <c r="I22" s="2"/>
      <c r="J22" s="2">
        <f>I22+'20'!J22</f>
        <v>971</v>
      </c>
      <c r="K22" s="2"/>
      <c r="L22" s="2">
        <f>K22+'20'!L22</f>
        <v>0</v>
      </c>
      <c r="M22" s="2"/>
      <c r="N22" s="2">
        <f>M22+'20'!N22</f>
        <v>0</v>
      </c>
      <c r="O22" s="2"/>
      <c r="P22" s="2">
        <f>O22+'20'!P22</f>
        <v>0</v>
      </c>
      <c r="Q22" s="4">
        <f t="shared" si="4"/>
        <v>0</v>
      </c>
      <c r="R22" s="4">
        <f>Q22+'20'!R22</f>
        <v>1454</v>
      </c>
      <c r="S22" s="27">
        <f t="shared" si="5"/>
        <v>0.66575091575091572</v>
      </c>
      <c r="T22" s="12"/>
      <c r="U22" s="12">
        <f>T22+'20'!U22</f>
        <v>174</v>
      </c>
      <c r="V22" s="12"/>
      <c r="W22" s="12">
        <f>V22+'20'!W22</f>
        <v>7</v>
      </c>
      <c r="X22" s="12"/>
      <c r="Y22" s="12">
        <f>X22+'20'!Y22</f>
        <v>0</v>
      </c>
      <c r="AB22" s="5">
        <v>12</v>
      </c>
      <c r="AC22" s="26" t="str">
        <f>'20'!AC22</f>
        <v>كفر بنى غريـــان</v>
      </c>
      <c r="AD22" s="28">
        <f>'20'!AI22</f>
        <v>42</v>
      </c>
      <c r="AE22" s="3"/>
      <c r="AF22" s="28">
        <f>AE22+'20'!AF22</f>
        <v>192</v>
      </c>
      <c r="AG22" s="4"/>
      <c r="AH22" s="28">
        <f>AG22+'20'!AH22</f>
        <v>150</v>
      </c>
      <c r="AI22" s="4">
        <f t="shared" si="6"/>
        <v>42</v>
      </c>
      <c r="AJ22" s="11" t="e">
        <f t="shared" si="0"/>
        <v>#DIV/0!</v>
      </c>
      <c r="AK22" s="53">
        <f t="shared" si="1"/>
        <v>9.6933333333333334</v>
      </c>
      <c r="AW22" s="26" t="str">
        <f>'20'!AW22</f>
        <v>كفر بنى غريـــان</v>
      </c>
      <c r="AX22" s="12">
        <f>'20'!AX22</f>
        <v>3</v>
      </c>
      <c r="AY22" s="12">
        <f>'20'!AY22</f>
        <v>1327</v>
      </c>
      <c r="AZ22" s="12"/>
      <c r="BA22" s="12"/>
      <c r="BB22" s="12">
        <f>BA22+'20'!BB22</f>
        <v>994</v>
      </c>
      <c r="BC22" s="30">
        <f t="shared" si="2"/>
        <v>0.74905802562170309</v>
      </c>
      <c r="BD22" s="12">
        <f>'20'!BD22</f>
        <v>9</v>
      </c>
      <c r="BE22" s="12">
        <f>'20'!BE22</f>
        <v>381</v>
      </c>
      <c r="BF22" s="12"/>
      <c r="BG22" s="12"/>
      <c r="BH22" s="12">
        <f>BG22+'20'!BH22</f>
        <v>387</v>
      </c>
      <c r="BI22" s="30">
        <f t="shared" si="3"/>
        <v>1.015748031496063</v>
      </c>
    </row>
    <row r="23" spans="1:61" ht="30" customHeight="1" x14ac:dyDescent="0.35">
      <c r="A23" s="5">
        <v>13</v>
      </c>
      <c r="B23" s="26" t="str">
        <f>'20'!B23</f>
        <v>بــقســـــــــــــــــا</v>
      </c>
      <c r="C23" s="26">
        <f>'20'!C23</f>
        <v>862</v>
      </c>
      <c r="D23" s="26"/>
      <c r="E23" s="12"/>
      <c r="F23" s="2">
        <f>E23+'20'!F23</f>
        <v>8</v>
      </c>
      <c r="G23" s="2"/>
      <c r="H23" s="2">
        <f>G23+'20'!H23</f>
        <v>160</v>
      </c>
      <c r="I23" s="2"/>
      <c r="J23" s="2">
        <f>I23+'20'!J23</f>
        <v>359</v>
      </c>
      <c r="K23" s="2"/>
      <c r="L23" s="2">
        <f>K23+'20'!L23</f>
        <v>0</v>
      </c>
      <c r="M23" s="2"/>
      <c r="N23" s="2">
        <f>M23+'20'!N23</f>
        <v>0</v>
      </c>
      <c r="O23" s="2"/>
      <c r="P23" s="2">
        <f>O23+'20'!P23</f>
        <v>0</v>
      </c>
      <c r="Q23" s="4">
        <f t="shared" si="4"/>
        <v>0</v>
      </c>
      <c r="R23" s="4">
        <f>Q23+'20'!R23</f>
        <v>527</v>
      </c>
      <c r="S23" s="27">
        <f t="shared" si="5"/>
        <v>0.61136890951276102</v>
      </c>
      <c r="T23" s="12"/>
      <c r="U23" s="12">
        <f>T23+'20'!U23</f>
        <v>36</v>
      </c>
      <c r="V23" s="12"/>
      <c r="W23" s="12">
        <f>V23+'20'!W23</f>
        <v>14</v>
      </c>
      <c r="X23" s="12"/>
      <c r="Y23" s="12">
        <f>X23+'20'!Y23</f>
        <v>0</v>
      </c>
      <c r="AB23" s="5">
        <v>13</v>
      </c>
      <c r="AC23" s="26" t="str">
        <f>'20'!AC23</f>
        <v>بــقســـــــــــــــــا</v>
      </c>
      <c r="AD23" s="28">
        <f>'20'!AI23</f>
        <v>22</v>
      </c>
      <c r="AE23" s="3"/>
      <c r="AF23" s="28">
        <f>AE23+'20'!AF23</f>
        <v>75</v>
      </c>
      <c r="AG23" s="4"/>
      <c r="AH23" s="28">
        <f>AG23+'20'!AH23</f>
        <v>53</v>
      </c>
      <c r="AI23" s="4">
        <f t="shared" si="6"/>
        <v>22</v>
      </c>
      <c r="AJ23" s="11" t="e">
        <f t="shared" si="0"/>
        <v>#DIV/0!</v>
      </c>
      <c r="AK23" s="53">
        <f t="shared" si="1"/>
        <v>9.9433962264150946</v>
      </c>
      <c r="AW23" s="26" t="str">
        <f>'20'!AW23</f>
        <v>بــقســـــــــــــــــا</v>
      </c>
      <c r="AX23" s="12">
        <f>'20'!AX23</f>
        <v>1</v>
      </c>
      <c r="AY23" s="12">
        <f>'20'!AY23</f>
        <v>311</v>
      </c>
      <c r="AZ23" s="12"/>
      <c r="BA23" s="12"/>
      <c r="BB23" s="12">
        <f>BA23+'20'!BB23</f>
        <v>297</v>
      </c>
      <c r="BC23" s="30">
        <f t="shared" si="2"/>
        <v>0.954983922829582</v>
      </c>
      <c r="BD23" s="12">
        <f>'20'!BD23</f>
        <v>1</v>
      </c>
      <c r="BE23" s="12">
        <f>'20'!BE23</f>
        <v>40</v>
      </c>
      <c r="BF23" s="12"/>
      <c r="BG23" s="12"/>
      <c r="BH23" s="12">
        <f>BG23+'20'!BH23</f>
        <v>30</v>
      </c>
      <c r="BI23" s="30">
        <f t="shared" si="3"/>
        <v>0.75</v>
      </c>
    </row>
    <row r="24" spans="1:61" ht="37.15" customHeight="1" x14ac:dyDescent="0.35">
      <c r="A24" s="5">
        <v>14</v>
      </c>
      <c r="B24" s="26" t="str">
        <f>'20'!B24</f>
        <v>كفــــــــر الأكرم</v>
      </c>
      <c r="C24" s="26">
        <f>'20'!C24</f>
        <v>918</v>
      </c>
      <c r="D24" s="26"/>
      <c r="E24" s="12"/>
      <c r="F24" s="2">
        <f>E24+'20'!F24</f>
        <v>3</v>
      </c>
      <c r="G24" s="2"/>
      <c r="H24" s="2">
        <f>G24+'20'!H24</f>
        <v>233</v>
      </c>
      <c r="I24" s="2"/>
      <c r="J24" s="2">
        <f>I24+'20'!J24</f>
        <v>392</v>
      </c>
      <c r="K24" s="2"/>
      <c r="L24" s="2">
        <f>K24+'20'!L24</f>
        <v>0</v>
      </c>
      <c r="M24" s="2"/>
      <c r="N24" s="2">
        <f>M24+'20'!N24</f>
        <v>0</v>
      </c>
      <c r="O24" s="2"/>
      <c r="P24" s="2">
        <f>O24+'20'!P24</f>
        <v>0</v>
      </c>
      <c r="Q24" s="4">
        <f t="shared" si="4"/>
        <v>0</v>
      </c>
      <c r="R24" s="4">
        <f>Q24+'20'!R24</f>
        <v>628</v>
      </c>
      <c r="S24" s="27">
        <f t="shared" si="5"/>
        <v>0.68409586056644878</v>
      </c>
      <c r="T24" s="12"/>
      <c r="U24" s="12">
        <f>T24+'20'!U24</f>
        <v>87</v>
      </c>
      <c r="V24" s="12"/>
      <c r="W24" s="12">
        <f>V24+'20'!W24</f>
        <v>9</v>
      </c>
      <c r="X24" s="12"/>
      <c r="Y24" s="12">
        <f>X24+'20'!Y24</f>
        <v>0</v>
      </c>
      <c r="AB24" s="5">
        <v>14</v>
      </c>
      <c r="AC24" s="26" t="str">
        <f>'20'!AC24</f>
        <v>كفــــــــر الأكرم</v>
      </c>
      <c r="AD24" s="28">
        <f>'20'!AI24</f>
        <v>15</v>
      </c>
      <c r="AE24" s="3"/>
      <c r="AF24" s="28">
        <f>AE24+'20'!AF24</f>
        <v>80</v>
      </c>
      <c r="AG24" s="4"/>
      <c r="AH24" s="28">
        <f>AG24+'20'!AH24</f>
        <v>65</v>
      </c>
      <c r="AI24" s="4">
        <f t="shared" si="6"/>
        <v>15</v>
      </c>
      <c r="AJ24" s="11" t="e">
        <f t="shared" si="0"/>
        <v>#DIV/0!</v>
      </c>
      <c r="AK24" s="53">
        <f t="shared" si="1"/>
        <v>9.661538461538461</v>
      </c>
      <c r="AW24" s="26" t="str">
        <f>'20'!AW24</f>
        <v>كفــــــــر الأكرم</v>
      </c>
      <c r="AX24" s="12">
        <f>'20'!AX24</f>
        <v>2</v>
      </c>
      <c r="AY24" s="12">
        <f>'20'!AY24</f>
        <v>540</v>
      </c>
      <c r="AZ24" s="12"/>
      <c r="BA24" s="12"/>
      <c r="BB24" s="12">
        <f>BA24+'20'!BB24</f>
        <v>380</v>
      </c>
      <c r="BC24" s="30">
        <f t="shared" si="2"/>
        <v>0.70370370370370372</v>
      </c>
      <c r="BD24" s="12">
        <f>'20'!BD24</f>
        <v>2</v>
      </c>
      <c r="BE24" s="12">
        <f>'20'!BE24</f>
        <v>115</v>
      </c>
      <c r="BF24" s="12"/>
      <c r="BG24" s="12"/>
      <c r="BH24" s="12">
        <f>BG24+'20'!BH24</f>
        <v>160</v>
      </c>
      <c r="BI24" s="30">
        <f t="shared" si="3"/>
        <v>1.3913043478260869</v>
      </c>
    </row>
    <row r="25" spans="1:61" ht="28.9" customHeight="1" x14ac:dyDescent="0.35">
      <c r="A25" s="5">
        <v>15</v>
      </c>
      <c r="B25" s="26" t="str">
        <f>'20'!B25</f>
        <v>كفـــــــــر إبنهس</v>
      </c>
      <c r="C25" s="26">
        <f>'20'!C25</f>
        <v>2072</v>
      </c>
      <c r="D25" s="26"/>
      <c r="E25" s="12"/>
      <c r="F25" s="2">
        <f>E25+'20'!F25</f>
        <v>6</v>
      </c>
      <c r="G25" s="2"/>
      <c r="H25" s="2">
        <f>G25+'20'!H25</f>
        <v>345</v>
      </c>
      <c r="I25" s="2"/>
      <c r="J25" s="2">
        <f>I25+'20'!J25</f>
        <v>974</v>
      </c>
      <c r="K25" s="2"/>
      <c r="L25" s="2">
        <f>K25+'20'!L25</f>
        <v>0</v>
      </c>
      <c r="M25" s="2"/>
      <c r="N25" s="2">
        <f>M25+'20'!N25</f>
        <v>0</v>
      </c>
      <c r="O25" s="2"/>
      <c r="P25" s="2">
        <f>O25+'20'!P25</f>
        <v>0</v>
      </c>
      <c r="Q25" s="4">
        <f t="shared" si="4"/>
        <v>0</v>
      </c>
      <c r="R25" s="4">
        <f>Q25+'20'!R25</f>
        <v>1325</v>
      </c>
      <c r="S25" s="27">
        <f t="shared" si="5"/>
        <v>0.63947876447876451</v>
      </c>
      <c r="T25" s="12"/>
      <c r="U25" s="12">
        <f>T25+'20'!U25</f>
        <v>173</v>
      </c>
      <c r="V25" s="12"/>
      <c r="W25" s="12">
        <f>V25+'20'!W25</f>
        <v>50</v>
      </c>
      <c r="X25" s="12"/>
      <c r="Y25" s="12">
        <f>X25+'20'!Y25</f>
        <v>0</v>
      </c>
      <c r="AB25" s="5">
        <v>15</v>
      </c>
      <c r="AC25" s="26" t="str">
        <f>'20'!AC25</f>
        <v>كفـــــــــر إبنهس</v>
      </c>
      <c r="AD25" s="28">
        <f>'20'!AI25</f>
        <v>31</v>
      </c>
      <c r="AE25" s="3"/>
      <c r="AF25" s="28">
        <f>AE25+'20'!AF25</f>
        <v>180</v>
      </c>
      <c r="AG25" s="4"/>
      <c r="AH25" s="28">
        <f>AG25+'20'!AH25</f>
        <v>149</v>
      </c>
      <c r="AI25" s="4">
        <f t="shared" si="6"/>
        <v>31</v>
      </c>
      <c r="AJ25" s="11" t="e">
        <f t="shared" si="0"/>
        <v>#DIV/0!</v>
      </c>
      <c r="AK25" s="53">
        <f t="shared" si="1"/>
        <v>8.8926174496644297</v>
      </c>
      <c r="AW25" s="26" t="str">
        <f>'20'!AW25</f>
        <v>كفـــــــــر إبنهس</v>
      </c>
      <c r="AX25" s="12">
        <f>'20'!AX25</f>
        <v>3</v>
      </c>
      <c r="AY25" s="12">
        <f>'20'!AY25</f>
        <v>1013</v>
      </c>
      <c r="AZ25" s="12"/>
      <c r="BA25" s="12"/>
      <c r="BB25" s="12">
        <f>BA25+'20'!BB25</f>
        <v>838</v>
      </c>
      <c r="BC25" s="30">
        <f t="shared" si="2"/>
        <v>0.82724580454096741</v>
      </c>
      <c r="BD25" s="12">
        <f>'20'!BD25</f>
        <v>4</v>
      </c>
      <c r="BE25" s="12">
        <f>'20'!BE25</f>
        <v>620</v>
      </c>
      <c r="BF25" s="12"/>
      <c r="BG25" s="12"/>
      <c r="BH25" s="12">
        <f>BG25+'20'!BH25</f>
        <v>507</v>
      </c>
      <c r="BI25" s="30">
        <f t="shared" si="3"/>
        <v>0.81774193548387097</v>
      </c>
    </row>
    <row r="26" spans="1:61" ht="28.9" customHeight="1" x14ac:dyDescent="0.35">
      <c r="A26" s="5">
        <v>16</v>
      </c>
      <c r="B26" s="26" t="str">
        <f>'20'!B26</f>
        <v>الرمــــــــــــــالى</v>
      </c>
      <c r="C26" s="26">
        <f>'20'!C26</f>
        <v>2699</v>
      </c>
      <c r="D26" s="26"/>
      <c r="E26" s="12"/>
      <c r="F26" s="2">
        <f>E26+'20'!F26</f>
        <v>27</v>
      </c>
      <c r="G26" s="2"/>
      <c r="H26" s="2">
        <f>G26+'20'!H26</f>
        <v>312</v>
      </c>
      <c r="I26" s="2"/>
      <c r="J26" s="2">
        <f>I26+'20'!J26</f>
        <v>993</v>
      </c>
      <c r="K26" s="2"/>
      <c r="L26" s="2">
        <f>K26+'20'!L26</f>
        <v>0</v>
      </c>
      <c r="M26" s="2"/>
      <c r="N26" s="2">
        <f>M26+'20'!N26</f>
        <v>0</v>
      </c>
      <c r="O26" s="2"/>
      <c r="P26" s="2">
        <f>O26+'20'!P26</f>
        <v>0</v>
      </c>
      <c r="Q26" s="4">
        <f t="shared" si="4"/>
        <v>0</v>
      </c>
      <c r="R26" s="4">
        <f>Q26+'20'!R26</f>
        <v>1332</v>
      </c>
      <c r="S26" s="27">
        <f t="shared" si="5"/>
        <v>0.49351611708040016</v>
      </c>
      <c r="T26" s="12"/>
      <c r="U26" s="12">
        <f>T26+'20'!U26</f>
        <v>114</v>
      </c>
      <c r="V26" s="12"/>
      <c r="W26" s="12">
        <f>V26+'20'!W26</f>
        <v>108</v>
      </c>
      <c r="X26" s="12"/>
      <c r="Y26" s="12">
        <f>X26+'20'!Y26</f>
        <v>1</v>
      </c>
      <c r="Z26" s="38"/>
      <c r="AB26" s="5">
        <v>16</v>
      </c>
      <c r="AC26" s="26" t="str">
        <f>'20'!AC26</f>
        <v>الرمــــــــــــــالى</v>
      </c>
      <c r="AD26" s="28">
        <f>'20'!AI26</f>
        <v>96</v>
      </c>
      <c r="AE26" s="3"/>
      <c r="AF26" s="28">
        <f>AE26+'20'!AF26</f>
        <v>235</v>
      </c>
      <c r="AG26" s="4"/>
      <c r="AH26" s="28">
        <f>AG26+'20'!AH26</f>
        <v>139</v>
      </c>
      <c r="AI26" s="4">
        <f t="shared" si="6"/>
        <v>96</v>
      </c>
      <c r="AJ26" s="11" t="e">
        <f t="shared" si="0"/>
        <v>#DIV/0!</v>
      </c>
      <c r="AK26" s="53">
        <f t="shared" si="1"/>
        <v>9.5827338129496411</v>
      </c>
      <c r="AV26" s="38"/>
      <c r="AW26" s="26" t="str">
        <f>'20'!AW26</f>
        <v>الرمــــــــــــــالى</v>
      </c>
      <c r="AX26" s="12">
        <f>'20'!AX26</f>
        <v>3</v>
      </c>
      <c r="AY26" s="12">
        <f>'20'!AY26</f>
        <v>1486</v>
      </c>
      <c r="AZ26" s="12"/>
      <c r="BA26" s="12"/>
      <c r="BB26" s="12">
        <f>BA26+'20'!BB26</f>
        <v>1149</v>
      </c>
      <c r="BC26" s="30">
        <f t="shared" si="2"/>
        <v>0.77321668909825036</v>
      </c>
      <c r="BD26" s="12">
        <f>'20'!BD26</f>
        <v>3</v>
      </c>
      <c r="BE26" s="12">
        <f>'20'!BE26</f>
        <v>98</v>
      </c>
      <c r="BF26" s="12"/>
      <c r="BG26" s="12"/>
      <c r="BH26" s="12">
        <f>BG26+'20'!BH26</f>
        <v>0</v>
      </c>
      <c r="BI26" s="30">
        <f t="shared" si="3"/>
        <v>0</v>
      </c>
    </row>
    <row r="27" spans="1:61" ht="28.9" customHeight="1" x14ac:dyDescent="0.35">
      <c r="A27" s="5">
        <v>17</v>
      </c>
      <c r="B27" s="26" t="str">
        <f>'20'!B27</f>
        <v>مصطــــــــــــاى</v>
      </c>
      <c r="C27" s="26">
        <f>'20'!C27</f>
        <v>2666</v>
      </c>
      <c r="D27" s="26"/>
      <c r="E27" s="12"/>
      <c r="F27" s="2">
        <f>E27+'20'!F27</f>
        <v>54</v>
      </c>
      <c r="G27" s="2"/>
      <c r="H27" s="2">
        <f>G27+'20'!H27</f>
        <v>364</v>
      </c>
      <c r="I27" s="2"/>
      <c r="J27" s="2">
        <f>I27+'20'!J27</f>
        <v>1154</v>
      </c>
      <c r="K27" s="2"/>
      <c r="L27" s="2">
        <f>K27+'20'!L27</f>
        <v>0</v>
      </c>
      <c r="M27" s="2"/>
      <c r="N27" s="2">
        <f>M27+'20'!N27</f>
        <v>0</v>
      </c>
      <c r="O27" s="2"/>
      <c r="P27" s="2">
        <f>O27+'20'!P27</f>
        <v>0</v>
      </c>
      <c r="Q27" s="4">
        <f t="shared" si="4"/>
        <v>0</v>
      </c>
      <c r="R27" s="4">
        <f>Q27+'20'!R27</f>
        <v>1572</v>
      </c>
      <c r="S27" s="27">
        <f t="shared" si="5"/>
        <v>0.58964741185296321</v>
      </c>
      <c r="T27" s="12"/>
      <c r="U27" s="12">
        <f>T27+'20'!U27</f>
        <v>45</v>
      </c>
      <c r="V27" s="12"/>
      <c r="W27" s="12">
        <f>V27+'20'!W27</f>
        <v>15</v>
      </c>
      <c r="X27" s="12"/>
      <c r="Y27" s="12">
        <f>X27+'20'!Y27</f>
        <v>0</v>
      </c>
      <c r="AB27" s="5">
        <v>17</v>
      </c>
      <c r="AC27" s="26" t="str">
        <f>'20'!AC27</f>
        <v>مصطــــــــــــاى</v>
      </c>
      <c r="AD27" s="28">
        <f>'20'!AI27</f>
        <v>74</v>
      </c>
      <c r="AE27" s="3"/>
      <c r="AF27" s="28">
        <f>AE27+'20'!AF27</f>
        <v>234</v>
      </c>
      <c r="AG27" s="4"/>
      <c r="AH27" s="28">
        <f>AG27+'20'!AH27</f>
        <v>160</v>
      </c>
      <c r="AI27" s="4">
        <f t="shared" si="6"/>
        <v>74</v>
      </c>
      <c r="AJ27" s="11" t="e">
        <f t="shared" si="0"/>
        <v>#DIV/0!</v>
      </c>
      <c r="AK27" s="53">
        <f t="shared" si="1"/>
        <v>9.8249999999999993</v>
      </c>
      <c r="AW27" s="26" t="str">
        <f>'20'!AW27</f>
        <v>مصطــــــــــــاى</v>
      </c>
      <c r="AX27" s="12">
        <f>'20'!AX27</f>
        <v>3</v>
      </c>
      <c r="AY27" s="12">
        <f>'20'!AY27</f>
        <v>1709</v>
      </c>
      <c r="AZ27" s="12"/>
      <c r="BA27" s="12"/>
      <c r="BB27" s="12">
        <f>BA27+'20'!BB27</f>
        <v>1252</v>
      </c>
      <c r="BC27" s="30">
        <f t="shared" si="2"/>
        <v>0.73259215915740195</v>
      </c>
      <c r="BD27" s="12">
        <f>'20'!BD27</f>
        <v>6</v>
      </c>
      <c r="BE27" s="12">
        <f>'20'!BE27</f>
        <v>696</v>
      </c>
      <c r="BF27" s="12"/>
      <c r="BG27" s="12"/>
      <c r="BH27" s="12">
        <f>BG27+'20'!BH27</f>
        <v>120</v>
      </c>
      <c r="BI27" s="30">
        <f t="shared" si="3"/>
        <v>0.17241379310344829</v>
      </c>
    </row>
    <row r="28" spans="1:61" ht="28.9" customHeight="1" x14ac:dyDescent="0.35">
      <c r="A28" s="5">
        <v>18</v>
      </c>
      <c r="B28" s="26" t="str">
        <f>'20'!B28</f>
        <v>كفر طـــــــه شبرا</v>
      </c>
      <c r="C28" s="26">
        <f>'20'!C28</f>
        <v>1795</v>
      </c>
      <c r="D28" s="26"/>
      <c r="E28" s="12"/>
      <c r="F28" s="2">
        <f>E28+'20'!F28</f>
        <v>8</v>
      </c>
      <c r="G28" s="2"/>
      <c r="H28" s="2">
        <f>G28+'20'!H28</f>
        <v>294</v>
      </c>
      <c r="I28" s="2"/>
      <c r="J28" s="2">
        <f>I28+'20'!J28</f>
        <v>940</v>
      </c>
      <c r="K28" s="2"/>
      <c r="L28" s="2">
        <f>K28+'20'!L28</f>
        <v>0</v>
      </c>
      <c r="M28" s="2"/>
      <c r="N28" s="2">
        <f>M28+'20'!N28</f>
        <v>0</v>
      </c>
      <c r="O28" s="2"/>
      <c r="P28" s="2">
        <f>O28+'20'!P28</f>
        <v>0</v>
      </c>
      <c r="Q28" s="4">
        <f t="shared" si="4"/>
        <v>0</v>
      </c>
      <c r="R28" s="4">
        <f>Q28+'20'!R28</f>
        <v>1242</v>
      </c>
      <c r="S28" s="27">
        <f t="shared" si="5"/>
        <v>0.69192200557103067</v>
      </c>
      <c r="T28" s="12"/>
      <c r="U28" s="12">
        <f>T28+'20'!U28</f>
        <v>136</v>
      </c>
      <c r="V28" s="12"/>
      <c r="W28" s="12">
        <f>V28+'20'!W28</f>
        <v>33</v>
      </c>
      <c r="X28" s="12"/>
      <c r="Y28" s="12">
        <f>X28+'20'!Y28</f>
        <v>0</v>
      </c>
      <c r="AB28" s="5">
        <v>18</v>
      </c>
      <c r="AC28" s="26" t="str">
        <f>'20'!AC28</f>
        <v>كفر طـــــــه شبرا</v>
      </c>
      <c r="AD28" s="28">
        <f>'20'!AI28</f>
        <v>28</v>
      </c>
      <c r="AE28" s="3"/>
      <c r="AF28" s="28">
        <f>AE28+'20'!AF28</f>
        <v>158</v>
      </c>
      <c r="AG28" s="4"/>
      <c r="AH28" s="28">
        <f>AG28+'20'!AH28</f>
        <v>130</v>
      </c>
      <c r="AI28" s="4">
        <f t="shared" si="6"/>
        <v>28</v>
      </c>
      <c r="AJ28" s="11" t="e">
        <f t="shared" si="0"/>
        <v>#DIV/0!</v>
      </c>
      <c r="AK28" s="53">
        <f t="shared" si="1"/>
        <v>9.5538461538461537</v>
      </c>
      <c r="AW28" s="26" t="str">
        <f>'20'!AW28</f>
        <v>كفر طـــــــه شبرا</v>
      </c>
      <c r="AX28" s="12">
        <f>'20'!AX28</f>
        <v>4</v>
      </c>
      <c r="AY28" s="12">
        <f>'20'!AY28</f>
        <v>948</v>
      </c>
      <c r="AZ28" s="12"/>
      <c r="BA28" s="12"/>
      <c r="BB28" s="12">
        <f>BA28+'20'!BB28</f>
        <v>827</v>
      </c>
      <c r="BC28" s="30">
        <f t="shared" si="2"/>
        <v>0.87236286919831219</v>
      </c>
      <c r="BD28" s="12">
        <f>'20'!BD28</f>
        <v>7</v>
      </c>
      <c r="BE28" s="12">
        <f>'20'!BE28</f>
        <v>300</v>
      </c>
      <c r="BF28" s="12"/>
      <c r="BG28" s="12"/>
      <c r="BH28" s="12">
        <f>BG28+'20'!BH28</f>
        <v>403</v>
      </c>
      <c r="BI28" s="30">
        <f t="shared" si="3"/>
        <v>1.3433333333333333</v>
      </c>
    </row>
    <row r="29" spans="1:61" ht="28.9" customHeight="1" x14ac:dyDescent="0.35">
      <c r="A29" s="5">
        <v>19</v>
      </c>
      <c r="B29" s="26" t="str">
        <f>'20'!B29</f>
        <v>كفر أبـــو الحسن</v>
      </c>
      <c r="C29" s="26">
        <f>'20'!C29</f>
        <v>1397</v>
      </c>
      <c r="D29" s="26"/>
      <c r="E29" s="12"/>
      <c r="F29" s="2">
        <f>E29+'20'!F29</f>
        <v>4</v>
      </c>
      <c r="G29" s="2"/>
      <c r="H29" s="2">
        <f>G29+'20'!H29</f>
        <v>238</v>
      </c>
      <c r="I29" s="2"/>
      <c r="J29" s="2">
        <f>I29+'20'!J29</f>
        <v>841</v>
      </c>
      <c r="K29" s="2"/>
      <c r="L29" s="2">
        <f>K29+'20'!L29</f>
        <v>0</v>
      </c>
      <c r="M29" s="2"/>
      <c r="N29" s="2">
        <f>M29+'20'!N29</f>
        <v>0</v>
      </c>
      <c r="O29" s="2"/>
      <c r="P29" s="2">
        <f>O29+'20'!P29</f>
        <v>0</v>
      </c>
      <c r="Q29" s="4">
        <f t="shared" si="4"/>
        <v>0</v>
      </c>
      <c r="R29" s="4">
        <f>Q29+'20'!R29</f>
        <v>1083</v>
      </c>
      <c r="S29" s="27">
        <f t="shared" si="5"/>
        <v>0.77523264137437364</v>
      </c>
      <c r="T29" s="12"/>
      <c r="U29" s="12">
        <f>T29+'20'!U29</f>
        <v>205</v>
      </c>
      <c r="V29" s="12"/>
      <c r="W29" s="12">
        <f>V29+'20'!W29</f>
        <v>18</v>
      </c>
      <c r="X29" s="12"/>
      <c r="Y29" s="12">
        <f>X29+'20'!Y29</f>
        <v>0</v>
      </c>
      <c r="AB29" s="5">
        <v>19</v>
      </c>
      <c r="AC29" s="26" t="str">
        <f>'20'!AC29</f>
        <v>كفر أبـــو الحسن</v>
      </c>
      <c r="AD29" s="28">
        <f>'20'!AI29</f>
        <v>22</v>
      </c>
      <c r="AE29" s="3"/>
      <c r="AF29" s="28">
        <f>AE29+'20'!AF29</f>
        <v>133</v>
      </c>
      <c r="AG29" s="4"/>
      <c r="AH29" s="28">
        <f>AG29+'20'!AH29</f>
        <v>111</v>
      </c>
      <c r="AI29" s="4">
        <f t="shared" si="6"/>
        <v>22</v>
      </c>
      <c r="AJ29" s="11" t="e">
        <f t="shared" si="0"/>
        <v>#DIV/0!</v>
      </c>
      <c r="AK29" s="53">
        <f t="shared" si="1"/>
        <v>9.7567567567567561</v>
      </c>
      <c r="AW29" s="26" t="str">
        <f>'20'!AW29</f>
        <v>كفر أبـــو الحسن</v>
      </c>
      <c r="AX29" s="12">
        <f>'20'!AX29</f>
        <v>3</v>
      </c>
      <c r="AY29" s="12">
        <f>'20'!AY29</f>
        <v>912</v>
      </c>
      <c r="AZ29" s="12"/>
      <c r="BA29" s="12"/>
      <c r="BB29" s="12">
        <f>BA29+'20'!BB29</f>
        <v>760</v>
      </c>
      <c r="BC29" s="30">
        <f t="shared" si="2"/>
        <v>0.83333333333333337</v>
      </c>
      <c r="BD29" s="12">
        <f>'20'!BD29</f>
        <v>9</v>
      </c>
      <c r="BE29" s="12">
        <f>'20'!BE29</f>
        <v>258</v>
      </c>
      <c r="BF29" s="12"/>
      <c r="BG29" s="12"/>
      <c r="BH29" s="12">
        <f>BG29+'20'!BH29</f>
        <v>351</v>
      </c>
      <c r="BI29" s="30">
        <f t="shared" si="3"/>
        <v>1.3604651162790697</v>
      </c>
    </row>
    <row r="30" spans="1:61" ht="28.9" customHeight="1" x14ac:dyDescent="0.35">
      <c r="A30" s="5">
        <v>20</v>
      </c>
      <c r="B30" s="26" t="str">
        <f>'20'!B30</f>
        <v>ميت أبـــــوشيخه</v>
      </c>
      <c r="C30" s="26">
        <f>'20'!C30</f>
        <v>1134</v>
      </c>
      <c r="D30" s="26"/>
      <c r="E30" s="12"/>
      <c r="F30" s="2">
        <f>E30+'20'!F30</f>
        <v>10</v>
      </c>
      <c r="G30" s="2"/>
      <c r="H30" s="2">
        <f>G30+'20'!H30</f>
        <v>144</v>
      </c>
      <c r="I30" s="2"/>
      <c r="J30" s="2">
        <f>I30+'20'!J30</f>
        <v>435</v>
      </c>
      <c r="K30" s="2"/>
      <c r="L30" s="2">
        <f>K30+'20'!L30</f>
        <v>0</v>
      </c>
      <c r="M30" s="2"/>
      <c r="N30" s="2">
        <f>M30+'20'!N30</f>
        <v>0</v>
      </c>
      <c r="O30" s="2"/>
      <c r="P30" s="2">
        <f>O30+'20'!P30</f>
        <v>0</v>
      </c>
      <c r="Q30" s="4">
        <f t="shared" si="4"/>
        <v>0</v>
      </c>
      <c r="R30" s="4">
        <f>Q30+'20'!R30</f>
        <v>589</v>
      </c>
      <c r="S30" s="27">
        <f t="shared" si="5"/>
        <v>0.51940035273368612</v>
      </c>
      <c r="T30" s="12"/>
      <c r="U30" s="12">
        <f>T30+'20'!U30</f>
        <v>68</v>
      </c>
      <c r="V30" s="12"/>
      <c r="W30" s="12">
        <f>V30+'20'!W30</f>
        <v>10</v>
      </c>
      <c r="X30" s="12"/>
      <c r="Y30" s="12">
        <f>X30+'20'!Y30</f>
        <v>0</v>
      </c>
      <c r="AB30" s="5">
        <v>20</v>
      </c>
      <c r="AC30" s="26" t="str">
        <f>'20'!AC30</f>
        <v>ميت أبـــــوشيخه</v>
      </c>
      <c r="AD30" s="28">
        <f>'20'!AI30</f>
        <v>40</v>
      </c>
      <c r="AE30" s="3"/>
      <c r="AF30" s="28">
        <f>AE30+'20'!AF30</f>
        <v>100</v>
      </c>
      <c r="AG30" s="4"/>
      <c r="AH30" s="28">
        <f>AG30+'20'!AH30</f>
        <v>60</v>
      </c>
      <c r="AI30" s="4">
        <f t="shared" si="6"/>
        <v>40</v>
      </c>
      <c r="AJ30" s="11" t="e">
        <f t="shared" si="0"/>
        <v>#DIV/0!</v>
      </c>
      <c r="AK30" s="53">
        <f t="shared" si="1"/>
        <v>9.8166666666666664</v>
      </c>
      <c r="AW30" s="26" t="str">
        <f>'20'!AW30</f>
        <v>ميت أبـــــوشيخه</v>
      </c>
      <c r="AX30" s="12">
        <f>'20'!AX30</f>
        <v>2</v>
      </c>
      <c r="AY30" s="12">
        <f>'20'!AY30</f>
        <v>560</v>
      </c>
      <c r="AZ30" s="12"/>
      <c r="BA30" s="12"/>
      <c r="BB30" s="12">
        <f>BA30+'20'!BB30</f>
        <v>459</v>
      </c>
      <c r="BC30" s="30">
        <f t="shared" si="2"/>
        <v>0.81964285714285712</v>
      </c>
      <c r="BD30" s="12">
        <f>'20'!BD30</f>
        <v>2</v>
      </c>
      <c r="BE30" s="12">
        <f>'20'!BE30</f>
        <v>107</v>
      </c>
      <c r="BF30" s="12"/>
      <c r="BG30" s="12"/>
      <c r="BH30" s="12">
        <f>BG30+'20'!BH30</f>
        <v>85</v>
      </c>
      <c r="BI30" s="30">
        <f t="shared" si="3"/>
        <v>0.79439252336448596</v>
      </c>
    </row>
    <row r="31" spans="1:61" ht="28.9" customHeight="1" x14ac:dyDescent="0.35">
      <c r="A31" s="5">
        <v>21</v>
      </c>
      <c r="B31" s="26" t="str">
        <f>'20'!B31</f>
        <v>طــــــــــــه شبرا</v>
      </c>
      <c r="C31" s="26">
        <f>'20'!C31</f>
        <v>5149</v>
      </c>
      <c r="D31" s="26"/>
      <c r="E31" s="12"/>
      <c r="F31" s="2">
        <f>E31+'20'!F31</f>
        <v>22</v>
      </c>
      <c r="G31" s="2"/>
      <c r="H31" s="2">
        <f>G31+'20'!H31</f>
        <v>967</v>
      </c>
      <c r="I31" s="2"/>
      <c r="J31" s="2">
        <f>I31+'20'!J31</f>
        <v>1288</v>
      </c>
      <c r="K31" s="2"/>
      <c r="L31" s="2">
        <f>K31+'20'!L31</f>
        <v>0</v>
      </c>
      <c r="M31" s="2"/>
      <c r="N31" s="2">
        <f>M31+'20'!N31</f>
        <v>0</v>
      </c>
      <c r="O31" s="2"/>
      <c r="P31" s="2">
        <f>O31+'20'!P31</f>
        <v>0</v>
      </c>
      <c r="Q31" s="4">
        <f t="shared" si="4"/>
        <v>0</v>
      </c>
      <c r="R31" s="4">
        <f>Q31+'20'!R31</f>
        <v>2277</v>
      </c>
      <c r="S31" s="27">
        <f t="shared" si="5"/>
        <v>0.442221790638959</v>
      </c>
      <c r="T31" s="12"/>
      <c r="U31" s="12">
        <f>T31+'20'!U31</f>
        <v>277</v>
      </c>
      <c r="V31" s="12"/>
      <c r="W31" s="12">
        <f>V31+'20'!W31</f>
        <v>3</v>
      </c>
      <c r="X31" s="12"/>
      <c r="Y31" s="12">
        <f>X31+'20'!Y31</f>
        <v>0</v>
      </c>
      <c r="AB31" s="5">
        <v>21</v>
      </c>
      <c r="AC31" s="26" t="str">
        <f>'20'!AC31</f>
        <v>طــــــــــــه شبرا</v>
      </c>
      <c r="AD31" s="28">
        <f>'20'!AI31</f>
        <v>216</v>
      </c>
      <c r="AE31" s="3"/>
      <c r="AF31" s="28">
        <f>AE31+'20'!AF31</f>
        <v>452</v>
      </c>
      <c r="AG31" s="4"/>
      <c r="AH31" s="28">
        <f>AG31+'20'!AH31</f>
        <v>236</v>
      </c>
      <c r="AI31" s="4">
        <f t="shared" si="6"/>
        <v>216</v>
      </c>
      <c r="AJ31" s="11" t="e">
        <f t="shared" si="0"/>
        <v>#DIV/0!</v>
      </c>
      <c r="AK31" s="53">
        <f t="shared" si="1"/>
        <v>9.648305084745763</v>
      </c>
      <c r="AW31" s="26" t="str">
        <f>'20'!AW31</f>
        <v>طــــــــــــه شبرا</v>
      </c>
      <c r="AX31" s="12">
        <f>'20'!AX31</f>
        <v>6</v>
      </c>
      <c r="AY31" s="12">
        <f>'20'!AY31</f>
        <v>2219</v>
      </c>
      <c r="AZ31" s="12"/>
      <c r="BA31" s="12"/>
      <c r="BB31" s="12">
        <f>BA31+'20'!BB31</f>
        <v>1367</v>
      </c>
      <c r="BC31" s="30">
        <f t="shared" si="2"/>
        <v>0.61604326273095988</v>
      </c>
      <c r="BD31" s="12">
        <f>'20'!BD31</f>
        <v>8</v>
      </c>
      <c r="BE31" s="12">
        <f>'20'!BE31</f>
        <v>748</v>
      </c>
      <c r="BF31" s="12"/>
      <c r="BG31" s="12"/>
      <c r="BH31" s="12">
        <f>BG31+'20'!BH31</f>
        <v>690</v>
      </c>
      <c r="BI31" s="30">
        <f t="shared" si="3"/>
        <v>0.92245989304812837</v>
      </c>
    </row>
    <row r="32" spans="1:61" ht="28.9" customHeight="1" x14ac:dyDescent="0.35">
      <c r="A32" s="5">
        <v>22</v>
      </c>
      <c r="B32" s="26" t="str">
        <f>'20'!B32</f>
        <v>أشـــــــــــــــــليم</v>
      </c>
      <c r="C32" s="26">
        <f>'20'!C32</f>
        <v>2638</v>
      </c>
      <c r="D32" s="26"/>
      <c r="E32" s="12"/>
      <c r="F32" s="2">
        <f>E32+'20'!F32</f>
        <v>19</v>
      </c>
      <c r="G32" s="2"/>
      <c r="H32" s="2">
        <f>G32+'20'!H32</f>
        <v>606</v>
      </c>
      <c r="I32" s="2"/>
      <c r="J32" s="2">
        <f>I32+'20'!J32</f>
        <v>1522</v>
      </c>
      <c r="K32" s="2"/>
      <c r="L32" s="2">
        <f>K32+'20'!L32</f>
        <v>0</v>
      </c>
      <c r="M32" s="2"/>
      <c r="N32" s="2">
        <f>M32+'20'!N32</f>
        <v>0</v>
      </c>
      <c r="O32" s="2"/>
      <c r="P32" s="2">
        <f>O32+'20'!P32</f>
        <v>0</v>
      </c>
      <c r="Q32" s="4">
        <f t="shared" si="4"/>
        <v>0</v>
      </c>
      <c r="R32" s="4">
        <f>Q32+'20'!R32</f>
        <v>2147</v>
      </c>
      <c r="S32" s="27">
        <f t="shared" si="5"/>
        <v>0.81387414708112205</v>
      </c>
      <c r="T32" s="12"/>
      <c r="U32" s="12">
        <f>T32+'20'!U32</f>
        <v>149</v>
      </c>
      <c r="V32" s="12"/>
      <c r="W32" s="12">
        <f>V32+'20'!W32</f>
        <v>119</v>
      </c>
      <c r="X32" s="12"/>
      <c r="Y32" s="12">
        <f>X32+'20'!Y32</f>
        <v>0</v>
      </c>
      <c r="AB32" s="5">
        <v>22</v>
      </c>
      <c r="AC32" s="26" t="str">
        <f>'20'!AC32</f>
        <v>أشـــــــــــــــــليم</v>
      </c>
      <c r="AD32" s="28">
        <f>'20'!AI32</f>
        <v>31</v>
      </c>
      <c r="AE32" s="3"/>
      <c r="AF32" s="28">
        <f>AE32+'20'!AF32</f>
        <v>252</v>
      </c>
      <c r="AG32" s="4"/>
      <c r="AH32" s="28">
        <f>AG32+'20'!AH32</f>
        <v>221</v>
      </c>
      <c r="AI32" s="4">
        <f t="shared" si="6"/>
        <v>31</v>
      </c>
      <c r="AJ32" s="11" t="e">
        <f t="shared" si="0"/>
        <v>#DIV/0!</v>
      </c>
      <c r="AK32" s="53">
        <f t="shared" si="1"/>
        <v>9.7149321266968318</v>
      </c>
      <c r="AW32" s="26" t="str">
        <f>'20'!AW32</f>
        <v>أشـــــــــــــــــليم</v>
      </c>
      <c r="AX32" s="12">
        <f>'20'!AX32</f>
        <v>8</v>
      </c>
      <c r="AY32" s="12">
        <f>'20'!AY32</f>
        <v>1819</v>
      </c>
      <c r="AZ32" s="12"/>
      <c r="BA32" s="12"/>
      <c r="BB32" s="12">
        <f>BA32+'20'!BB32</f>
        <v>1506</v>
      </c>
      <c r="BC32" s="30">
        <f t="shared" si="2"/>
        <v>0.82792743265530511</v>
      </c>
      <c r="BD32" s="12">
        <f>'20'!BD32</f>
        <v>7</v>
      </c>
      <c r="BE32" s="12">
        <f>'20'!BE32</f>
        <v>176</v>
      </c>
      <c r="BF32" s="12"/>
      <c r="BG32" s="12"/>
      <c r="BH32" s="12">
        <f>BG32+'20'!BH32</f>
        <v>531</v>
      </c>
      <c r="BI32" s="30">
        <f t="shared" si="3"/>
        <v>3.0170454545454546</v>
      </c>
    </row>
    <row r="33" spans="1:61" ht="28.9" customHeight="1" x14ac:dyDescent="0.35">
      <c r="A33" s="5">
        <v>23</v>
      </c>
      <c r="B33" s="26" t="str">
        <f>'20'!B33</f>
        <v>شبرا قبالــــــــــه</v>
      </c>
      <c r="C33" s="26">
        <f>'20'!C33</f>
        <v>2050</v>
      </c>
      <c r="D33" s="26"/>
      <c r="E33" s="12"/>
      <c r="F33" s="2">
        <f>E33+'20'!F33</f>
        <v>23</v>
      </c>
      <c r="G33" s="2"/>
      <c r="H33" s="2">
        <f>G33+'20'!H33</f>
        <v>644</v>
      </c>
      <c r="I33" s="2"/>
      <c r="J33" s="2">
        <f>I33+'20'!J33</f>
        <v>773</v>
      </c>
      <c r="K33" s="2"/>
      <c r="L33" s="2">
        <f>K33+'20'!L33</f>
        <v>0</v>
      </c>
      <c r="M33" s="2"/>
      <c r="N33" s="2">
        <f>M33+'20'!N33</f>
        <v>0</v>
      </c>
      <c r="O33" s="2"/>
      <c r="P33" s="2">
        <f>O33+'20'!P33</f>
        <v>0</v>
      </c>
      <c r="Q33" s="4">
        <f t="shared" si="4"/>
        <v>0</v>
      </c>
      <c r="R33" s="4">
        <f>Q33+'20'!R33</f>
        <v>1440</v>
      </c>
      <c r="S33" s="27">
        <f t="shared" si="5"/>
        <v>0.70243902439024386</v>
      </c>
      <c r="T33" s="12"/>
      <c r="U33" s="12">
        <f>T33+'20'!U33</f>
        <v>96</v>
      </c>
      <c r="V33" s="12"/>
      <c r="W33" s="12">
        <f>V33+'20'!W33</f>
        <v>64</v>
      </c>
      <c r="X33" s="12"/>
      <c r="Y33" s="12">
        <f>X33+'20'!Y33</f>
        <v>0</v>
      </c>
      <c r="AB33" s="5">
        <v>23</v>
      </c>
      <c r="AC33" s="26" t="str">
        <f>'20'!AC33</f>
        <v>شبرا قبالــــــــــه</v>
      </c>
      <c r="AD33" s="28">
        <f>'20'!AI33</f>
        <v>36</v>
      </c>
      <c r="AE33" s="3"/>
      <c r="AF33" s="28">
        <f>AE33+'20'!AF33</f>
        <v>180</v>
      </c>
      <c r="AG33" s="4"/>
      <c r="AH33" s="28">
        <f>AG33+'20'!AH33</f>
        <v>144</v>
      </c>
      <c r="AI33" s="4">
        <f t="shared" si="6"/>
        <v>36</v>
      </c>
      <c r="AJ33" s="11" t="e">
        <f t="shared" si="0"/>
        <v>#DIV/0!</v>
      </c>
      <c r="AK33" s="53">
        <f t="shared" si="1"/>
        <v>10</v>
      </c>
      <c r="AW33" s="26" t="str">
        <f>'20'!AW33</f>
        <v>شبرا قبالــــــــــه</v>
      </c>
      <c r="AX33" s="12">
        <f>'20'!AX33</f>
        <v>1</v>
      </c>
      <c r="AY33" s="12">
        <f>'20'!AY33</f>
        <v>918</v>
      </c>
      <c r="AZ33" s="12"/>
      <c r="BA33" s="12"/>
      <c r="BB33" s="12">
        <f>BA33+'20'!BB33</f>
        <v>780</v>
      </c>
      <c r="BC33" s="30">
        <f t="shared" si="2"/>
        <v>0.84967320261437906</v>
      </c>
      <c r="BD33" s="12">
        <f>'20'!BD33</f>
        <v>5</v>
      </c>
      <c r="BE33" s="12">
        <f>'20'!BE33</f>
        <v>375</v>
      </c>
      <c r="BF33" s="12"/>
      <c r="BG33" s="12"/>
      <c r="BH33" s="12">
        <f>BG33+'20'!BH33</f>
        <v>430</v>
      </c>
      <c r="BI33" s="30">
        <f t="shared" si="3"/>
        <v>1.1466666666666667</v>
      </c>
    </row>
    <row r="34" spans="1:61" ht="28.9" customHeight="1" x14ac:dyDescent="0.35">
      <c r="A34" s="5">
        <v>24</v>
      </c>
      <c r="B34" s="26" t="str">
        <f>'20'!B34</f>
        <v>عرب الرمـــــــل</v>
      </c>
      <c r="C34" s="26">
        <f>'20'!C34</f>
        <v>5755</v>
      </c>
      <c r="D34" s="26"/>
      <c r="E34" s="12"/>
      <c r="F34" s="2">
        <f>E34+'20'!F34</f>
        <v>22</v>
      </c>
      <c r="G34" s="2"/>
      <c r="H34" s="2">
        <f>G34+'20'!H34</f>
        <v>1011</v>
      </c>
      <c r="I34" s="2"/>
      <c r="J34" s="2">
        <f>I34+'20'!J34</f>
        <v>1364</v>
      </c>
      <c r="K34" s="2"/>
      <c r="L34" s="2">
        <f>K34+'20'!L34</f>
        <v>0</v>
      </c>
      <c r="M34" s="2"/>
      <c r="N34" s="2">
        <f>M34+'20'!N34</f>
        <v>0</v>
      </c>
      <c r="O34" s="2"/>
      <c r="P34" s="2">
        <f>O34+'20'!P34</f>
        <v>0</v>
      </c>
      <c r="Q34" s="4">
        <f t="shared" si="4"/>
        <v>0</v>
      </c>
      <c r="R34" s="4">
        <f>Q34+'20'!R34</f>
        <v>2397</v>
      </c>
      <c r="S34" s="27">
        <f t="shared" si="5"/>
        <v>0.41650738488271066</v>
      </c>
      <c r="T34" s="12"/>
      <c r="U34" s="12">
        <f>T34+'20'!U34</f>
        <v>562</v>
      </c>
      <c r="V34" s="12"/>
      <c r="W34" s="12">
        <f>V34+'20'!W34</f>
        <v>41</v>
      </c>
      <c r="X34" s="12"/>
      <c r="Y34" s="12">
        <f>X34+'20'!Y34</f>
        <v>0</v>
      </c>
      <c r="AB34" s="5">
        <v>24</v>
      </c>
      <c r="AC34" s="26" t="str">
        <f>'20'!AC34</f>
        <v>عرب الرمـــــــل</v>
      </c>
      <c r="AD34" s="28">
        <f>'20'!AI34</f>
        <v>263</v>
      </c>
      <c r="AE34" s="3"/>
      <c r="AF34" s="28">
        <f>AE34+'20'!AF34</f>
        <v>505</v>
      </c>
      <c r="AG34" s="4"/>
      <c r="AH34" s="28">
        <f>AG34+'20'!AH34</f>
        <v>242</v>
      </c>
      <c r="AI34" s="4">
        <f t="shared" si="6"/>
        <v>263</v>
      </c>
      <c r="AJ34" s="11" t="e">
        <f t="shared" si="0"/>
        <v>#DIV/0!</v>
      </c>
      <c r="AK34" s="53">
        <f t="shared" si="1"/>
        <v>9.9049586776859506</v>
      </c>
      <c r="AW34" s="26" t="str">
        <f>'20'!AW34</f>
        <v>عرب الرمـــــــل</v>
      </c>
      <c r="AX34" s="12">
        <f>'20'!AX34</f>
        <v>6</v>
      </c>
      <c r="AY34" s="12">
        <f>'20'!AY34</f>
        <v>2210</v>
      </c>
      <c r="AZ34" s="12"/>
      <c r="BA34" s="12"/>
      <c r="BB34" s="12">
        <f>BA34+'20'!BB34</f>
        <v>1456</v>
      </c>
      <c r="BC34" s="30">
        <f t="shared" si="2"/>
        <v>0.6588235294117647</v>
      </c>
      <c r="BD34" s="12">
        <f>'20'!BD34</f>
        <v>9</v>
      </c>
      <c r="BE34" s="12">
        <f>'20'!BE34</f>
        <v>932</v>
      </c>
      <c r="BF34" s="12"/>
      <c r="BG34" s="12"/>
      <c r="BH34" s="12">
        <f>BG34+'20'!BH34</f>
        <v>941</v>
      </c>
      <c r="BI34" s="30">
        <f t="shared" si="3"/>
        <v>1.0096566523605151</v>
      </c>
    </row>
    <row r="35" spans="1:61" ht="28.9" customHeight="1" x14ac:dyDescent="0.35">
      <c r="A35" s="5">
        <v>25</v>
      </c>
      <c r="B35" s="26" t="str">
        <f>'20'!B35</f>
        <v>كفر ميت سراج</v>
      </c>
      <c r="C35" s="26">
        <f>'20'!C35</f>
        <v>1840</v>
      </c>
      <c r="D35" s="26"/>
      <c r="E35" s="12"/>
      <c r="F35" s="2">
        <f>E35+'20'!F35</f>
        <v>8</v>
      </c>
      <c r="G35" s="2"/>
      <c r="H35" s="2">
        <f>G35+'20'!H35</f>
        <v>386</v>
      </c>
      <c r="I35" s="2"/>
      <c r="J35" s="2">
        <f>I35+'20'!J35</f>
        <v>773</v>
      </c>
      <c r="K35" s="2"/>
      <c r="L35" s="2">
        <f>K35+'20'!L35</f>
        <v>0</v>
      </c>
      <c r="M35" s="2"/>
      <c r="N35" s="2">
        <f>M35+'20'!N35</f>
        <v>0</v>
      </c>
      <c r="O35" s="2"/>
      <c r="P35" s="2">
        <f>O35+'20'!P35</f>
        <v>0</v>
      </c>
      <c r="Q35" s="4">
        <f t="shared" si="4"/>
        <v>0</v>
      </c>
      <c r="R35" s="4">
        <f>Q35+'20'!R35</f>
        <v>1167</v>
      </c>
      <c r="S35" s="27">
        <f t="shared" si="5"/>
        <v>0.63423913043478264</v>
      </c>
      <c r="T35" s="12"/>
      <c r="U35" s="12">
        <f>T35+'20'!U35</f>
        <v>174</v>
      </c>
      <c r="V35" s="12"/>
      <c r="W35" s="12">
        <f>V35+'20'!W35</f>
        <v>11</v>
      </c>
      <c r="X35" s="12"/>
      <c r="Y35" s="12">
        <f>X35+'20'!Y35</f>
        <v>0</v>
      </c>
      <c r="AB35" s="5">
        <v>25</v>
      </c>
      <c r="AC35" s="26" t="str">
        <f>'20'!AC35</f>
        <v>كفر ميت سراج</v>
      </c>
      <c r="AD35" s="28">
        <f>'20'!AI35</f>
        <v>41</v>
      </c>
      <c r="AE35" s="3"/>
      <c r="AF35" s="28">
        <f>AE35+'20'!AF35</f>
        <v>162</v>
      </c>
      <c r="AG35" s="4"/>
      <c r="AH35" s="28">
        <f>AG35+'20'!AH35</f>
        <v>121</v>
      </c>
      <c r="AI35" s="4">
        <f t="shared" si="6"/>
        <v>41</v>
      </c>
      <c r="AJ35" s="11" t="e">
        <f t="shared" si="0"/>
        <v>#DIV/0!</v>
      </c>
      <c r="AK35" s="53">
        <f t="shared" si="1"/>
        <v>9.6446280991735538</v>
      </c>
      <c r="AW35" s="26" t="str">
        <f>'20'!AW35</f>
        <v>كفر ميت سراج</v>
      </c>
      <c r="AX35" s="12">
        <f>'20'!AX35</f>
        <v>3</v>
      </c>
      <c r="AY35" s="12">
        <f>'20'!AY35</f>
        <v>1011</v>
      </c>
      <c r="AZ35" s="12"/>
      <c r="BA35" s="12"/>
      <c r="BB35" s="12">
        <f>BA35+'20'!BB35</f>
        <v>773</v>
      </c>
      <c r="BC35" s="30">
        <f t="shared" si="2"/>
        <v>0.76458951533135511</v>
      </c>
      <c r="BD35" s="12">
        <f>'20'!BD35</f>
        <v>4</v>
      </c>
      <c r="BE35" s="12">
        <f>'20'!BE35</f>
        <v>413</v>
      </c>
      <c r="BF35" s="12"/>
      <c r="BG35" s="12"/>
      <c r="BH35" s="12">
        <f>BG35+'20'!BH35</f>
        <v>232</v>
      </c>
      <c r="BI35" s="30">
        <f t="shared" si="3"/>
        <v>0.56174334140435833</v>
      </c>
    </row>
    <row r="36" spans="1:61" ht="28.9" customHeight="1" x14ac:dyDescent="0.35">
      <c r="A36" s="5">
        <v>26</v>
      </c>
      <c r="B36" s="26" t="str">
        <f>'20'!B36</f>
        <v>كفر أبشيش</v>
      </c>
      <c r="C36" s="26">
        <f>'20'!C36</f>
        <v>1345</v>
      </c>
      <c r="D36" s="26"/>
      <c r="E36" s="12"/>
      <c r="F36" s="2">
        <f>E36+'20'!F36</f>
        <v>14</v>
      </c>
      <c r="G36" s="2"/>
      <c r="H36" s="2">
        <f>G36+'20'!H36</f>
        <v>207</v>
      </c>
      <c r="I36" s="2"/>
      <c r="J36" s="2">
        <f>I36+'20'!J36</f>
        <v>725</v>
      </c>
      <c r="K36" s="2"/>
      <c r="L36" s="2">
        <f>K36+'20'!L36</f>
        <v>0</v>
      </c>
      <c r="M36" s="2"/>
      <c r="N36" s="2">
        <f>M36+'20'!N36</f>
        <v>0</v>
      </c>
      <c r="O36" s="2"/>
      <c r="P36" s="2">
        <f>O36+'20'!P36</f>
        <v>0</v>
      </c>
      <c r="Q36" s="4">
        <f t="shared" si="4"/>
        <v>0</v>
      </c>
      <c r="R36" s="4">
        <f>Q36+'20'!R36</f>
        <v>946</v>
      </c>
      <c r="S36" s="27">
        <f t="shared" si="5"/>
        <v>0.70334572490706315</v>
      </c>
      <c r="T36" s="12"/>
      <c r="U36" s="12">
        <f>T36+'20'!U36</f>
        <v>113</v>
      </c>
      <c r="V36" s="12"/>
      <c r="W36" s="12">
        <f>V36+'20'!W36</f>
        <v>4</v>
      </c>
      <c r="X36" s="12"/>
      <c r="Y36" s="12">
        <f>X36+'20'!Y36</f>
        <v>0</v>
      </c>
      <c r="AB36" s="5">
        <v>26</v>
      </c>
      <c r="AC36" s="26" t="str">
        <f>'20'!AC36</f>
        <v>كفر أبشيش</v>
      </c>
      <c r="AD36" s="28">
        <f>'20'!AI36</f>
        <v>24</v>
      </c>
      <c r="AE36" s="3"/>
      <c r="AF36" s="28">
        <f>AE36+'20'!AF36</f>
        <v>119</v>
      </c>
      <c r="AG36" s="4"/>
      <c r="AH36" s="28">
        <f>AG36+'20'!AH36</f>
        <v>95</v>
      </c>
      <c r="AI36" s="4">
        <f t="shared" si="6"/>
        <v>24</v>
      </c>
      <c r="AJ36" s="11" t="e">
        <f t="shared" si="0"/>
        <v>#DIV/0!</v>
      </c>
      <c r="AK36" s="53">
        <f t="shared" si="1"/>
        <v>9.9578947368421051</v>
      </c>
      <c r="AW36" s="26" t="str">
        <f>'20'!AW36</f>
        <v>كفر أبشيش</v>
      </c>
      <c r="AX36" s="12">
        <f>'20'!AX36</f>
        <v>1</v>
      </c>
      <c r="AY36" s="12">
        <f>'20'!AY36</f>
        <v>860</v>
      </c>
      <c r="AZ36" s="12"/>
      <c r="BA36" s="12"/>
      <c r="BB36" s="12">
        <f>BA36+'20'!BB36</f>
        <v>730</v>
      </c>
      <c r="BC36" s="30">
        <f t="shared" si="2"/>
        <v>0.84883720930232553</v>
      </c>
      <c r="BD36" s="12">
        <f>'20'!BD36</f>
        <v>4</v>
      </c>
      <c r="BE36" s="12">
        <f>'20'!BE36</f>
        <v>194</v>
      </c>
      <c r="BF36" s="12"/>
      <c r="BG36" s="12"/>
      <c r="BH36" s="12">
        <f>BG36+'20'!BH36</f>
        <v>0</v>
      </c>
      <c r="BI36" s="30">
        <f t="shared" si="3"/>
        <v>0</v>
      </c>
    </row>
    <row r="37" spans="1:61" ht="28.9" customHeight="1" x14ac:dyDescent="0.35">
      <c r="A37" s="5">
        <v>27</v>
      </c>
      <c r="B37" s="26" t="str">
        <f>'20'!B37</f>
        <v>كفر ميت العبسى</v>
      </c>
      <c r="C37" s="26">
        <f>'20'!C37</f>
        <v>1180</v>
      </c>
      <c r="D37" s="26"/>
      <c r="E37" s="12"/>
      <c r="F37" s="2">
        <f>E37+'20'!F37</f>
        <v>12</v>
      </c>
      <c r="G37" s="2"/>
      <c r="H37" s="2">
        <f>G37+'20'!H37</f>
        <v>248</v>
      </c>
      <c r="I37" s="2"/>
      <c r="J37" s="2">
        <f>I37+'20'!J37</f>
        <v>443</v>
      </c>
      <c r="K37" s="2"/>
      <c r="L37" s="2">
        <f>K37+'20'!L37</f>
        <v>0</v>
      </c>
      <c r="M37" s="2"/>
      <c r="N37" s="2">
        <f>M37+'20'!N37</f>
        <v>0</v>
      </c>
      <c r="O37" s="2"/>
      <c r="P37" s="2">
        <f>O37+'20'!P37</f>
        <v>0</v>
      </c>
      <c r="Q37" s="4">
        <f t="shared" si="4"/>
        <v>0</v>
      </c>
      <c r="R37" s="4">
        <f>Q37+'20'!R37</f>
        <v>703</v>
      </c>
      <c r="S37" s="27">
        <f t="shared" si="5"/>
        <v>0.59576271186440677</v>
      </c>
      <c r="T37" s="12"/>
      <c r="U37" s="12">
        <f>T37+'20'!U37</f>
        <v>53</v>
      </c>
      <c r="V37" s="12"/>
      <c r="W37" s="12">
        <f>V37+'20'!W37</f>
        <v>11</v>
      </c>
      <c r="X37" s="12"/>
      <c r="Y37" s="12">
        <f>X37+'20'!Y37</f>
        <v>0</v>
      </c>
      <c r="AB37" s="5">
        <v>27</v>
      </c>
      <c r="AC37" s="26" t="str">
        <f>'20'!AC37</f>
        <v>كفر ميت العبسى</v>
      </c>
      <c r="AD37" s="28">
        <f>'20'!AI37</f>
        <v>33</v>
      </c>
      <c r="AE37" s="3"/>
      <c r="AF37" s="28">
        <f>AE37+'20'!AF37</f>
        <v>104</v>
      </c>
      <c r="AG37" s="4"/>
      <c r="AH37" s="28">
        <f>AG37+'20'!AH37</f>
        <v>71</v>
      </c>
      <c r="AI37" s="4">
        <f t="shared" si="6"/>
        <v>33</v>
      </c>
      <c r="AJ37" s="11" t="e">
        <f t="shared" si="0"/>
        <v>#DIV/0!</v>
      </c>
      <c r="AK37" s="53">
        <f t="shared" si="1"/>
        <v>9.9014084507042259</v>
      </c>
      <c r="AW37" s="26" t="str">
        <f>'20'!AW37</f>
        <v>كفر ميت العبسى</v>
      </c>
      <c r="AX37" s="12">
        <f>'20'!AX37</f>
        <v>2</v>
      </c>
      <c r="AY37" s="12">
        <f>'20'!AY37</f>
        <v>494</v>
      </c>
      <c r="AZ37" s="12"/>
      <c r="BA37" s="12"/>
      <c r="BB37" s="12">
        <f>BA37+'20'!BB37</f>
        <v>418</v>
      </c>
      <c r="BC37" s="30">
        <f t="shared" si="2"/>
        <v>0.84615384615384615</v>
      </c>
      <c r="BD37" s="12">
        <f>'20'!BD37</f>
        <v>4</v>
      </c>
      <c r="BE37" s="12">
        <f>'20'!BE37</f>
        <v>114</v>
      </c>
      <c r="BF37" s="12"/>
      <c r="BG37" s="12"/>
      <c r="BH37" s="12">
        <f>BG37+'20'!BH37</f>
        <v>73</v>
      </c>
      <c r="BI37" s="30">
        <f t="shared" si="3"/>
        <v>0.64035087719298245</v>
      </c>
    </row>
    <row r="38" spans="1:61" ht="28.9" customHeight="1" x14ac:dyDescent="0.35">
      <c r="A38" s="5">
        <v>28</v>
      </c>
      <c r="B38" s="26" t="str">
        <f>'20'!B38</f>
        <v>كفر وهــــــــــب</v>
      </c>
      <c r="C38" s="26">
        <f>'20'!C38</f>
        <v>1854.9999999999998</v>
      </c>
      <c r="D38" s="26"/>
      <c r="E38" s="12"/>
      <c r="F38" s="2">
        <f>E38+'20'!F38</f>
        <v>7</v>
      </c>
      <c r="G38" s="2"/>
      <c r="H38" s="2">
        <f>G38+'20'!H38</f>
        <v>265</v>
      </c>
      <c r="I38" s="2"/>
      <c r="J38" s="2">
        <f>I38+'20'!J38</f>
        <v>618</v>
      </c>
      <c r="K38" s="2"/>
      <c r="L38" s="2">
        <f>K38+'20'!L38</f>
        <v>0</v>
      </c>
      <c r="M38" s="2"/>
      <c r="N38" s="2">
        <f>M38+'20'!N38</f>
        <v>0</v>
      </c>
      <c r="O38" s="2"/>
      <c r="P38" s="2">
        <f>O38+'20'!P38</f>
        <v>0</v>
      </c>
      <c r="Q38" s="4">
        <f t="shared" si="4"/>
        <v>0</v>
      </c>
      <c r="R38" s="4">
        <f>Q38+'20'!R38</f>
        <v>890</v>
      </c>
      <c r="S38" s="27">
        <f t="shared" si="5"/>
        <v>0.47978436657681944</v>
      </c>
      <c r="T38" s="12"/>
      <c r="U38" s="12">
        <f>T38+'20'!U38</f>
        <v>123</v>
      </c>
      <c r="V38" s="12"/>
      <c r="W38" s="12">
        <f>V38+'20'!W38</f>
        <v>7</v>
      </c>
      <c r="X38" s="12"/>
      <c r="Y38" s="12">
        <f>X38+'20'!Y38</f>
        <v>0</v>
      </c>
      <c r="AB38" s="5">
        <v>28</v>
      </c>
      <c r="AC38" s="26" t="str">
        <f>'20'!AC38</f>
        <v>كفر وهــــــــــب</v>
      </c>
      <c r="AD38" s="28">
        <f>'20'!AI38</f>
        <v>72</v>
      </c>
      <c r="AE38" s="3"/>
      <c r="AF38" s="28">
        <f>AE38+'20'!AF38</f>
        <v>163</v>
      </c>
      <c r="AG38" s="4"/>
      <c r="AH38" s="28">
        <f>AG38+'20'!AH38</f>
        <v>91</v>
      </c>
      <c r="AI38" s="4">
        <f t="shared" si="6"/>
        <v>72</v>
      </c>
      <c r="AJ38" s="11" t="e">
        <f t="shared" si="0"/>
        <v>#DIV/0!</v>
      </c>
      <c r="AK38" s="53">
        <f t="shared" si="1"/>
        <v>9.780219780219781</v>
      </c>
      <c r="AW38" s="26" t="str">
        <f>'20'!AW38</f>
        <v>كفر وهــــــــــب</v>
      </c>
      <c r="AX38" s="12">
        <f>'20'!AX38</f>
        <v>2</v>
      </c>
      <c r="AY38" s="12">
        <f>'20'!AY38</f>
        <v>793</v>
      </c>
      <c r="AZ38" s="12"/>
      <c r="BA38" s="12"/>
      <c r="BB38" s="12">
        <f>BA38+'20'!BB38</f>
        <v>623</v>
      </c>
      <c r="BC38" s="30">
        <f t="shared" si="2"/>
        <v>0.78562421185372</v>
      </c>
      <c r="BD38" s="12">
        <f>'20'!BD38</f>
        <v>3</v>
      </c>
      <c r="BE38" s="12">
        <f>'20'!BE38</f>
        <v>180</v>
      </c>
      <c r="BF38" s="12"/>
      <c r="BG38" s="12"/>
      <c r="BH38" s="12">
        <f>BG38+'20'!BH38</f>
        <v>160</v>
      </c>
      <c r="BI38" s="30">
        <f t="shared" si="3"/>
        <v>0.88888888888888884</v>
      </c>
    </row>
    <row r="39" spans="1:61" ht="28.9" customHeight="1" x14ac:dyDescent="0.35">
      <c r="A39" s="5">
        <v>29</v>
      </c>
      <c r="B39" s="26" t="str">
        <f>'20'!B39</f>
        <v>دمــــــــــــــهوج</v>
      </c>
      <c r="C39" s="26">
        <f>'20'!C39</f>
        <v>2738</v>
      </c>
      <c r="D39" s="26"/>
      <c r="E39" s="12"/>
      <c r="F39" s="2">
        <f>E39+'20'!F39</f>
        <v>11</v>
      </c>
      <c r="G39" s="2"/>
      <c r="H39" s="2">
        <f>G39+'20'!H39</f>
        <v>437</v>
      </c>
      <c r="I39" s="2"/>
      <c r="J39" s="2">
        <f>I39+'20'!J39</f>
        <v>832</v>
      </c>
      <c r="K39" s="2"/>
      <c r="L39" s="2">
        <f>K39+'20'!L39</f>
        <v>0</v>
      </c>
      <c r="M39" s="2"/>
      <c r="N39" s="2">
        <f>M39+'20'!N39</f>
        <v>0</v>
      </c>
      <c r="O39" s="2"/>
      <c r="P39" s="2">
        <f>O39+'20'!P39</f>
        <v>0</v>
      </c>
      <c r="Q39" s="4">
        <f t="shared" si="4"/>
        <v>0</v>
      </c>
      <c r="R39" s="4">
        <f>Q39+'20'!R39</f>
        <v>1280</v>
      </c>
      <c r="S39" s="27">
        <f t="shared" si="5"/>
        <v>0.46749452154857563</v>
      </c>
      <c r="T39" s="12"/>
      <c r="U39" s="12">
        <f>T39+'20'!U39</f>
        <v>158</v>
      </c>
      <c r="V39" s="12"/>
      <c r="W39" s="12">
        <f>V39+'20'!W39</f>
        <v>7</v>
      </c>
      <c r="X39" s="12"/>
      <c r="Y39" s="12">
        <f>X39+'20'!Y39</f>
        <v>0</v>
      </c>
      <c r="AB39" s="5">
        <v>29</v>
      </c>
      <c r="AC39" s="26" t="str">
        <f>'20'!AC39</f>
        <v>دمــــــــــــــهوج</v>
      </c>
      <c r="AD39" s="28">
        <f>'20'!AI39</f>
        <v>109</v>
      </c>
      <c r="AE39" s="3"/>
      <c r="AF39" s="28">
        <f>AE39+'20'!AF39</f>
        <v>240</v>
      </c>
      <c r="AG39" s="4"/>
      <c r="AH39" s="28">
        <f>AG39+'20'!AH39</f>
        <v>131</v>
      </c>
      <c r="AI39" s="4">
        <f t="shared" si="6"/>
        <v>109</v>
      </c>
      <c r="AJ39" s="11" t="e">
        <f t="shared" si="0"/>
        <v>#DIV/0!</v>
      </c>
      <c r="AK39" s="53">
        <f t="shared" si="1"/>
        <v>9.770992366412214</v>
      </c>
      <c r="AW39" s="26" t="str">
        <f>'20'!AW39</f>
        <v>دمــــــــــــــهوج</v>
      </c>
      <c r="AX39" s="12">
        <f>'20'!AX39</f>
        <v>2</v>
      </c>
      <c r="AY39" s="12">
        <f>'20'!AY39</f>
        <v>1086</v>
      </c>
      <c r="AZ39" s="12"/>
      <c r="BA39" s="12"/>
      <c r="BB39" s="12">
        <f>BA39+'20'!BB39</f>
        <v>834</v>
      </c>
      <c r="BC39" s="30">
        <f t="shared" si="2"/>
        <v>0.76795580110497241</v>
      </c>
      <c r="BD39" s="12">
        <f>'20'!BD39</f>
        <v>10</v>
      </c>
      <c r="BE39" s="12">
        <f>'20'!BE39</f>
        <v>455</v>
      </c>
      <c r="BF39" s="12"/>
      <c r="BG39" s="12"/>
      <c r="BH39" s="12">
        <f>BG39+'20'!BH39</f>
        <v>439</v>
      </c>
      <c r="BI39" s="30">
        <f t="shared" si="3"/>
        <v>0.96483516483516485</v>
      </c>
    </row>
    <row r="40" spans="1:61" ht="28.9" customHeight="1" x14ac:dyDescent="0.35">
      <c r="A40" s="5">
        <v>30</v>
      </c>
      <c r="B40" s="26" t="str">
        <f>'20'!B40</f>
        <v>كفر زين الدين</v>
      </c>
      <c r="C40" s="26">
        <f>'20'!C40</f>
        <v>819</v>
      </c>
      <c r="D40" s="26"/>
      <c r="E40" s="12"/>
      <c r="F40" s="2">
        <f>E40+'20'!F40</f>
        <v>9</v>
      </c>
      <c r="G40" s="2"/>
      <c r="H40" s="2">
        <f>G40+'20'!H40</f>
        <v>266</v>
      </c>
      <c r="I40" s="2"/>
      <c r="J40" s="2">
        <f>I40+'20'!J40</f>
        <v>430</v>
      </c>
      <c r="K40" s="2"/>
      <c r="L40" s="2">
        <f>K40+'20'!L40</f>
        <v>0</v>
      </c>
      <c r="M40" s="2"/>
      <c r="N40" s="2">
        <f>M40+'20'!N40</f>
        <v>0</v>
      </c>
      <c r="O40" s="2"/>
      <c r="P40" s="2">
        <f>O40+'20'!P40</f>
        <v>0</v>
      </c>
      <c r="Q40" s="4">
        <f t="shared" si="4"/>
        <v>0</v>
      </c>
      <c r="R40" s="4">
        <f>Q40+'20'!R40</f>
        <v>705</v>
      </c>
      <c r="S40" s="27">
        <f t="shared" si="5"/>
        <v>0.86080586080586086</v>
      </c>
      <c r="T40" s="12"/>
      <c r="U40" s="12">
        <f>T40+'20'!U40</f>
        <v>76</v>
      </c>
      <c r="V40" s="12"/>
      <c r="W40" s="12">
        <f>V40+'20'!W40</f>
        <v>26</v>
      </c>
      <c r="X40" s="12"/>
      <c r="Y40" s="12">
        <f>X40+'20'!Y40</f>
        <v>0</v>
      </c>
      <c r="AB40" s="5">
        <v>30</v>
      </c>
      <c r="AC40" s="26" t="str">
        <f>'20'!AC40</f>
        <v>كفر زين الدين</v>
      </c>
      <c r="AD40" s="28">
        <f>'20'!AI40</f>
        <v>9</v>
      </c>
      <c r="AE40" s="3"/>
      <c r="AF40" s="28">
        <f>AE40+'20'!AF40</f>
        <v>80</v>
      </c>
      <c r="AG40" s="4"/>
      <c r="AH40" s="28">
        <f>AG40+'20'!AH40</f>
        <v>71</v>
      </c>
      <c r="AI40" s="4">
        <f t="shared" si="6"/>
        <v>9</v>
      </c>
      <c r="AJ40" s="11" t="e">
        <f t="shared" si="0"/>
        <v>#DIV/0!</v>
      </c>
      <c r="AK40" s="53">
        <f t="shared" si="1"/>
        <v>9.929577464788732</v>
      </c>
      <c r="AW40" s="26" t="str">
        <f>'20'!AW40</f>
        <v>كفر زين الدين</v>
      </c>
      <c r="AX40" s="12">
        <f>'20'!AX40</f>
        <v>1</v>
      </c>
      <c r="AY40" s="12">
        <f>'20'!AY40</f>
        <v>563</v>
      </c>
      <c r="AZ40" s="12"/>
      <c r="BA40" s="12"/>
      <c r="BB40" s="12">
        <f>BA40+'20'!BB40</f>
        <v>364</v>
      </c>
      <c r="BC40" s="30">
        <f t="shared" si="2"/>
        <v>0.64653641207815271</v>
      </c>
      <c r="BD40" s="12">
        <f>'20'!BD40</f>
        <v>2</v>
      </c>
      <c r="BE40" s="12">
        <f>'20'!BE40</f>
        <v>87</v>
      </c>
      <c r="BF40" s="12"/>
      <c r="BG40" s="12"/>
      <c r="BH40" s="12">
        <f>BG40+'20'!BH40</f>
        <v>166</v>
      </c>
      <c r="BI40" s="30">
        <f t="shared" si="3"/>
        <v>1.9080459770114941</v>
      </c>
    </row>
    <row r="41" spans="1:61" ht="28.9" customHeight="1" x14ac:dyDescent="0.35">
      <c r="A41" s="5">
        <v>31</v>
      </c>
      <c r="B41" s="26" t="str">
        <f>'20'!B41</f>
        <v>عزبــة أبوالنصر</v>
      </c>
      <c r="C41" s="26">
        <f>'20'!C41</f>
        <v>410</v>
      </c>
      <c r="D41" s="26"/>
      <c r="E41" s="12"/>
      <c r="F41" s="2">
        <f>E41+'20'!F41</f>
        <v>10</v>
      </c>
      <c r="G41" s="2"/>
      <c r="H41" s="2">
        <f>G41+'20'!H41</f>
        <v>229</v>
      </c>
      <c r="I41" s="2"/>
      <c r="J41" s="2">
        <f>I41+'20'!J41</f>
        <v>120</v>
      </c>
      <c r="K41" s="2"/>
      <c r="L41" s="2">
        <f>K41+'20'!L41</f>
        <v>0</v>
      </c>
      <c r="M41" s="2"/>
      <c r="N41" s="2">
        <f>M41+'20'!N41</f>
        <v>0</v>
      </c>
      <c r="O41" s="2"/>
      <c r="P41" s="2">
        <f>O41+'20'!P41</f>
        <v>0</v>
      </c>
      <c r="Q41" s="4">
        <f t="shared" si="4"/>
        <v>0</v>
      </c>
      <c r="R41" s="4">
        <f>Q41+'20'!R41</f>
        <v>359</v>
      </c>
      <c r="S41" s="27">
        <f t="shared" si="5"/>
        <v>0.87560975609756098</v>
      </c>
      <c r="T41" s="12"/>
      <c r="U41" s="12">
        <f>T41+'20'!U41</f>
        <v>0</v>
      </c>
      <c r="V41" s="12"/>
      <c r="W41" s="12">
        <f>V41+'20'!W41</f>
        <v>0</v>
      </c>
      <c r="X41" s="12"/>
      <c r="Y41" s="12">
        <f>X41+'20'!Y41</f>
        <v>0</v>
      </c>
      <c r="AB41" s="5">
        <v>31</v>
      </c>
      <c r="AC41" s="26" t="str">
        <f>'20'!AC41</f>
        <v>عزبــة أبوالنصر</v>
      </c>
      <c r="AD41" s="28">
        <f>'20'!AI41</f>
        <v>4</v>
      </c>
      <c r="AE41" s="3"/>
      <c r="AF41" s="28">
        <f>AE41+'20'!AF41</f>
        <v>41</v>
      </c>
      <c r="AG41" s="4"/>
      <c r="AH41" s="28">
        <f>AG41+'20'!AH41</f>
        <v>37</v>
      </c>
      <c r="AI41" s="4">
        <f t="shared" si="6"/>
        <v>4</v>
      </c>
      <c r="AJ41" s="11" t="e">
        <f t="shared" si="0"/>
        <v>#DIV/0!</v>
      </c>
      <c r="AK41" s="53">
        <f t="shared" si="1"/>
        <v>9.7027027027027035</v>
      </c>
      <c r="AW41" s="26" t="str">
        <f>'20'!AW41</f>
        <v>عزبــة أبوالنصر</v>
      </c>
      <c r="AX41" s="12">
        <f>'20'!AX41</f>
        <v>2</v>
      </c>
      <c r="AY41" s="12">
        <f>'20'!AY41</f>
        <v>70</v>
      </c>
      <c r="AZ41" s="12"/>
      <c r="BA41" s="12"/>
      <c r="BB41" s="12">
        <f>BA41+'20'!BB41</f>
        <v>65</v>
      </c>
      <c r="BC41" s="30">
        <f t="shared" si="2"/>
        <v>0.9285714285714286</v>
      </c>
      <c r="BD41" s="12">
        <f>'20'!BD41</f>
        <v>3</v>
      </c>
      <c r="BE41" s="12">
        <f>'20'!BE41</f>
        <v>75</v>
      </c>
      <c r="BF41" s="12"/>
      <c r="BG41" s="12"/>
      <c r="BH41" s="12">
        <f>BG41+'20'!BH41</f>
        <v>36</v>
      </c>
      <c r="BI41" s="30">
        <f t="shared" si="3"/>
        <v>0.48</v>
      </c>
    </row>
    <row r="42" spans="1:61" ht="28.9" customHeight="1" x14ac:dyDescent="0.35">
      <c r="A42" s="5">
        <v>32</v>
      </c>
      <c r="B42" s="26" t="str">
        <f>'20'!B42</f>
        <v>شمنديــــــــــــــل</v>
      </c>
      <c r="C42" s="26">
        <f>'20'!C42</f>
        <v>880</v>
      </c>
      <c r="D42" s="26"/>
      <c r="E42" s="12"/>
      <c r="F42" s="2">
        <f>E42+'20'!F42</f>
        <v>7</v>
      </c>
      <c r="G42" s="2"/>
      <c r="H42" s="2">
        <f>G42+'20'!H42</f>
        <v>219</v>
      </c>
      <c r="I42" s="2"/>
      <c r="J42" s="2">
        <f>I42+'20'!J42</f>
        <v>421</v>
      </c>
      <c r="K42" s="2"/>
      <c r="L42" s="2">
        <f>K42+'20'!L42</f>
        <v>0</v>
      </c>
      <c r="M42" s="2"/>
      <c r="N42" s="2">
        <f>M42+'20'!N42</f>
        <v>0</v>
      </c>
      <c r="O42" s="2"/>
      <c r="P42" s="2">
        <f>O42+'20'!P42</f>
        <v>0</v>
      </c>
      <c r="Q42" s="4">
        <f t="shared" si="4"/>
        <v>0</v>
      </c>
      <c r="R42" s="4">
        <f>Q42+'20'!R42</f>
        <v>647</v>
      </c>
      <c r="S42" s="27">
        <f t="shared" si="5"/>
        <v>0.73522727272727273</v>
      </c>
      <c r="T42" s="12"/>
      <c r="U42" s="12">
        <f>T42+'20'!U42</f>
        <v>69</v>
      </c>
      <c r="V42" s="12"/>
      <c r="W42" s="12">
        <f>V42+'20'!W42</f>
        <v>11</v>
      </c>
      <c r="X42" s="12"/>
      <c r="Y42" s="12">
        <f>X42+'20'!Y42</f>
        <v>0</v>
      </c>
      <c r="AB42" s="5">
        <v>32</v>
      </c>
      <c r="AC42" s="26" t="str">
        <f>'20'!AC42</f>
        <v>شمنديــــــــــــــل</v>
      </c>
      <c r="AD42" s="28">
        <f>'20'!AI42</f>
        <v>9</v>
      </c>
      <c r="AE42" s="3"/>
      <c r="AF42" s="28">
        <f>AE42+'20'!AF42</f>
        <v>78</v>
      </c>
      <c r="AG42" s="4"/>
      <c r="AH42" s="28">
        <f>AG42+'20'!AH42</f>
        <v>69</v>
      </c>
      <c r="AI42" s="4">
        <f t="shared" si="6"/>
        <v>9</v>
      </c>
      <c r="AJ42" s="11" t="e">
        <f t="shared" si="0"/>
        <v>#DIV/0!</v>
      </c>
      <c r="AK42" s="53">
        <f t="shared" si="1"/>
        <v>9.3768115942028984</v>
      </c>
      <c r="AW42" s="26" t="str">
        <f>'20'!AW42</f>
        <v>شمنديــــــــــــــل</v>
      </c>
      <c r="AX42" s="12">
        <f>'20'!AX42</f>
        <v>2</v>
      </c>
      <c r="AY42" s="12">
        <f>'20'!AY42</f>
        <v>569</v>
      </c>
      <c r="AZ42" s="12"/>
      <c r="BA42" s="12"/>
      <c r="BB42" s="12">
        <f>BA42+'20'!BB42</f>
        <v>453</v>
      </c>
      <c r="BC42" s="30">
        <f t="shared" si="2"/>
        <v>0.79613356766256593</v>
      </c>
      <c r="BD42" s="12">
        <f>'20'!BD42</f>
        <v>1</v>
      </c>
      <c r="BE42" s="12">
        <f>'20'!BE42</f>
        <v>39</v>
      </c>
      <c r="BF42" s="12"/>
      <c r="BG42" s="12"/>
      <c r="BH42" s="12">
        <f>BG42+'20'!BH42</f>
        <v>82</v>
      </c>
      <c r="BI42" s="30">
        <f t="shared" si="3"/>
        <v>2.1025641025641026</v>
      </c>
    </row>
    <row r="43" spans="1:61" ht="28.9" customHeight="1" x14ac:dyDescent="0.35">
      <c r="A43" s="5">
        <v>33</v>
      </c>
      <c r="B43" s="26" t="str">
        <f>'20'!B43</f>
        <v>كفور الرمل</v>
      </c>
      <c r="C43" s="26">
        <f>'20'!C43</f>
        <v>1721</v>
      </c>
      <c r="D43" s="26"/>
      <c r="E43" s="12"/>
      <c r="F43" s="2">
        <f>E43+'20'!F43</f>
        <v>17</v>
      </c>
      <c r="G43" s="2"/>
      <c r="H43" s="2">
        <f>G43+'20'!H43</f>
        <v>505</v>
      </c>
      <c r="I43" s="2"/>
      <c r="J43" s="2">
        <f>I43+'20'!J43</f>
        <v>718</v>
      </c>
      <c r="K43" s="2"/>
      <c r="L43" s="2">
        <f>K43+'20'!L43</f>
        <v>0</v>
      </c>
      <c r="M43" s="2"/>
      <c r="N43" s="2">
        <f>M43+'20'!N43</f>
        <v>0</v>
      </c>
      <c r="O43" s="2"/>
      <c r="P43" s="2">
        <f>O43+'20'!P43</f>
        <v>0</v>
      </c>
      <c r="Q43" s="4">
        <f t="shared" si="4"/>
        <v>0</v>
      </c>
      <c r="R43" s="4">
        <f>Q43+'20'!R43</f>
        <v>1240</v>
      </c>
      <c r="S43" s="27">
        <f t="shared" si="5"/>
        <v>0.72051133062173156</v>
      </c>
      <c r="T43" s="12"/>
      <c r="U43" s="12">
        <f>T43+'20'!U43</f>
        <v>192</v>
      </c>
      <c r="V43" s="12"/>
      <c r="W43" s="12">
        <f>V43+'20'!W43</f>
        <v>100</v>
      </c>
      <c r="X43" s="12"/>
      <c r="Y43" s="12">
        <f>X43+'20'!Y43</f>
        <v>0</v>
      </c>
      <c r="AB43" s="5">
        <v>33</v>
      </c>
      <c r="AC43" s="26" t="str">
        <f>'20'!AC43</f>
        <v>كفور الرمل</v>
      </c>
      <c r="AD43" s="28">
        <f>'20'!AI43</f>
        <v>15</v>
      </c>
      <c r="AE43" s="3"/>
      <c r="AF43" s="28">
        <f>AE43+'20'!AF43</f>
        <v>150</v>
      </c>
      <c r="AG43" s="4"/>
      <c r="AH43" s="28">
        <f>AG43+'20'!AH43</f>
        <v>135</v>
      </c>
      <c r="AI43" s="4">
        <f t="shared" si="6"/>
        <v>15</v>
      </c>
      <c r="AJ43" s="11" t="e">
        <f t="shared" si="0"/>
        <v>#DIV/0!</v>
      </c>
      <c r="AK43" s="53">
        <f t="shared" si="1"/>
        <v>9.1851851851851851</v>
      </c>
      <c r="AW43" s="26" t="str">
        <f>'20'!AW43</f>
        <v>كفور الرمل</v>
      </c>
      <c r="AX43" s="12">
        <f>'20'!AX43</f>
        <v>4</v>
      </c>
      <c r="AY43" s="12">
        <f>'20'!AY43</f>
        <v>1335</v>
      </c>
      <c r="AZ43" s="12"/>
      <c r="BA43" s="12"/>
      <c r="BB43" s="12">
        <f>BA43+'20'!BB43</f>
        <v>918</v>
      </c>
      <c r="BC43" s="30">
        <f t="shared" si="2"/>
        <v>0.68764044943820224</v>
      </c>
      <c r="BD43" s="12">
        <f>'20'!BD43</f>
        <v>7</v>
      </c>
      <c r="BE43" s="12">
        <f>'20'!BE43</f>
        <v>753</v>
      </c>
      <c r="BF43" s="12"/>
      <c r="BG43" s="12"/>
      <c r="BH43" s="12">
        <f>BG43+'20'!BH43</f>
        <v>414</v>
      </c>
      <c r="BI43" s="30">
        <f t="shared" si="3"/>
        <v>0.54980079681274896</v>
      </c>
    </row>
    <row r="44" spans="1:61" ht="28.9" customHeight="1" x14ac:dyDescent="0.35">
      <c r="A44" s="5">
        <v>34</v>
      </c>
      <c r="B44" s="26" t="str">
        <f>'20'!B44</f>
        <v>منشأة أم خنان</v>
      </c>
      <c r="C44" s="26">
        <f>'20'!C44</f>
        <v>510</v>
      </c>
      <c r="D44" s="26"/>
      <c r="E44" s="12"/>
      <c r="F44" s="2">
        <f>E44+'20'!F44</f>
        <v>12</v>
      </c>
      <c r="G44" s="2"/>
      <c r="H44" s="2">
        <f>G44+'20'!H44</f>
        <v>194</v>
      </c>
      <c r="I44" s="2"/>
      <c r="J44" s="2">
        <f>I44+'20'!J44</f>
        <v>291</v>
      </c>
      <c r="K44" s="2"/>
      <c r="L44" s="2">
        <f>K44+'20'!L44</f>
        <v>0</v>
      </c>
      <c r="M44" s="2"/>
      <c r="N44" s="2">
        <f>M44+'20'!N44</f>
        <v>0</v>
      </c>
      <c r="O44" s="2"/>
      <c r="P44" s="2">
        <f>O44+'20'!P44</f>
        <v>0</v>
      </c>
      <c r="Q44" s="4">
        <f t="shared" si="4"/>
        <v>0</v>
      </c>
      <c r="R44" s="4">
        <f>Q44+'20'!R44</f>
        <v>497</v>
      </c>
      <c r="S44" s="27">
        <f t="shared" si="5"/>
        <v>0.97450980392156861</v>
      </c>
      <c r="T44" s="12"/>
      <c r="U44" s="12">
        <f>T44+'20'!U44</f>
        <v>11</v>
      </c>
      <c r="V44" s="12"/>
      <c r="W44" s="12">
        <f>V44+'20'!W44</f>
        <v>7</v>
      </c>
      <c r="X44" s="12"/>
      <c r="Y44" s="12">
        <f>X44+'20'!Y44</f>
        <v>0</v>
      </c>
      <c r="AB44" s="5">
        <v>34</v>
      </c>
      <c r="AC44" s="26" t="str">
        <f>'20'!AC44</f>
        <v>منشأة أم خنان</v>
      </c>
      <c r="AD44" s="28">
        <f>'20'!AI44</f>
        <v>4</v>
      </c>
      <c r="AE44" s="3"/>
      <c r="AF44" s="28">
        <f>AE44+'20'!AF44</f>
        <v>55</v>
      </c>
      <c r="AG44" s="4"/>
      <c r="AH44" s="28">
        <f>AG44+'20'!AH44</f>
        <v>51</v>
      </c>
      <c r="AI44" s="4">
        <f t="shared" si="6"/>
        <v>4</v>
      </c>
      <c r="AJ44" s="11" t="e">
        <f t="shared" si="0"/>
        <v>#DIV/0!</v>
      </c>
      <c r="AK44" s="53">
        <f t="shared" si="1"/>
        <v>9.7450980392156854</v>
      </c>
      <c r="AW44" s="26" t="str">
        <f>'20'!AW44</f>
        <v>منشأة أم خنان</v>
      </c>
      <c r="AX44" s="12">
        <f>'20'!AX44</f>
        <v>1</v>
      </c>
      <c r="AY44" s="12">
        <f>'20'!AY44</f>
        <v>277</v>
      </c>
      <c r="AZ44" s="12"/>
      <c r="BA44" s="12"/>
      <c r="BB44" s="12">
        <f>BA44+'20'!BB44</f>
        <v>269</v>
      </c>
      <c r="BC44" s="30">
        <f t="shared" si="2"/>
        <v>0.97111913357400725</v>
      </c>
      <c r="BD44" s="12">
        <f>'20'!BD44</f>
        <v>3</v>
      </c>
      <c r="BE44" s="12">
        <f>'20'!BE44</f>
        <v>170</v>
      </c>
      <c r="BF44" s="12"/>
      <c r="BG44" s="12"/>
      <c r="BH44" s="12">
        <f>BG44+'20'!BH44</f>
        <v>115</v>
      </c>
      <c r="BI44" s="30">
        <f t="shared" si="3"/>
        <v>0.67647058823529416</v>
      </c>
    </row>
    <row r="45" spans="1:61" ht="28.9" customHeight="1" x14ac:dyDescent="0.35">
      <c r="A45" s="5">
        <v>35</v>
      </c>
      <c r="B45" s="26">
        <f>'20'!B45</f>
        <v>0</v>
      </c>
      <c r="C45" s="26">
        <f>'20'!C45</f>
        <v>0</v>
      </c>
      <c r="D45" s="26"/>
      <c r="E45" s="12"/>
      <c r="F45" s="2">
        <f>E45+'20'!F45</f>
        <v>0</v>
      </c>
      <c r="G45" s="2"/>
      <c r="H45" s="2">
        <f>G45+'20'!H45</f>
        <v>0</v>
      </c>
      <c r="I45" s="2"/>
      <c r="J45" s="2">
        <f>I45+'20'!J45</f>
        <v>0</v>
      </c>
      <c r="K45" s="2"/>
      <c r="L45" s="2">
        <f>K45+'20'!L45</f>
        <v>0</v>
      </c>
      <c r="M45" s="2"/>
      <c r="N45" s="2">
        <f>M45+'20'!N45</f>
        <v>0</v>
      </c>
      <c r="O45" s="2"/>
      <c r="P45" s="2">
        <f>O45+'20'!P45</f>
        <v>0</v>
      </c>
      <c r="Q45" s="4">
        <f t="shared" si="4"/>
        <v>0</v>
      </c>
      <c r="R45" s="4">
        <f>Q45+'20'!R45</f>
        <v>0</v>
      </c>
      <c r="S45" s="27" t="e">
        <f t="shared" si="5"/>
        <v>#DIV/0!</v>
      </c>
      <c r="T45" s="12"/>
      <c r="U45" s="12">
        <f>T45+'20'!U45</f>
        <v>0</v>
      </c>
      <c r="V45" s="12"/>
      <c r="W45" s="12">
        <f>V45+'20'!W45</f>
        <v>0</v>
      </c>
      <c r="X45" s="12"/>
      <c r="Y45" s="12">
        <f>X45+'20'!Y45</f>
        <v>0</v>
      </c>
      <c r="AB45" s="5">
        <v>35</v>
      </c>
      <c r="AC45" s="26">
        <f>'20'!AC45</f>
        <v>0</v>
      </c>
      <c r="AD45" s="28">
        <f>'20'!AI45</f>
        <v>0</v>
      </c>
      <c r="AE45" s="3"/>
      <c r="AF45" s="28">
        <f>AE45+'20'!AF45</f>
        <v>0</v>
      </c>
      <c r="AG45" s="4"/>
      <c r="AH45" s="28">
        <f>AG45+'20'!AH45</f>
        <v>0</v>
      </c>
      <c r="AI45" s="4">
        <f t="shared" si="6"/>
        <v>0</v>
      </c>
      <c r="AJ45" s="11" t="e">
        <f t="shared" si="0"/>
        <v>#DIV/0!</v>
      </c>
      <c r="AK45" s="53" t="e">
        <f t="shared" si="1"/>
        <v>#DIV/0!</v>
      </c>
      <c r="AW45" s="26">
        <f>'20'!AW45</f>
        <v>0</v>
      </c>
      <c r="AX45" s="12">
        <f>'20'!AX45</f>
        <v>0</v>
      </c>
      <c r="AY45" s="12">
        <f>'20'!AY45</f>
        <v>0</v>
      </c>
      <c r="AZ45" s="12"/>
      <c r="BA45" s="12"/>
      <c r="BB45" s="12">
        <f>BA45+'20'!BB45</f>
        <v>0</v>
      </c>
      <c r="BC45" s="30" t="e">
        <f t="shared" si="2"/>
        <v>#DIV/0!</v>
      </c>
      <c r="BD45" s="12">
        <f>'20'!BD45</f>
        <v>0</v>
      </c>
      <c r="BE45" s="12">
        <f>'20'!BE45</f>
        <v>0</v>
      </c>
      <c r="BF45" s="12"/>
      <c r="BG45" s="12"/>
      <c r="BH45" s="12">
        <f>BG45+'20'!BH45</f>
        <v>0</v>
      </c>
      <c r="BI45" s="30" t="e">
        <f t="shared" si="3"/>
        <v>#DIV/0!</v>
      </c>
    </row>
    <row r="46" spans="1:61" ht="28.9" customHeight="1" x14ac:dyDescent="0.35">
      <c r="A46" s="5">
        <v>36</v>
      </c>
      <c r="B46" s="26">
        <f>'20'!B46</f>
        <v>0</v>
      </c>
      <c r="C46" s="26">
        <f>'20'!C46</f>
        <v>0</v>
      </c>
      <c r="D46" s="26"/>
      <c r="E46" s="12"/>
      <c r="F46" s="2">
        <f>E46+'20'!F46</f>
        <v>0</v>
      </c>
      <c r="G46" s="2"/>
      <c r="H46" s="2">
        <f>G46+'20'!H46</f>
        <v>0</v>
      </c>
      <c r="I46" s="2"/>
      <c r="J46" s="2">
        <f>I46+'20'!J46</f>
        <v>0</v>
      </c>
      <c r="K46" s="2"/>
      <c r="L46" s="2">
        <f>K46+'20'!L46</f>
        <v>0</v>
      </c>
      <c r="M46" s="2"/>
      <c r="N46" s="2">
        <f>M46+'20'!N46</f>
        <v>0</v>
      </c>
      <c r="O46" s="2"/>
      <c r="P46" s="2">
        <f>O46+'20'!P46</f>
        <v>0</v>
      </c>
      <c r="Q46" s="4">
        <f t="shared" si="4"/>
        <v>0</v>
      </c>
      <c r="R46" s="4">
        <f>Q46+'20'!R46</f>
        <v>0</v>
      </c>
      <c r="S46" s="27" t="e">
        <f t="shared" si="5"/>
        <v>#DIV/0!</v>
      </c>
      <c r="T46" s="12"/>
      <c r="U46" s="12">
        <f>T46+'20'!U46</f>
        <v>0</v>
      </c>
      <c r="V46" s="12"/>
      <c r="W46" s="12">
        <f>V46+'20'!W46</f>
        <v>0</v>
      </c>
      <c r="X46" s="12"/>
      <c r="Y46" s="12">
        <f>X46+'20'!Y46</f>
        <v>0</v>
      </c>
      <c r="AB46" s="5">
        <v>36</v>
      </c>
      <c r="AC46" s="26">
        <f>'20'!AC46</f>
        <v>0</v>
      </c>
      <c r="AD46" s="28">
        <f>'20'!AI46</f>
        <v>0</v>
      </c>
      <c r="AE46" s="3"/>
      <c r="AF46" s="28">
        <f>AE46+'20'!AF46</f>
        <v>0</v>
      </c>
      <c r="AG46" s="4"/>
      <c r="AH46" s="28">
        <f>AG46+'20'!AH46</f>
        <v>0</v>
      </c>
      <c r="AI46" s="4">
        <f t="shared" si="6"/>
        <v>0</v>
      </c>
      <c r="AJ46" s="11" t="e">
        <f t="shared" si="0"/>
        <v>#DIV/0!</v>
      </c>
      <c r="AK46" s="53" t="e">
        <f t="shared" si="1"/>
        <v>#DIV/0!</v>
      </c>
      <c r="AW46" s="26">
        <f>'20'!AW46</f>
        <v>0</v>
      </c>
      <c r="AX46" s="12">
        <f>'20'!AX46</f>
        <v>0</v>
      </c>
      <c r="AY46" s="12">
        <f>'20'!AY46</f>
        <v>0</v>
      </c>
      <c r="AZ46" s="12"/>
      <c r="BA46" s="12"/>
      <c r="BB46" s="12">
        <f>BA46+'20'!BB46</f>
        <v>0</v>
      </c>
      <c r="BC46" s="30" t="e">
        <f t="shared" si="2"/>
        <v>#DIV/0!</v>
      </c>
      <c r="BD46" s="12">
        <f>'20'!BD46</f>
        <v>0</v>
      </c>
      <c r="BE46" s="12">
        <f>'20'!BE46</f>
        <v>0</v>
      </c>
      <c r="BF46" s="12"/>
      <c r="BG46" s="12"/>
      <c r="BH46" s="12">
        <f>BG46+'20'!BH46</f>
        <v>0</v>
      </c>
      <c r="BI46" s="30" t="e">
        <f t="shared" si="3"/>
        <v>#DIV/0!</v>
      </c>
    </row>
    <row r="47" spans="1:61" ht="28.9" customHeight="1" x14ac:dyDescent="0.35">
      <c r="A47" s="5">
        <v>37</v>
      </c>
      <c r="B47" s="26">
        <f>'20'!B47</f>
        <v>0</v>
      </c>
      <c r="C47" s="26">
        <f>'20'!C47</f>
        <v>0</v>
      </c>
      <c r="D47" s="26"/>
      <c r="E47" s="12"/>
      <c r="F47" s="2">
        <f>E47+'20'!F47</f>
        <v>0</v>
      </c>
      <c r="G47" s="2"/>
      <c r="H47" s="2">
        <f>G47+'20'!H47</f>
        <v>0</v>
      </c>
      <c r="I47" s="2"/>
      <c r="J47" s="2">
        <f>I47+'20'!J47</f>
        <v>0</v>
      </c>
      <c r="K47" s="2"/>
      <c r="L47" s="2">
        <f>K47+'20'!L47</f>
        <v>0</v>
      </c>
      <c r="M47" s="2"/>
      <c r="N47" s="2">
        <f>M47+'20'!N47</f>
        <v>0</v>
      </c>
      <c r="O47" s="2"/>
      <c r="P47" s="2">
        <f>O47+'20'!P47</f>
        <v>0</v>
      </c>
      <c r="Q47" s="4">
        <f t="shared" si="4"/>
        <v>0</v>
      </c>
      <c r="R47" s="4">
        <f>Q47+'20'!R47</f>
        <v>0</v>
      </c>
      <c r="S47" s="27" t="e">
        <f t="shared" si="5"/>
        <v>#DIV/0!</v>
      </c>
      <c r="T47" s="12"/>
      <c r="U47" s="12">
        <f>T47+'20'!U47</f>
        <v>0</v>
      </c>
      <c r="V47" s="12"/>
      <c r="W47" s="12">
        <f>V47+'20'!W47</f>
        <v>0</v>
      </c>
      <c r="X47" s="12"/>
      <c r="Y47" s="12">
        <f>X47+'20'!Y47</f>
        <v>0</v>
      </c>
      <c r="AB47" s="5">
        <v>37</v>
      </c>
      <c r="AC47" s="26">
        <f>'20'!AC47</f>
        <v>0</v>
      </c>
      <c r="AD47" s="28">
        <f>'20'!AI47</f>
        <v>0</v>
      </c>
      <c r="AE47" s="3"/>
      <c r="AF47" s="28">
        <f>AE47+'20'!AF47</f>
        <v>0</v>
      </c>
      <c r="AG47" s="4"/>
      <c r="AH47" s="28">
        <f>AG47+'20'!AH47</f>
        <v>0</v>
      </c>
      <c r="AI47" s="4">
        <f t="shared" si="6"/>
        <v>0</v>
      </c>
      <c r="AJ47" s="11" t="e">
        <f t="shared" si="0"/>
        <v>#DIV/0!</v>
      </c>
      <c r="AK47" s="53" t="e">
        <f t="shared" si="1"/>
        <v>#DIV/0!</v>
      </c>
      <c r="AW47" s="26">
        <f>'20'!AW47</f>
        <v>0</v>
      </c>
      <c r="AX47" s="12">
        <f>'20'!AX47</f>
        <v>0</v>
      </c>
      <c r="AY47" s="12">
        <f>'20'!AY47</f>
        <v>0</v>
      </c>
      <c r="AZ47" s="12"/>
      <c r="BA47" s="12"/>
      <c r="BB47" s="12">
        <f>BA47+'20'!BB47</f>
        <v>0</v>
      </c>
      <c r="BC47" s="30" t="e">
        <f t="shared" si="2"/>
        <v>#DIV/0!</v>
      </c>
      <c r="BD47" s="12">
        <f>'20'!BD47</f>
        <v>0</v>
      </c>
      <c r="BE47" s="12">
        <f>'20'!BE47</f>
        <v>0</v>
      </c>
      <c r="BF47" s="12"/>
      <c r="BG47" s="12"/>
      <c r="BH47" s="12">
        <f>BG47+'20'!BH47</f>
        <v>0</v>
      </c>
      <c r="BI47" s="30" t="e">
        <f t="shared" si="3"/>
        <v>#DIV/0!</v>
      </c>
    </row>
    <row r="48" spans="1:61" ht="28.9" customHeight="1" x14ac:dyDescent="0.35">
      <c r="A48" s="5">
        <v>38</v>
      </c>
      <c r="B48" s="26">
        <f>'20'!B48</f>
        <v>0</v>
      </c>
      <c r="C48" s="26">
        <f>'20'!C48</f>
        <v>0</v>
      </c>
      <c r="D48" s="26"/>
      <c r="E48" s="12"/>
      <c r="F48" s="2">
        <f>E48+'20'!F48</f>
        <v>0</v>
      </c>
      <c r="G48" s="2"/>
      <c r="H48" s="2">
        <f>G48+'20'!H48</f>
        <v>0</v>
      </c>
      <c r="I48" s="2"/>
      <c r="J48" s="2">
        <f>I48+'20'!J48</f>
        <v>0</v>
      </c>
      <c r="K48" s="2"/>
      <c r="L48" s="2">
        <f>K48+'20'!L48</f>
        <v>0</v>
      </c>
      <c r="M48" s="2"/>
      <c r="N48" s="2">
        <f>M48+'20'!N48</f>
        <v>0</v>
      </c>
      <c r="O48" s="2"/>
      <c r="P48" s="2">
        <f>O48+'20'!P48</f>
        <v>0</v>
      </c>
      <c r="Q48" s="4">
        <f t="shared" si="4"/>
        <v>0</v>
      </c>
      <c r="R48" s="4">
        <f>Q48+'20'!R48</f>
        <v>0</v>
      </c>
      <c r="S48" s="27" t="e">
        <f t="shared" si="5"/>
        <v>#DIV/0!</v>
      </c>
      <c r="T48" s="12"/>
      <c r="U48" s="12">
        <f>T48+'20'!U48</f>
        <v>0</v>
      </c>
      <c r="V48" s="12"/>
      <c r="W48" s="12">
        <f>V48+'20'!W48</f>
        <v>0</v>
      </c>
      <c r="X48" s="12"/>
      <c r="Y48" s="12">
        <f>X48+'20'!Y48</f>
        <v>0</v>
      </c>
      <c r="AB48" s="5">
        <v>38</v>
      </c>
      <c r="AC48" s="26">
        <f>'20'!AC48</f>
        <v>0</v>
      </c>
      <c r="AD48" s="28">
        <f>'20'!AI48</f>
        <v>0</v>
      </c>
      <c r="AE48" s="3"/>
      <c r="AF48" s="28">
        <f>AE48+'20'!AF48</f>
        <v>0</v>
      </c>
      <c r="AG48" s="4"/>
      <c r="AH48" s="28">
        <f>AG48+'20'!AH48</f>
        <v>0</v>
      </c>
      <c r="AI48" s="4">
        <f t="shared" si="6"/>
        <v>0</v>
      </c>
      <c r="AJ48" s="11" t="e">
        <f t="shared" si="0"/>
        <v>#DIV/0!</v>
      </c>
      <c r="AK48" s="53" t="e">
        <f t="shared" si="1"/>
        <v>#DIV/0!</v>
      </c>
      <c r="AW48" s="26">
        <f>'20'!AW48</f>
        <v>0</v>
      </c>
      <c r="AX48" s="12">
        <f>'20'!AX48</f>
        <v>0</v>
      </c>
      <c r="AY48" s="12">
        <f>'20'!AY48</f>
        <v>0</v>
      </c>
      <c r="AZ48" s="12"/>
      <c r="BA48" s="12"/>
      <c r="BB48" s="12">
        <f>BA48+'20'!BB48</f>
        <v>0</v>
      </c>
      <c r="BC48" s="30" t="e">
        <f t="shared" si="2"/>
        <v>#DIV/0!</v>
      </c>
      <c r="BD48" s="12">
        <f>'20'!BD48</f>
        <v>0</v>
      </c>
      <c r="BE48" s="12">
        <f>'20'!BE48</f>
        <v>0</v>
      </c>
      <c r="BF48" s="12"/>
      <c r="BG48" s="12"/>
      <c r="BH48" s="12">
        <f>BG48+'20'!BH48</f>
        <v>0</v>
      </c>
      <c r="BI48" s="30" t="e">
        <f t="shared" si="3"/>
        <v>#DIV/0!</v>
      </c>
    </row>
    <row r="49" spans="1:61" ht="28.9" customHeight="1" x14ac:dyDescent="0.35">
      <c r="A49" s="5">
        <v>39</v>
      </c>
      <c r="B49" s="26">
        <f>'20'!B49</f>
        <v>0</v>
      </c>
      <c r="C49" s="26">
        <f>'20'!C49</f>
        <v>0</v>
      </c>
      <c r="D49" s="26"/>
      <c r="E49" s="12"/>
      <c r="F49" s="2">
        <f>E49+'20'!F49</f>
        <v>0</v>
      </c>
      <c r="G49" s="2"/>
      <c r="H49" s="2">
        <f>G49+'20'!H49</f>
        <v>0</v>
      </c>
      <c r="I49" s="2"/>
      <c r="J49" s="2">
        <f>I49+'20'!J49</f>
        <v>0</v>
      </c>
      <c r="K49" s="2"/>
      <c r="L49" s="2">
        <f>K49+'20'!L49</f>
        <v>0</v>
      </c>
      <c r="M49" s="2"/>
      <c r="N49" s="2">
        <f>M49+'20'!N49</f>
        <v>0</v>
      </c>
      <c r="O49" s="2"/>
      <c r="P49" s="2">
        <f>O49+'20'!P49</f>
        <v>0</v>
      </c>
      <c r="Q49" s="4">
        <f t="shared" si="4"/>
        <v>0</v>
      </c>
      <c r="R49" s="4">
        <f>Q49+'20'!R49</f>
        <v>0</v>
      </c>
      <c r="S49" s="27" t="e">
        <f t="shared" si="5"/>
        <v>#DIV/0!</v>
      </c>
      <c r="T49" s="12"/>
      <c r="U49" s="12">
        <f>T49+'20'!U49</f>
        <v>0</v>
      </c>
      <c r="V49" s="12"/>
      <c r="W49" s="12">
        <f>V49+'20'!W49</f>
        <v>0</v>
      </c>
      <c r="X49" s="12"/>
      <c r="Y49" s="12">
        <f>X49+'20'!Y49</f>
        <v>0</v>
      </c>
      <c r="AB49" s="5">
        <v>39</v>
      </c>
      <c r="AC49" s="26">
        <f>'20'!AC49</f>
        <v>0</v>
      </c>
      <c r="AD49" s="28">
        <f>'20'!AI49</f>
        <v>0</v>
      </c>
      <c r="AE49" s="3"/>
      <c r="AF49" s="28">
        <f>AE49+'20'!AF49</f>
        <v>0</v>
      </c>
      <c r="AG49" s="4"/>
      <c r="AH49" s="28">
        <f>AG49+'20'!AH49</f>
        <v>0</v>
      </c>
      <c r="AI49" s="4">
        <f t="shared" si="6"/>
        <v>0</v>
      </c>
      <c r="AJ49" s="11" t="e">
        <f t="shared" si="0"/>
        <v>#DIV/0!</v>
      </c>
      <c r="AK49" s="53" t="e">
        <f t="shared" si="1"/>
        <v>#DIV/0!</v>
      </c>
      <c r="AW49" s="26">
        <f>'20'!AW49</f>
        <v>0</v>
      </c>
      <c r="AX49" s="12">
        <f>'20'!AX49</f>
        <v>0</v>
      </c>
      <c r="AY49" s="12">
        <f>'20'!AY49</f>
        <v>0</v>
      </c>
      <c r="AZ49" s="12"/>
      <c r="BA49" s="12"/>
      <c r="BB49" s="12">
        <f>BA49+'20'!BB49</f>
        <v>0</v>
      </c>
      <c r="BC49" s="30" t="e">
        <f t="shared" si="2"/>
        <v>#DIV/0!</v>
      </c>
      <c r="BD49" s="12">
        <f>'20'!BD49</f>
        <v>0</v>
      </c>
      <c r="BE49" s="12">
        <f>'20'!BE49</f>
        <v>0</v>
      </c>
      <c r="BF49" s="12"/>
      <c r="BG49" s="12"/>
      <c r="BH49" s="12">
        <f>BG49+'20'!BH49</f>
        <v>0</v>
      </c>
      <c r="BI49" s="30" t="e">
        <f t="shared" si="3"/>
        <v>#DIV/0!</v>
      </c>
    </row>
    <row r="50" spans="1:61" ht="28.9" customHeight="1" x14ac:dyDescent="0.35">
      <c r="A50" s="5">
        <v>40</v>
      </c>
      <c r="B50" s="26">
        <f>'20'!B50</f>
        <v>0</v>
      </c>
      <c r="C50" s="26">
        <f>'20'!C50</f>
        <v>0</v>
      </c>
      <c r="D50" s="26"/>
      <c r="E50" s="12"/>
      <c r="F50" s="2">
        <f>E50+'20'!F50</f>
        <v>0</v>
      </c>
      <c r="G50" s="2"/>
      <c r="H50" s="2">
        <f>G50+'20'!H50</f>
        <v>0</v>
      </c>
      <c r="I50" s="2"/>
      <c r="J50" s="2">
        <f>I50+'20'!J50</f>
        <v>0</v>
      </c>
      <c r="K50" s="2"/>
      <c r="L50" s="2">
        <f>K50+'20'!L50</f>
        <v>0</v>
      </c>
      <c r="M50" s="2"/>
      <c r="N50" s="2">
        <f>M50+'20'!N50</f>
        <v>0</v>
      </c>
      <c r="O50" s="2"/>
      <c r="P50" s="2">
        <f>O50+'20'!P50</f>
        <v>0</v>
      </c>
      <c r="Q50" s="4">
        <f t="shared" si="4"/>
        <v>0</v>
      </c>
      <c r="R50" s="4">
        <f>Q50+'20'!R50</f>
        <v>0</v>
      </c>
      <c r="S50" s="27" t="e">
        <f t="shared" si="5"/>
        <v>#DIV/0!</v>
      </c>
      <c r="T50" s="12"/>
      <c r="U50" s="12">
        <f>T50+'20'!U50</f>
        <v>0</v>
      </c>
      <c r="V50" s="12"/>
      <c r="W50" s="12">
        <f>V50+'20'!W50</f>
        <v>0</v>
      </c>
      <c r="X50" s="12"/>
      <c r="Y50" s="12">
        <f>X50+'20'!Y50</f>
        <v>0</v>
      </c>
      <c r="AB50" s="5">
        <v>40</v>
      </c>
      <c r="AC50" s="26">
        <f>'20'!AC50</f>
        <v>0</v>
      </c>
      <c r="AD50" s="28">
        <f>'20'!AI50</f>
        <v>0</v>
      </c>
      <c r="AE50" s="3"/>
      <c r="AF50" s="28">
        <f>AE50+'20'!AF50</f>
        <v>0</v>
      </c>
      <c r="AG50" s="4"/>
      <c r="AH50" s="28">
        <f>AG50+'20'!AH50</f>
        <v>0</v>
      </c>
      <c r="AI50" s="4">
        <f t="shared" si="6"/>
        <v>0</v>
      </c>
      <c r="AJ50" s="11" t="e">
        <f t="shared" si="0"/>
        <v>#DIV/0!</v>
      </c>
      <c r="AK50" s="53" t="e">
        <f t="shared" si="1"/>
        <v>#DIV/0!</v>
      </c>
      <c r="AW50" s="26">
        <f>'20'!AW50</f>
        <v>0</v>
      </c>
      <c r="AX50" s="12">
        <f>'20'!AX50</f>
        <v>0</v>
      </c>
      <c r="AY50" s="12">
        <f>'20'!AY50</f>
        <v>0</v>
      </c>
      <c r="AZ50" s="12"/>
      <c r="BA50" s="12"/>
      <c r="BB50" s="12">
        <f>BA50+'20'!BB50</f>
        <v>0</v>
      </c>
      <c r="BC50" s="30" t="e">
        <f t="shared" si="2"/>
        <v>#DIV/0!</v>
      </c>
      <c r="BD50" s="12">
        <f>'20'!BD50</f>
        <v>0</v>
      </c>
      <c r="BE50" s="12">
        <f>'20'!BE50</f>
        <v>0</v>
      </c>
      <c r="BF50" s="12"/>
      <c r="BG50" s="12"/>
      <c r="BH50" s="12">
        <f>BG50+'20'!BH50</f>
        <v>0</v>
      </c>
      <c r="BI50" s="30" t="e">
        <f t="shared" si="3"/>
        <v>#DIV/0!</v>
      </c>
    </row>
    <row r="51" spans="1:61" ht="25.5" thickBot="1" x14ac:dyDescent="0.4">
      <c r="A51" s="321" t="s">
        <v>26</v>
      </c>
      <c r="B51" s="321"/>
      <c r="C51" s="35">
        <f>SUM(C11:C50)</f>
        <v>97446</v>
      </c>
      <c r="D51" s="35">
        <f>SUM(D11:D50)</f>
        <v>0</v>
      </c>
      <c r="E51" s="6">
        <f>SUM(E11:E50)</f>
        <v>0</v>
      </c>
      <c r="F51" s="6">
        <f>SUM(F11:F50)</f>
        <v>533</v>
      </c>
      <c r="G51" s="6">
        <f t="shared" ref="G51:R51" si="8">SUM(G11:G50)</f>
        <v>0</v>
      </c>
      <c r="H51" s="6">
        <f t="shared" si="8"/>
        <v>14954</v>
      </c>
      <c r="I51" s="6">
        <f t="shared" si="8"/>
        <v>0</v>
      </c>
      <c r="J51" s="6">
        <f t="shared" si="8"/>
        <v>37926</v>
      </c>
      <c r="K51" s="6">
        <f t="shared" si="8"/>
        <v>0</v>
      </c>
      <c r="L51" s="6">
        <f t="shared" si="8"/>
        <v>0</v>
      </c>
      <c r="M51" s="6">
        <f t="shared" si="8"/>
        <v>0</v>
      </c>
      <c r="N51" s="6">
        <f t="shared" si="8"/>
        <v>0</v>
      </c>
      <c r="O51" s="6">
        <f t="shared" si="8"/>
        <v>0</v>
      </c>
      <c r="P51" s="6">
        <f t="shared" si="8"/>
        <v>0</v>
      </c>
      <c r="Q51" s="6">
        <f t="shared" si="8"/>
        <v>0</v>
      </c>
      <c r="R51" s="6">
        <f t="shared" si="8"/>
        <v>53413</v>
      </c>
      <c r="S51" s="10">
        <f>R51/C51</f>
        <v>0.54812922028610722</v>
      </c>
      <c r="T51" s="23">
        <f t="shared" ref="T51:Y51" si="9">SUM(T11:T50)</f>
        <v>0</v>
      </c>
      <c r="U51" s="23">
        <f t="shared" si="9"/>
        <v>7532</v>
      </c>
      <c r="V51" s="23">
        <f t="shared" si="9"/>
        <v>0</v>
      </c>
      <c r="W51" s="23">
        <f t="shared" si="9"/>
        <v>1107</v>
      </c>
      <c r="X51" s="23">
        <f t="shared" si="9"/>
        <v>0</v>
      </c>
      <c r="Y51" s="23">
        <f t="shared" si="9"/>
        <v>2</v>
      </c>
      <c r="AB51" s="37" t="s">
        <v>29</v>
      </c>
      <c r="AC51" s="37"/>
      <c r="AD51" s="34">
        <f t="shared" ref="AD51:AI51" si="10">SUM(AD11:AD50)</f>
        <v>3133</v>
      </c>
      <c r="AE51" s="23">
        <f t="shared" si="10"/>
        <v>0</v>
      </c>
      <c r="AF51" s="14">
        <f t="shared" si="10"/>
        <v>8632</v>
      </c>
      <c r="AG51" s="14">
        <f t="shared" si="10"/>
        <v>0</v>
      </c>
      <c r="AH51" s="14">
        <f t="shared" si="10"/>
        <v>5499</v>
      </c>
      <c r="AI51" s="14">
        <f t="shared" si="10"/>
        <v>3133</v>
      </c>
      <c r="AJ51" s="11" t="e">
        <f t="shared" si="0"/>
        <v>#DIV/0!</v>
      </c>
      <c r="AK51" s="53">
        <f t="shared" si="1"/>
        <v>9.713220585561011</v>
      </c>
      <c r="AW51" s="33" t="s">
        <v>26</v>
      </c>
      <c r="AX51" s="13">
        <f>SUM(AX11:AX50)</f>
        <v>121</v>
      </c>
      <c r="AY51" s="13">
        <f>SUM(AY11:AY50)</f>
        <v>50910</v>
      </c>
      <c r="AZ51" s="13">
        <f>SUM(AZ11:AZ50)</f>
        <v>0</v>
      </c>
      <c r="BA51" s="13">
        <f>SUM(BA11:BA50)</f>
        <v>0</v>
      </c>
      <c r="BB51" s="13">
        <f>SUM(BB11:BB50)</f>
        <v>39924</v>
      </c>
      <c r="BC51" s="31">
        <f t="shared" si="2"/>
        <v>0.78420742486741313</v>
      </c>
      <c r="BD51" s="32">
        <f>SUM(BD11:BD50)</f>
        <v>241</v>
      </c>
      <c r="BE51" s="32">
        <f>SUM(BE11:BE50)</f>
        <v>14990</v>
      </c>
      <c r="BF51" s="32">
        <f>SUM(BF11:BF50)</f>
        <v>0</v>
      </c>
      <c r="BG51" s="32">
        <f>SUM(BG11:BG50)</f>
        <v>0</v>
      </c>
      <c r="BH51" s="32">
        <f>SUM(BH11:BH50)</f>
        <v>9274</v>
      </c>
      <c r="BI51" s="31">
        <f t="shared" si="3"/>
        <v>0.61867911941294196</v>
      </c>
    </row>
    <row r="52" spans="1:61" ht="17.5" x14ac:dyDescent="0.35">
      <c r="AB52" s="36"/>
      <c r="AC52" s="36"/>
      <c r="AD52" s="36"/>
      <c r="AE52" s="36"/>
      <c r="AF52" s="40"/>
      <c r="AG52" s="40"/>
      <c r="AH52" s="40"/>
      <c r="AI52" s="41"/>
      <c r="AJ52" s="15"/>
      <c r="AK52" s="15"/>
    </row>
    <row r="54" spans="1:61" ht="18.5" x14ac:dyDescent="0.45">
      <c r="G54" s="322" t="s">
        <v>36</v>
      </c>
      <c r="H54" s="322"/>
      <c r="I54" s="322"/>
      <c r="J54" s="322"/>
      <c r="K54" s="322"/>
      <c r="L54" s="322"/>
      <c r="M54" s="322"/>
      <c r="N54" s="322"/>
      <c r="O54" s="322"/>
      <c r="P54" s="322"/>
      <c r="Q54" s="322"/>
      <c r="R54" s="322"/>
      <c r="S54" s="322"/>
      <c r="AB54" s="313" t="s">
        <v>44</v>
      </c>
      <c r="AC54" s="313"/>
      <c r="AD54" s="313"/>
      <c r="AE54" s="313"/>
      <c r="AF54" s="313"/>
      <c r="AG54" s="313"/>
      <c r="AH54" s="313"/>
      <c r="AI54" s="313"/>
      <c r="AJ54" s="313"/>
      <c r="AK54" s="313"/>
      <c r="AL54" s="313"/>
      <c r="AM54" s="313"/>
      <c r="AN54" s="313"/>
    </row>
    <row r="55" spans="1:61" ht="18.5" x14ac:dyDescent="0.45">
      <c r="AX55" s="313" t="s">
        <v>44</v>
      </c>
      <c r="AY55" s="313"/>
      <c r="AZ55" s="313"/>
      <c r="BA55" s="313"/>
      <c r="BB55" s="313"/>
      <c r="BC55" s="313"/>
      <c r="BD55" s="313"/>
      <c r="BE55" s="313"/>
      <c r="BF55" s="313"/>
      <c r="BG55" s="313"/>
      <c r="BH55" s="313"/>
      <c r="BI55" s="313"/>
    </row>
    <row r="56" spans="1:61" ht="15.5" x14ac:dyDescent="0.35">
      <c r="AG56" s="38"/>
      <c r="AH56" s="38"/>
      <c r="AI56" s="38"/>
    </row>
  </sheetData>
  <mergeCells count="56">
    <mergeCell ref="A6:Y6"/>
    <mergeCell ref="AF6:AN6"/>
    <mergeCell ref="AY6:BI6"/>
    <mergeCell ref="A7:Y7"/>
    <mergeCell ref="A8:A10"/>
    <mergeCell ref="B8:B10"/>
    <mergeCell ref="C8:C10"/>
    <mergeCell ref="D8:D10"/>
    <mergeCell ref="E8:J8"/>
    <mergeCell ref="K8:P8"/>
    <mergeCell ref="Q8:R9"/>
    <mergeCell ref="S8:S10"/>
    <mergeCell ref="T8:U9"/>
    <mergeCell ref="V8:W9"/>
    <mergeCell ref="X8:Y9"/>
    <mergeCell ref="AB8:AB10"/>
    <mergeCell ref="AN8:AN9"/>
    <mergeCell ref="AO8:AO9"/>
    <mergeCell ref="AP8:AQ8"/>
    <mergeCell ref="AR8:AS8"/>
    <mergeCell ref="AC8:AC10"/>
    <mergeCell ref="AD8:AD10"/>
    <mergeCell ref="AE8:AF9"/>
    <mergeCell ref="AG8:AH9"/>
    <mergeCell ref="AI8:AI10"/>
    <mergeCell ref="AJ8:AJ10"/>
    <mergeCell ref="AW8:AW10"/>
    <mergeCell ref="AX8:BC8"/>
    <mergeCell ref="BD8:BI8"/>
    <mergeCell ref="E9:F9"/>
    <mergeCell ref="G9:H9"/>
    <mergeCell ref="I9:J9"/>
    <mergeCell ref="K9:L9"/>
    <mergeCell ref="M9:N9"/>
    <mergeCell ref="AK8:AK10"/>
    <mergeCell ref="AM8:AM13"/>
    <mergeCell ref="BF9:BF10"/>
    <mergeCell ref="BG9:BG10"/>
    <mergeCell ref="BH9:BH10"/>
    <mergeCell ref="O9:P9"/>
    <mergeCell ref="AX9:AX10"/>
    <mergeCell ref="AY9:AY10"/>
    <mergeCell ref="AZ9:AZ10"/>
    <mergeCell ref="BA9:BA10"/>
    <mergeCell ref="BB9:BB10"/>
    <mergeCell ref="AT8:AT9"/>
    <mergeCell ref="AX55:BI55"/>
    <mergeCell ref="BI9:BI10"/>
    <mergeCell ref="AM14:AN14"/>
    <mergeCell ref="AO14:AS14"/>
    <mergeCell ref="A51:B51"/>
    <mergeCell ref="G54:S54"/>
    <mergeCell ref="AB54:AN54"/>
    <mergeCell ref="BC9:BC10"/>
    <mergeCell ref="BD9:BD10"/>
    <mergeCell ref="BE9:BE10"/>
  </mergeCells>
  <pageMargins left="0.7" right="0.7" top="0.75" bottom="0.75" header="0.3" footer="0.3"/>
  <pageSetup paperSize="9" scale="17" orientation="landscape" r:id="rId1"/>
  <colBreaks count="2" manualBreakCount="2">
    <brk id="26" max="55" man="1"/>
    <brk id="47" max="5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21</vt:i4>
      </vt:variant>
    </vt:vector>
  </HeadingPairs>
  <TitlesOfParts>
    <vt:vector size="42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'2'!Print_Area</vt:lpstr>
      <vt:lpstr>'20'!Print_Area</vt:lpstr>
      <vt:lpstr>'21'!Print_Area</vt:lpstr>
      <vt:lpstr>'3'!Print_Area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Reham</dc:creator>
  <cp:lastModifiedBy>Lenovo</cp:lastModifiedBy>
  <cp:lastPrinted>2026-10-28T10:19:09Z</cp:lastPrinted>
  <dcterms:created xsi:type="dcterms:W3CDTF">2014-10-27T06:56:38Z</dcterms:created>
  <dcterms:modified xsi:type="dcterms:W3CDTF">2026-10-28T10:59:30Z</dcterms:modified>
</cp:coreProperties>
</file>